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be\Documents\Job Application Stuff\"/>
    </mc:Choice>
  </mc:AlternateContent>
  <xr:revisionPtr revIDLastSave="0" documentId="13_ncr:1_{C232283C-3B90-4C81-9D0F-F5AB24ED905C}" xr6:coauthVersionLast="41" xr6:coauthVersionMax="41" xr10:uidLastSave="{00000000-0000-0000-0000-000000000000}"/>
  <bookViews>
    <workbookView xWindow="-108" yWindow="-108" windowWidth="23256" windowHeight="12576" xr2:uid="{8CEBCDA2-24D8-4121-A248-B69A5947322B}"/>
  </bookViews>
  <sheets>
    <sheet name="Simulated Transaction Data" sheetId="1" r:id="rId1"/>
    <sheet name="Customer Profiles" sheetId="4" r:id="rId2"/>
  </sheets>
  <definedNames>
    <definedName name="_xlnm._FilterDatabase" localSheetId="0" hidden="1">'Simulated Transaction Data'!$C$1:$C$2381</definedName>
    <definedName name="_xlchart.v1.0" hidden="1">'Simulated Transaction Data'!$C$1</definedName>
    <definedName name="_xlchart.v1.1" hidden="1">'Simulated Transaction Data'!$C$401:$C$2669</definedName>
    <definedName name="_xlchart.v1.2" hidden="1">'Simulated Transaction Data'!$F$1</definedName>
    <definedName name="_xlchart.v1.3" hidden="1">'Simulated Transaction Data'!$F$2:$F$2669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602" i="1"/>
  <c r="E2" i="1"/>
  <c r="B3516" i="1" l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J28" i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D3749" i="1" l="1"/>
  <c r="D3789" i="1"/>
  <c r="D3853" i="1"/>
  <c r="D3901" i="1"/>
  <c r="D3965" i="1"/>
  <c r="D3773" i="1"/>
  <c r="D3797" i="1"/>
  <c r="D3829" i="1"/>
  <c r="D3885" i="1"/>
  <c r="D3949" i="1"/>
  <c r="D3765" i="1"/>
  <c r="D3805" i="1"/>
  <c r="D3837" i="1"/>
  <c r="D3893" i="1"/>
  <c r="D3933" i="1"/>
  <c r="D3989" i="1"/>
  <c r="D3741" i="1"/>
  <c r="D3813" i="1"/>
  <c r="D3869" i="1"/>
  <c r="D3925" i="1"/>
  <c r="D3981" i="1"/>
  <c r="D3781" i="1"/>
  <c r="D3861" i="1"/>
  <c r="D3909" i="1"/>
  <c r="D3957" i="1"/>
  <c r="D3757" i="1"/>
  <c r="D3845" i="1"/>
  <c r="D3917" i="1"/>
  <c r="D3973" i="1"/>
  <c r="D3733" i="1"/>
  <c r="D3821" i="1"/>
  <c r="D3877" i="1"/>
  <c r="D3941" i="1"/>
  <c r="D3997" i="1"/>
  <c r="D3998" i="1"/>
  <c r="D3934" i="1"/>
  <c r="D3870" i="1"/>
  <c r="D3806" i="1"/>
  <c r="D3742" i="1"/>
  <c r="D3948" i="1"/>
  <c r="D3884" i="1"/>
  <c r="D3820" i="1"/>
  <c r="D3756" i="1"/>
  <c r="D3963" i="1"/>
  <c r="D3899" i="1"/>
  <c r="D3835" i="1"/>
  <c r="D3771" i="1"/>
  <c r="D3978" i="1"/>
  <c r="D3914" i="1"/>
  <c r="D3850" i="1"/>
  <c r="D3786" i="1"/>
  <c r="D3993" i="1"/>
  <c r="D3929" i="1"/>
  <c r="D3865" i="1"/>
  <c r="D3801" i="1"/>
  <c r="D3737" i="1"/>
  <c r="D3952" i="1"/>
  <c r="D3888" i="1"/>
  <c r="D3824" i="1"/>
  <c r="D3760" i="1"/>
  <c r="D3975" i="1"/>
  <c r="D3911" i="1"/>
  <c r="D3847" i="1"/>
  <c r="D3783" i="1"/>
  <c r="D3900" i="1"/>
  <c r="D3772" i="1"/>
  <c r="D3787" i="1"/>
  <c r="D3802" i="1"/>
  <c r="D3968" i="1"/>
  <c r="D3991" i="1"/>
  <c r="D3990" i="1"/>
  <c r="D3926" i="1"/>
  <c r="D3862" i="1"/>
  <c r="D3798" i="1"/>
  <c r="D3734" i="1"/>
  <c r="D3940" i="1"/>
  <c r="D3876" i="1"/>
  <c r="D3812" i="1"/>
  <c r="D3748" i="1"/>
  <c r="D3955" i="1"/>
  <c r="D3891" i="1"/>
  <c r="D3827" i="1"/>
  <c r="D3763" i="1"/>
  <c r="D3970" i="1"/>
  <c r="D3906" i="1"/>
  <c r="D3842" i="1"/>
  <c r="D3778" i="1"/>
  <c r="D3985" i="1"/>
  <c r="D3921" i="1"/>
  <c r="D3857" i="1"/>
  <c r="D3793" i="1"/>
  <c r="D3729" i="1"/>
  <c r="D3944" i="1"/>
  <c r="D3880" i="1"/>
  <c r="D3816" i="1"/>
  <c r="D3752" i="1"/>
  <c r="D3967" i="1"/>
  <c r="D3903" i="1"/>
  <c r="D3839" i="1"/>
  <c r="D3775" i="1"/>
  <c r="D3766" i="1"/>
  <c r="D3758" i="1"/>
  <c r="D3836" i="1"/>
  <c r="D3979" i="1"/>
  <c r="D3994" i="1"/>
  <c r="D3738" i="1"/>
  <c r="D3753" i="1"/>
  <c r="D3927" i="1"/>
  <c r="D3982" i="1"/>
  <c r="D3918" i="1"/>
  <c r="D3854" i="1"/>
  <c r="D3790" i="1"/>
  <c r="D3996" i="1"/>
  <c r="D3932" i="1"/>
  <c r="D3868" i="1"/>
  <c r="D3804" i="1"/>
  <c r="D3740" i="1"/>
  <c r="D3947" i="1"/>
  <c r="D3883" i="1"/>
  <c r="D3819" i="1"/>
  <c r="D3755" i="1"/>
  <c r="D3962" i="1"/>
  <c r="D3898" i="1"/>
  <c r="D3834" i="1"/>
  <c r="D3770" i="1"/>
  <c r="D3977" i="1"/>
  <c r="D3913" i="1"/>
  <c r="D3849" i="1"/>
  <c r="D3785" i="1"/>
  <c r="D4000" i="1"/>
  <c r="D3936" i="1"/>
  <c r="D3872" i="1"/>
  <c r="D3808" i="1"/>
  <c r="D3744" i="1"/>
  <c r="D3959" i="1"/>
  <c r="D3895" i="1"/>
  <c r="D3831" i="1"/>
  <c r="D3767" i="1"/>
  <c r="D3972" i="1"/>
  <c r="D3964" i="1"/>
  <c r="D3945" i="1"/>
  <c r="D3840" i="1"/>
  <c r="D3974" i="1"/>
  <c r="D3910" i="1"/>
  <c r="D3846" i="1"/>
  <c r="D3782" i="1"/>
  <c r="D3988" i="1"/>
  <c r="D3924" i="1"/>
  <c r="D3860" i="1"/>
  <c r="D3796" i="1"/>
  <c r="D3732" i="1"/>
  <c r="D3939" i="1"/>
  <c r="D3875" i="1"/>
  <c r="D3811" i="1"/>
  <c r="D3747" i="1"/>
  <c r="D3954" i="1"/>
  <c r="D3890" i="1"/>
  <c r="D3826" i="1"/>
  <c r="D3762" i="1"/>
  <c r="D3969" i="1"/>
  <c r="D3905" i="1"/>
  <c r="D3841" i="1"/>
  <c r="D3777" i="1"/>
  <c r="D3992" i="1"/>
  <c r="D3928" i="1"/>
  <c r="D3864" i="1"/>
  <c r="D3800" i="1"/>
  <c r="D3736" i="1"/>
  <c r="D3951" i="1"/>
  <c r="D3887" i="1"/>
  <c r="D3823" i="1"/>
  <c r="D3759" i="1"/>
  <c r="D3958" i="1"/>
  <c r="D3844" i="1"/>
  <c r="D3987" i="1"/>
  <c r="D3859" i="1"/>
  <c r="D3731" i="1"/>
  <c r="D3874" i="1"/>
  <c r="D3746" i="1"/>
  <c r="D3889" i="1"/>
  <c r="D3761" i="1"/>
  <c r="D3912" i="1"/>
  <c r="D3784" i="1"/>
  <c r="D3935" i="1"/>
  <c r="D3807" i="1"/>
  <c r="D3950" i="1"/>
  <c r="D3915" i="1"/>
  <c r="D3866" i="1"/>
  <c r="D3817" i="1"/>
  <c r="D3776" i="1"/>
  <c r="D3735" i="1"/>
  <c r="D3966" i="1"/>
  <c r="D3902" i="1"/>
  <c r="D3838" i="1"/>
  <c r="D3774" i="1"/>
  <c r="D3980" i="1"/>
  <c r="D3916" i="1"/>
  <c r="D3852" i="1"/>
  <c r="D3788" i="1"/>
  <c r="D3995" i="1"/>
  <c r="D3931" i="1"/>
  <c r="D3867" i="1"/>
  <c r="D3803" i="1"/>
  <c r="D3739" i="1"/>
  <c r="D3946" i="1"/>
  <c r="D3882" i="1"/>
  <c r="D3818" i="1"/>
  <c r="D3754" i="1"/>
  <c r="D3961" i="1"/>
  <c r="D3897" i="1"/>
  <c r="D3833" i="1"/>
  <c r="D3769" i="1"/>
  <c r="D3984" i="1"/>
  <c r="D3920" i="1"/>
  <c r="D3856" i="1"/>
  <c r="D3792" i="1"/>
  <c r="D3728" i="1"/>
  <c r="D3943" i="1"/>
  <c r="D3879" i="1"/>
  <c r="D3815" i="1"/>
  <c r="D3751" i="1"/>
  <c r="D3830" i="1"/>
  <c r="D3822" i="1"/>
  <c r="D3863" i="1"/>
  <c r="D3942" i="1"/>
  <c r="D3878" i="1"/>
  <c r="D3814" i="1"/>
  <c r="D3750" i="1"/>
  <c r="D3956" i="1"/>
  <c r="D3892" i="1"/>
  <c r="D3828" i="1"/>
  <c r="D3764" i="1"/>
  <c r="D3971" i="1"/>
  <c r="D3907" i="1"/>
  <c r="D3843" i="1"/>
  <c r="D3779" i="1"/>
  <c r="D3986" i="1"/>
  <c r="D3922" i="1"/>
  <c r="D3858" i="1"/>
  <c r="D3794" i="1"/>
  <c r="D3730" i="1"/>
  <c r="D3937" i="1"/>
  <c r="D3873" i="1"/>
  <c r="D3809" i="1"/>
  <c r="D3745" i="1"/>
  <c r="D3960" i="1"/>
  <c r="D3896" i="1"/>
  <c r="D3832" i="1"/>
  <c r="D3768" i="1"/>
  <c r="D3983" i="1"/>
  <c r="D3919" i="1"/>
  <c r="D3855" i="1"/>
  <c r="D3791" i="1"/>
  <c r="D3727" i="1"/>
  <c r="D3894" i="1"/>
  <c r="D3908" i="1"/>
  <c r="D3780" i="1"/>
  <c r="D3923" i="1"/>
  <c r="D3795" i="1"/>
  <c r="D3938" i="1"/>
  <c r="D3810" i="1"/>
  <c r="D3953" i="1"/>
  <c r="D3825" i="1"/>
  <c r="D3976" i="1"/>
  <c r="D3848" i="1"/>
  <c r="D3999" i="1"/>
  <c r="D3871" i="1"/>
  <c r="D3743" i="1"/>
  <c r="D3886" i="1"/>
  <c r="D3851" i="1"/>
  <c r="D3930" i="1"/>
  <c r="D3881" i="1"/>
  <c r="D3904" i="1"/>
  <c r="D3799" i="1"/>
  <c r="D3519" i="1"/>
  <c r="D3527" i="1"/>
  <c r="D3535" i="1"/>
  <c r="D3543" i="1"/>
  <c r="D3551" i="1"/>
  <c r="D3559" i="1"/>
  <c r="D3567" i="1"/>
  <c r="D3575" i="1"/>
  <c r="D3583" i="1"/>
  <c r="D3591" i="1"/>
  <c r="D3599" i="1"/>
  <c r="D3607" i="1"/>
  <c r="D3615" i="1"/>
  <c r="D3623" i="1"/>
  <c r="D3631" i="1"/>
  <c r="D3639" i="1"/>
  <c r="D3647" i="1"/>
  <c r="D3655" i="1"/>
  <c r="D3663" i="1"/>
  <c r="D3671" i="1"/>
  <c r="D3679" i="1"/>
  <c r="D3687" i="1"/>
  <c r="D3695" i="1"/>
  <c r="D3703" i="1"/>
  <c r="D3711" i="1"/>
  <c r="D3719" i="1"/>
  <c r="D3548" i="1"/>
  <c r="D3716" i="1"/>
  <c r="D3520" i="1"/>
  <c r="D3528" i="1"/>
  <c r="D3536" i="1"/>
  <c r="D3544" i="1"/>
  <c r="D3552" i="1"/>
  <c r="D3560" i="1"/>
  <c r="D3568" i="1"/>
  <c r="D3576" i="1"/>
  <c r="D3584" i="1"/>
  <c r="D3592" i="1"/>
  <c r="D3600" i="1"/>
  <c r="D3608" i="1"/>
  <c r="D3616" i="1"/>
  <c r="D3624" i="1"/>
  <c r="D3632" i="1"/>
  <c r="D3640" i="1"/>
  <c r="D3648" i="1"/>
  <c r="D3656" i="1"/>
  <c r="D3664" i="1"/>
  <c r="D3672" i="1"/>
  <c r="D3680" i="1"/>
  <c r="D3688" i="1"/>
  <c r="D3696" i="1"/>
  <c r="D3704" i="1"/>
  <c r="D3712" i="1"/>
  <c r="D3720" i="1"/>
  <c r="D3516" i="1"/>
  <c r="D3612" i="1"/>
  <c r="D3660" i="1"/>
  <c r="D3708" i="1"/>
  <c r="D3521" i="1"/>
  <c r="D3529" i="1"/>
  <c r="D3537" i="1"/>
  <c r="D3545" i="1"/>
  <c r="D3553" i="1"/>
  <c r="D3561" i="1"/>
  <c r="D3569" i="1"/>
  <c r="D3577" i="1"/>
  <c r="D3585" i="1"/>
  <c r="D3593" i="1"/>
  <c r="D3601" i="1"/>
  <c r="D3609" i="1"/>
  <c r="D3617" i="1"/>
  <c r="D3625" i="1"/>
  <c r="D3633" i="1"/>
  <c r="D3641" i="1"/>
  <c r="D3649" i="1"/>
  <c r="D3657" i="1"/>
  <c r="D3665" i="1"/>
  <c r="D3673" i="1"/>
  <c r="D3681" i="1"/>
  <c r="D3689" i="1"/>
  <c r="D3697" i="1"/>
  <c r="D3705" i="1"/>
  <c r="D3713" i="1"/>
  <c r="D3721" i="1"/>
  <c r="D3556" i="1"/>
  <c r="D3628" i="1"/>
  <c r="D3676" i="1"/>
  <c r="D3522" i="1"/>
  <c r="D3530" i="1"/>
  <c r="D3538" i="1"/>
  <c r="D3546" i="1"/>
  <c r="D3554" i="1"/>
  <c r="D3562" i="1"/>
  <c r="D3570" i="1"/>
  <c r="D3578" i="1"/>
  <c r="D3586" i="1"/>
  <c r="D3594" i="1"/>
  <c r="D3602" i="1"/>
  <c r="D3610" i="1"/>
  <c r="D3618" i="1"/>
  <c r="D3626" i="1"/>
  <c r="D3634" i="1"/>
  <c r="D3642" i="1"/>
  <c r="D3650" i="1"/>
  <c r="D3658" i="1"/>
  <c r="D3666" i="1"/>
  <c r="D3674" i="1"/>
  <c r="D3682" i="1"/>
  <c r="D3690" i="1"/>
  <c r="D3698" i="1"/>
  <c r="D3706" i="1"/>
  <c r="D3714" i="1"/>
  <c r="D3722" i="1"/>
  <c r="D3524" i="1"/>
  <c r="D3564" i="1"/>
  <c r="D3588" i="1"/>
  <c r="D3604" i="1"/>
  <c r="D3644" i="1"/>
  <c r="D3668" i="1"/>
  <c r="D3700" i="1"/>
  <c r="D3523" i="1"/>
  <c r="D3531" i="1"/>
  <c r="D3539" i="1"/>
  <c r="D3547" i="1"/>
  <c r="D3555" i="1"/>
  <c r="D3563" i="1"/>
  <c r="D3571" i="1"/>
  <c r="D3579" i="1"/>
  <c r="D3587" i="1"/>
  <c r="D3595" i="1"/>
  <c r="D3603" i="1"/>
  <c r="D3611" i="1"/>
  <c r="D3619" i="1"/>
  <c r="D3627" i="1"/>
  <c r="D3635" i="1"/>
  <c r="D3643" i="1"/>
  <c r="D3651" i="1"/>
  <c r="D3659" i="1"/>
  <c r="D3667" i="1"/>
  <c r="D3675" i="1"/>
  <c r="D3683" i="1"/>
  <c r="D3691" i="1"/>
  <c r="D3699" i="1"/>
  <c r="D3707" i="1"/>
  <c r="D3715" i="1"/>
  <c r="D3723" i="1"/>
  <c r="D3517" i="1"/>
  <c r="D3525" i="1"/>
  <c r="D3533" i="1"/>
  <c r="D3541" i="1"/>
  <c r="D3549" i="1"/>
  <c r="D3557" i="1"/>
  <c r="D3565" i="1"/>
  <c r="D3573" i="1"/>
  <c r="D3581" i="1"/>
  <c r="D3589" i="1"/>
  <c r="D3597" i="1"/>
  <c r="D3605" i="1"/>
  <c r="D3613" i="1"/>
  <c r="D3621" i="1"/>
  <c r="D3629" i="1"/>
  <c r="D3637" i="1"/>
  <c r="D3645" i="1"/>
  <c r="D3653" i="1"/>
  <c r="D3661" i="1"/>
  <c r="D3669" i="1"/>
  <c r="D3677" i="1"/>
  <c r="D3685" i="1"/>
  <c r="D3693" i="1"/>
  <c r="D3701" i="1"/>
  <c r="D3709" i="1"/>
  <c r="D3717" i="1"/>
  <c r="D3725" i="1"/>
  <c r="D3540" i="1"/>
  <c r="D3572" i="1"/>
  <c r="D3580" i="1"/>
  <c r="D3596" i="1"/>
  <c r="D3620" i="1"/>
  <c r="D3652" i="1"/>
  <c r="D3692" i="1"/>
  <c r="D3518" i="1"/>
  <c r="D3526" i="1"/>
  <c r="D3534" i="1"/>
  <c r="D3542" i="1"/>
  <c r="D3550" i="1"/>
  <c r="D3558" i="1"/>
  <c r="D3566" i="1"/>
  <c r="D3574" i="1"/>
  <c r="D3582" i="1"/>
  <c r="D3590" i="1"/>
  <c r="D3598" i="1"/>
  <c r="D3606" i="1"/>
  <c r="D3614" i="1"/>
  <c r="D3622" i="1"/>
  <c r="D3630" i="1"/>
  <c r="D3638" i="1"/>
  <c r="D3646" i="1"/>
  <c r="D3654" i="1"/>
  <c r="D3662" i="1"/>
  <c r="D3670" i="1"/>
  <c r="D3678" i="1"/>
  <c r="D3686" i="1"/>
  <c r="D3694" i="1"/>
  <c r="D3702" i="1"/>
  <c r="D3710" i="1"/>
  <c r="D3718" i="1"/>
  <c r="D3726" i="1"/>
  <c r="D3532" i="1"/>
  <c r="D3636" i="1"/>
  <c r="D3684" i="1"/>
  <c r="D3724" i="1"/>
  <c r="D2686" i="1"/>
  <c r="D2694" i="1"/>
  <c r="D2702" i="1"/>
  <c r="D2710" i="1"/>
  <c r="D2718" i="1"/>
  <c r="D2726" i="1"/>
  <c r="D2734" i="1"/>
  <c r="D2742" i="1"/>
  <c r="D2750" i="1"/>
  <c r="D2758" i="1"/>
  <c r="D2766" i="1"/>
  <c r="D2774" i="1"/>
  <c r="D2782" i="1"/>
  <c r="D2790" i="1"/>
  <c r="D2798" i="1"/>
  <c r="D2806" i="1"/>
  <c r="D2814" i="1"/>
  <c r="D2822" i="1"/>
  <c r="D2830" i="1"/>
  <c r="D2838" i="1"/>
  <c r="D2846" i="1"/>
  <c r="D2854" i="1"/>
  <c r="D2862" i="1"/>
  <c r="D2870" i="1"/>
  <c r="D2878" i="1"/>
  <c r="D2886" i="1"/>
  <c r="D2894" i="1"/>
  <c r="D2902" i="1"/>
  <c r="D2910" i="1"/>
  <c r="D2918" i="1"/>
  <c r="D2926" i="1"/>
  <c r="D2934" i="1"/>
  <c r="D2942" i="1"/>
  <c r="D2950" i="1"/>
  <c r="D2958" i="1"/>
  <c r="D2966" i="1"/>
  <c r="D2974" i="1"/>
  <c r="D2982" i="1"/>
  <c r="D2990" i="1"/>
  <c r="D2998" i="1"/>
  <c r="D3006" i="1"/>
  <c r="D3014" i="1"/>
  <c r="D3022" i="1"/>
  <c r="D3030" i="1"/>
  <c r="D3038" i="1"/>
  <c r="D3046" i="1"/>
  <c r="D3054" i="1"/>
  <c r="D3062" i="1"/>
  <c r="D3070" i="1"/>
  <c r="D3078" i="1"/>
  <c r="D3086" i="1"/>
  <c r="D3094" i="1"/>
  <c r="D3102" i="1"/>
  <c r="D3110" i="1"/>
  <c r="D3118" i="1"/>
  <c r="D3126" i="1"/>
  <c r="D3134" i="1"/>
  <c r="D3142" i="1"/>
  <c r="D3150" i="1"/>
  <c r="D3158" i="1"/>
  <c r="D3166" i="1"/>
  <c r="D3174" i="1"/>
  <c r="D3182" i="1"/>
  <c r="D3190" i="1"/>
  <c r="D3198" i="1"/>
  <c r="D3206" i="1"/>
  <c r="D3214" i="1"/>
  <c r="D3222" i="1"/>
  <c r="D3230" i="1"/>
  <c r="D3238" i="1"/>
  <c r="D3246" i="1"/>
  <c r="D3254" i="1"/>
  <c r="D3262" i="1"/>
  <c r="D3270" i="1"/>
  <c r="D3278" i="1"/>
  <c r="D3286" i="1"/>
  <c r="D3294" i="1"/>
  <c r="D3302" i="1"/>
  <c r="D3310" i="1"/>
  <c r="D3318" i="1"/>
  <c r="D3326" i="1"/>
  <c r="D3334" i="1"/>
  <c r="D3342" i="1"/>
  <c r="D3350" i="1"/>
  <c r="D3358" i="1"/>
  <c r="D3366" i="1"/>
  <c r="D2687" i="1"/>
  <c r="D2695" i="1"/>
  <c r="D2703" i="1"/>
  <c r="D2711" i="1"/>
  <c r="D2719" i="1"/>
  <c r="D2727" i="1"/>
  <c r="D2735" i="1"/>
  <c r="D2743" i="1"/>
  <c r="D2751" i="1"/>
  <c r="D2759" i="1"/>
  <c r="D2767" i="1"/>
  <c r="D2775" i="1"/>
  <c r="D2783" i="1"/>
  <c r="D2791" i="1"/>
  <c r="D2799" i="1"/>
  <c r="D2807" i="1"/>
  <c r="D2815" i="1"/>
  <c r="D2823" i="1"/>
  <c r="D2831" i="1"/>
  <c r="D2839" i="1"/>
  <c r="D2847" i="1"/>
  <c r="D2855" i="1"/>
  <c r="D2863" i="1"/>
  <c r="D2871" i="1"/>
  <c r="D2879" i="1"/>
  <c r="D2887" i="1"/>
  <c r="D2895" i="1"/>
  <c r="D2903" i="1"/>
  <c r="D2911" i="1"/>
  <c r="D2919" i="1"/>
  <c r="D2927" i="1"/>
  <c r="D2935" i="1"/>
  <c r="D2943" i="1"/>
  <c r="D2951" i="1"/>
  <c r="D2959" i="1"/>
  <c r="D2967" i="1"/>
  <c r="D2975" i="1"/>
  <c r="D2983" i="1"/>
  <c r="D2991" i="1"/>
  <c r="D2999" i="1"/>
  <c r="D3007" i="1"/>
  <c r="D3015" i="1"/>
  <c r="D3023" i="1"/>
  <c r="D3031" i="1"/>
  <c r="D3039" i="1"/>
  <c r="D3047" i="1"/>
  <c r="D3055" i="1"/>
  <c r="D3063" i="1"/>
  <c r="D3071" i="1"/>
  <c r="D3079" i="1"/>
  <c r="D3087" i="1"/>
  <c r="D3095" i="1"/>
  <c r="D3103" i="1"/>
  <c r="D3111" i="1"/>
  <c r="D3119" i="1"/>
  <c r="D3127" i="1"/>
  <c r="D3135" i="1"/>
  <c r="D3143" i="1"/>
  <c r="D3151" i="1"/>
  <c r="D3159" i="1"/>
  <c r="D3167" i="1"/>
  <c r="D3175" i="1"/>
  <c r="D3183" i="1"/>
  <c r="D3191" i="1"/>
  <c r="D3199" i="1"/>
  <c r="D3207" i="1"/>
  <c r="D3215" i="1"/>
  <c r="D3223" i="1"/>
  <c r="D3231" i="1"/>
  <c r="D3239" i="1"/>
  <c r="D2689" i="1"/>
  <c r="D2697" i="1"/>
  <c r="D2705" i="1"/>
  <c r="D2713" i="1"/>
  <c r="D2721" i="1"/>
  <c r="D2729" i="1"/>
  <c r="D2737" i="1"/>
  <c r="D2745" i="1"/>
  <c r="D2753" i="1"/>
  <c r="D2761" i="1"/>
  <c r="D2769" i="1"/>
  <c r="D2777" i="1"/>
  <c r="D2785" i="1"/>
  <c r="D2793" i="1"/>
  <c r="D2801" i="1"/>
  <c r="D2809" i="1"/>
  <c r="D2817" i="1"/>
  <c r="D2825" i="1"/>
  <c r="D2833" i="1"/>
  <c r="D2841" i="1"/>
  <c r="D2849" i="1"/>
  <c r="D2857" i="1"/>
  <c r="D2865" i="1"/>
  <c r="D2873" i="1"/>
  <c r="D2881" i="1"/>
  <c r="D2889" i="1"/>
  <c r="D2897" i="1"/>
  <c r="D2905" i="1"/>
  <c r="D2913" i="1"/>
  <c r="D2921" i="1"/>
  <c r="D2929" i="1"/>
  <c r="D2937" i="1"/>
  <c r="D2945" i="1"/>
  <c r="D2953" i="1"/>
  <c r="D2961" i="1"/>
  <c r="D2969" i="1"/>
  <c r="D2977" i="1"/>
  <c r="D2985" i="1"/>
  <c r="D2993" i="1"/>
  <c r="D3001" i="1"/>
  <c r="D3009" i="1"/>
  <c r="D3017" i="1"/>
  <c r="D3025" i="1"/>
  <c r="D3033" i="1"/>
  <c r="D3041" i="1"/>
  <c r="D3049" i="1"/>
  <c r="D3057" i="1"/>
  <c r="D3065" i="1"/>
  <c r="D3073" i="1"/>
  <c r="D3081" i="1"/>
  <c r="D3089" i="1"/>
  <c r="D3097" i="1"/>
  <c r="D3105" i="1"/>
  <c r="D3113" i="1"/>
  <c r="D3121" i="1"/>
  <c r="D3129" i="1"/>
  <c r="D3137" i="1"/>
  <c r="D3145" i="1"/>
  <c r="D3153" i="1"/>
  <c r="D3161" i="1"/>
  <c r="D3169" i="1"/>
  <c r="D3177" i="1"/>
  <c r="D3185" i="1"/>
  <c r="D3193" i="1"/>
  <c r="D3201" i="1"/>
  <c r="D3209" i="1"/>
  <c r="D3217" i="1"/>
  <c r="D3225" i="1"/>
  <c r="D3233" i="1"/>
  <c r="D3241" i="1"/>
  <c r="D3249" i="1"/>
  <c r="D3257" i="1"/>
  <c r="D3265" i="1"/>
  <c r="D3273" i="1"/>
  <c r="D3281" i="1"/>
  <c r="D3289" i="1"/>
  <c r="D3297" i="1"/>
  <c r="D3305" i="1"/>
  <c r="D2690" i="1"/>
  <c r="D2698" i="1"/>
  <c r="D2706" i="1"/>
  <c r="D2714" i="1"/>
  <c r="D2722" i="1"/>
  <c r="D2730" i="1"/>
  <c r="D2738" i="1"/>
  <c r="D2746" i="1"/>
  <c r="D2754" i="1"/>
  <c r="D2762" i="1"/>
  <c r="D2770" i="1"/>
  <c r="D2778" i="1"/>
  <c r="D2786" i="1"/>
  <c r="D2794" i="1"/>
  <c r="D2802" i="1"/>
  <c r="D2810" i="1"/>
  <c r="D2818" i="1"/>
  <c r="D2826" i="1"/>
  <c r="D2834" i="1"/>
  <c r="D2842" i="1"/>
  <c r="D2850" i="1"/>
  <c r="D2858" i="1"/>
  <c r="D2866" i="1"/>
  <c r="D2874" i="1"/>
  <c r="D2882" i="1"/>
  <c r="D2890" i="1"/>
  <c r="D2898" i="1"/>
  <c r="D2906" i="1"/>
  <c r="D2914" i="1"/>
  <c r="D2922" i="1"/>
  <c r="D2930" i="1"/>
  <c r="D2938" i="1"/>
  <c r="D2946" i="1"/>
  <c r="D2954" i="1"/>
  <c r="D2962" i="1"/>
  <c r="D2970" i="1"/>
  <c r="D2978" i="1"/>
  <c r="D2986" i="1"/>
  <c r="D2994" i="1"/>
  <c r="D3002" i="1"/>
  <c r="D3010" i="1"/>
  <c r="D3018" i="1"/>
  <c r="D3026" i="1"/>
  <c r="D3034" i="1"/>
  <c r="D3042" i="1"/>
  <c r="D3050" i="1"/>
  <c r="D3058" i="1"/>
  <c r="D3066" i="1"/>
  <c r="D3074" i="1"/>
  <c r="D3082" i="1"/>
  <c r="D3090" i="1"/>
  <c r="D3098" i="1"/>
  <c r="D3106" i="1"/>
  <c r="D3114" i="1"/>
  <c r="D3122" i="1"/>
  <c r="D3130" i="1"/>
  <c r="D3138" i="1"/>
  <c r="D3146" i="1"/>
  <c r="D3154" i="1"/>
  <c r="D3162" i="1"/>
  <c r="D3170" i="1"/>
  <c r="D3178" i="1"/>
  <c r="D3186" i="1"/>
  <c r="D3194" i="1"/>
  <c r="D3202" i="1"/>
  <c r="D3210" i="1"/>
  <c r="D3218" i="1"/>
  <c r="D3226" i="1"/>
  <c r="D3234" i="1"/>
  <c r="D3242" i="1"/>
  <c r="D3250" i="1"/>
  <c r="D3258" i="1"/>
  <c r="D3266" i="1"/>
  <c r="D3274" i="1"/>
  <c r="D3282" i="1"/>
  <c r="D3290" i="1"/>
  <c r="D3298" i="1"/>
  <c r="D3306" i="1"/>
  <c r="D3314" i="1"/>
  <c r="D3322" i="1"/>
  <c r="D3330" i="1"/>
  <c r="D3338" i="1"/>
  <c r="D3346" i="1"/>
  <c r="D3354" i="1"/>
  <c r="D3362" i="1"/>
  <c r="D2691" i="1"/>
  <c r="D2699" i="1"/>
  <c r="D2707" i="1"/>
  <c r="D2715" i="1"/>
  <c r="D2723" i="1"/>
  <c r="D2731" i="1"/>
  <c r="D2739" i="1"/>
  <c r="D2747" i="1"/>
  <c r="D2755" i="1"/>
  <c r="D2763" i="1"/>
  <c r="D2771" i="1"/>
  <c r="D2779" i="1"/>
  <c r="D2787" i="1"/>
  <c r="D2795" i="1"/>
  <c r="D2803" i="1"/>
  <c r="D2811" i="1"/>
  <c r="D2819" i="1"/>
  <c r="D2827" i="1"/>
  <c r="D2835" i="1"/>
  <c r="D2843" i="1"/>
  <c r="D2851" i="1"/>
  <c r="D2859" i="1"/>
  <c r="D2867" i="1"/>
  <c r="D2875" i="1"/>
  <c r="D2883" i="1"/>
  <c r="D2891" i="1"/>
  <c r="D2899" i="1"/>
  <c r="D2907" i="1"/>
  <c r="D2915" i="1"/>
  <c r="D2923" i="1"/>
  <c r="D2931" i="1"/>
  <c r="D2939" i="1"/>
  <c r="D2947" i="1"/>
  <c r="D2955" i="1"/>
  <c r="D2963" i="1"/>
  <c r="D2971" i="1"/>
  <c r="D2979" i="1"/>
  <c r="D2987" i="1"/>
  <c r="D2995" i="1"/>
  <c r="D3003" i="1"/>
  <c r="D3011" i="1"/>
  <c r="D3019" i="1"/>
  <c r="D3027" i="1"/>
  <c r="D3035" i="1"/>
  <c r="D3043" i="1"/>
  <c r="D3051" i="1"/>
  <c r="D3059" i="1"/>
  <c r="D3067" i="1"/>
  <c r="D3075" i="1"/>
  <c r="D3083" i="1"/>
  <c r="D3091" i="1"/>
  <c r="D3099" i="1"/>
  <c r="D3107" i="1"/>
  <c r="D3115" i="1"/>
  <c r="D3123" i="1"/>
  <c r="D3131" i="1"/>
  <c r="D3139" i="1"/>
  <c r="D3147" i="1"/>
  <c r="D3155" i="1"/>
  <c r="D3163" i="1"/>
  <c r="D3171" i="1"/>
  <c r="D3179" i="1"/>
  <c r="D3187" i="1"/>
  <c r="D3195" i="1"/>
  <c r="D3203" i="1"/>
  <c r="D3211" i="1"/>
  <c r="D3219" i="1"/>
  <c r="D3227" i="1"/>
  <c r="D3235" i="1"/>
  <c r="D3243" i="1"/>
  <c r="D3251" i="1"/>
  <c r="D3259" i="1"/>
  <c r="D3267" i="1"/>
  <c r="D3275" i="1"/>
  <c r="D3283" i="1"/>
  <c r="D3291" i="1"/>
  <c r="D3299" i="1"/>
  <c r="D3307" i="1"/>
  <c r="D3315" i="1"/>
  <c r="D3323" i="1"/>
  <c r="D3331" i="1"/>
  <c r="D3339" i="1"/>
  <c r="D3347" i="1"/>
  <c r="D2688" i="1"/>
  <c r="D2709" i="1"/>
  <c r="D2732" i="1"/>
  <c r="D2752" i="1"/>
  <c r="D2773" i="1"/>
  <c r="D2796" i="1"/>
  <c r="D2816" i="1"/>
  <c r="D2837" i="1"/>
  <c r="D2860" i="1"/>
  <c r="D2880" i="1"/>
  <c r="D2901" i="1"/>
  <c r="D2924" i="1"/>
  <c r="D2944" i="1"/>
  <c r="D2965" i="1"/>
  <c r="D2988" i="1"/>
  <c r="D3008" i="1"/>
  <c r="D3029" i="1"/>
  <c r="D3052" i="1"/>
  <c r="D3072" i="1"/>
  <c r="D3093" i="1"/>
  <c r="D3116" i="1"/>
  <c r="D3136" i="1"/>
  <c r="D3157" i="1"/>
  <c r="D3180" i="1"/>
  <c r="D3200" i="1"/>
  <c r="D3221" i="1"/>
  <c r="D3244" i="1"/>
  <c r="D3260" i="1"/>
  <c r="D3276" i="1"/>
  <c r="D3292" i="1"/>
  <c r="D3308" i="1"/>
  <c r="D3320" i="1"/>
  <c r="D3333" i="1"/>
  <c r="D3345" i="1"/>
  <c r="D3357" i="1"/>
  <c r="D3368" i="1"/>
  <c r="D3376" i="1"/>
  <c r="D3384" i="1"/>
  <c r="D3392" i="1"/>
  <c r="D3400" i="1"/>
  <c r="D3408" i="1"/>
  <c r="D3416" i="1"/>
  <c r="D3424" i="1"/>
  <c r="D3432" i="1"/>
  <c r="D3440" i="1"/>
  <c r="D3448" i="1"/>
  <c r="D3456" i="1"/>
  <c r="D3464" i="1"/>
  <c r="D3472" i="1"/>
  <c r="D3480" i="1"/>
  <c r="D3488" i="1"/>
  <c r="D3496" i="1"/>
  <c r="D3504" i="1"/>
  <c r="D3512" i="1"/>
  <c r="D3156" i="1"/>
  <c r="D3332" i="1"/>
  <c r="D2692" i="1"/>
  <c r="D2712" i="1"/>
  <c r="D2733" i="1"/>
  <c r="D2756" i="1"/>
  <c r="D2776" i="1"/>
  <c r="D2797" i="1"/>
  <c r="D2820" i="1"/>
  <c r="D2840" i="1"/>
  <c r="D2861" i="1"/>
  <c r="D2884" i="1"/>
  <c r="D2904" i="1"/>
  <c r="D2925" i="1"/>
  <c r="D2948" i="1"/>
  <c r="D2968" i="1"/>
  <c r="D2989" i="1"/>
  <c r="D3012" i="1"/>
  <c r="D3032" i="1"/>
  <c r="D3053" i="1"/>
  <c r="D3076" i="1"/>
  <c r="D3096" i="1"/>
  <c r="D3117" i="1"/>
  <c r="D3140" i="1"/>
  <c r="D3160" i="1"/>
  <c r="D3181" i="1"/>
  <c r="D3204" i="1"/>
  <c r="D3224" i="1"/>
  <c r="D3245" i="1"/>
  <c r="D3261" i="1"/>
  <c r="D3277" i="1"/>
  <c r="D3293" i="1"/>
  <c r="D3309" i="1"/>
  <c r="D3321" i="1"/>
  <c r="D3335" i="1"/>
  <c r="D3348" i="1"/>
  <c r="D3359" i="1"/>
  <c r="D3369" i="1"/>
  <c r="D3377" i="1"/>
  <c r="D3385" i="1"/>
  <c r="D3393" i="1"/>
  <c r="D3401" i="1"/>
  <c r="D3409" i="1"/>
  <c r="D3417" i="1"/>
  <c r="D3425" i="1"/>
  <c r="D3433" i="1"/>
  <c r="D3441" i="1"/>
  <c r="D3449" i="1"/>
  <c r="D3457" i="1"/>
  <c r="D3465" i="1"/>
  <c r="D3473" i="1"/>
  <c r="D3481" i="1"/>
  <c r="D3489" i="1"/>
  <c r="D3497" i="1"/>
  <c r="D3505" i="1"/>
  <c r="D3513" i="1"/>
  <c r="D2685" i="1"/>
  <c r="D2792" i="1"/>
  <c r="D2856" i="1"/>
  <c r="D2900" i="1"/>
  <c r="D2964" i="1"/>
  <c r="D3028" i="1"/>
  <c r="D3069" i="1"/>
  <c r="D3133" i="1"/>
  <c r="D3220" i="1"/>
  <c r="D3256" i="1"/>
  <c r="D3288" i="1"/>
  <c r="D3344" i="1"/>
  <c r="D3383" i="1"/>
  <c r="D3399" i="1"/>
  <c r="D3423" i="1"/>
  <c r="D3447" i="1"/>
  <c r="D3471" i="1"/>
  <c r="D3495" i="1"/>
  <c r="D2693" i="1"/>
  <c r="D2716" i="1"/>
  <c r="D2736" i="1"/>
  <c r="D2757" i="1"/>
  <c r="D2780" i="1"/>
  <c r="D2800" i="1"/>
  <c r="D2821" i="1"/>
  <c r="D2844" i="1"/>
  <c r="D2864" i="1"/>
  <c r="D2885" i="1"/>
  <c r="D2908" i="1"/>
  <c r="D2928" i="1"/>
  <c r="D2949" i="1"/>
  <c r="D2972" i="1"/>
  <c r="D2992" i="1"/>
  <c r="D3013" i="1"/>
  <c r="D3036" i="1"/>
  <c r="D3056" i="1"/>
  <c r="D3077" i="1"/>
  <c r="D3100" i="1"/>
  <c r="D3120" i="1"/>
  <c r="D3141" i="1"/>
  <c r="D3164" i="1"/>
  <c r="D3184" i="1"/>
  <c r="D3205" i="1"/>
  <c r="D3228" i="1"/>
  <c r="D3247" i="1"/>
  <c r="D3263" i="1"/>
  <c r="D3279" i="1"/>
  <c r="D3295" i="1"/>
  <c r="D3311" i="1"/>
  <c r="D3324" i="1"/>
  <c r="D3336" i="1"/>
  <c r="D3349" i="1"/>
  <c r="D3360" i="1"/>
  <c r="D3370" i="1"/>
  <c r="D3378" i="1"/>
  <c r="D3386" i="1"/>
  <c r="D3394" i="1"/>
  <c r="D3402" i="1"/>
  <c r="D3410" i="1"/>
  <c r="D3418" i="1"/>
  <c r="D3426" i="1"/>
  <c r="D3434" i="1"/>
  <c r="D3442" i="1"/>
  <c r="D3450" i="1"/>
  <c r="D3458" i="1"/>
  <c r="D3466" i="1"/>
  <c r="D3474" i="1"/>
  <c r="D3482" i="1"/>
  <c r="D3490" i="1"/>
  <c r="D3498" i="1"/>
  <c r="D3506" i="1"/>
  <c r="D3514" i="1"/>
  <c r="D2708" i="1"/>
  <c r="D2836" i="1"/>
  <c r="D2941" i="1"/>
  <c r="D3092" i="1"/>
  <c r="D3240" i="1"/>
  <c r="D3319" i="1"/>
  <c r="D3375" i="1"/>
  <c r="D3487" i="1"/>
  <c r="D2696" i="1"/>
  <c r="D2717" i="1"/>
  <c r="D2740" i="1"/>
  <c r="D2760" i="1"/>
  <c r="D2781" i="1"/>
  <c r="D2804" i="1"/>
  <c r="D2824" i="1"/>
  <c r="D2845" i="1"/>
  <c r="D2868" i="1"/>
  <c r="D2888" i="1"/>
  <c r="D2909" i="1"/>
  <c r="D2932" i="1"/>
  <c r="D2952" i="1"/>
  <c r="D2973" i="1"/>
  <c r="D2996" i="1"/>
  <c r="D3016" i="1"/>
  <c r="D3037" i="1"/>
  <c r="D3060" i="1"/>
  <c r="D3080" i="1"/>
  <c r="D3101" i="1"/>
  <c r="D3124" i="1"/>
  <c r="D3144" i="1"/>
  <c r="D3165" i="1"/>
  <c r="D3188" i="1"/>
  <c r="D3208" i="1"/>
  <c r="D3229" i="1"/>
  <c r="D3248" i="1"/>
  <c r="D3264" i="1"/>
  <c r="D3280" i="1"/>
  <c r="D3296" i="1"/>
  <c r="D3312" i="1"/>
  <c r="D3325" i="1"/>
  <c r="D3337" i="1"/>
  <c r="D3351" i="1"/>
  <c r="D3361" i="1"/>
  <c r="D3371" i="1"/>
  <c r="D3379" i="1"/>
  <c r="D3387" i="1"/>
  <c r="D3395" i="1"/>
  <c r="D3403" i="1"/>
  <c r="D3411" i="1"/>
  <c r="D3419" i="1"/>
  <c r="D3427" i="1"/>
  <c r="D3435" i="1"/>
  <c r="D3443" i="1"/>
  <c r="D3451" i="1"/>
  <c r="D3459" i="1"/>
  <c r="D3467" i="1"/>
  <c r="D3475" i="1"/>
  <c r="D3483" i="1"/>
  <c r="D3491" i="1"/>
  <c r="D3499" i="1"/>
  <c r="D3507" i="1"/>
  <c r="D3515" i="1"/>
  <c r="D2772" i="1"/>
  <c r="D2984" i="1"/>
  <c r="D3197" i="1"/>
  <c r="D3367" i="1"/>
  <c r="D3415" i="1"/>
  <c r="D3439" i="1"/>
  <c r="D3463" i="1"/>
  <c r="D3511" i="1"/>
  <c r="D2700" i="1"/>
  <c r="D2720" i="1"/>
  <c r="D2741" i="1"/>
  <c r="D2764" i="1"/>
  <c r="D2784" i="1"/>
  <c r="D2805" i="1"/>
  <c r="D2828" i="1"/>
  <c r="D2848" i="1"/>
  <c r="D2869" i="1"/>
  <c r="D2892" i="1"/>
  <c r="D2912" i="1"/>
  <c r="D2933" i="1"/>
  <c r="D2956" i="1"/>
  <c r="D2976" i="1"/>
  <c r="D2997" i="1"/>
  <c r="D3020" i="1"/>
  <c r="D3040" i="1"/>
  <c r="D3061" i="1"/>
  <c r="D3084" i="1"/>
  <c r="D3104" i="1"/>
  <c r="D3125" i="1"/>
  <c r="D3148" i="1"/>
  <c r="D3168" i="1"/>
  <c r="D3189" i="1"/>
  <c r="D3212" i="1"/>
  <c r="D3232" i="1"/>
  <c r="D3252" i="1"/>
  <c r="D3268" i="1"/>
  <c r="D3284" i="1"/>
  <c r="D3300" i="1"/>
  <c r="D3313" i="1"/>
  <c r="D3327" i="1"/>
  <c r="D3340" i="1"/>
  <c r="D3352" i="1"/>
  <c r="D3363" i="1"/>
  <c r="D3372" i="1"/>
  <c r="D3380" i="1"/>
  <c r="D3388" i="1"/>
  <c r="D3396" i="1"/>
  <c r="D3404" i="1"/>
  <c r="D3412" i="1"/>
  <c r="D3420" i="1"/>
  <c r="D3428" i="1"/>
  <c r="D3436" i="1"/>
  <c r="D3444" i="1"/>
  <c r="D3452" i="1"/>
  <c r="D3460" i="1"/>
  <c r="D3468" i="1"/>
  <c r="D3476" i="1"/>
  <c r="D3484" i="1"/>
  <c r="D3492" i="1"/>
  <c r="D3500" i="1"/>
  <c r="D3508" i="1"/>
  <c r="D2728" i="1"/>
  <c r="D2701" i="1"/>
  <c r="D2724" i="1"/>
  <c r="D2744" i="1"/>
  <c r="D2765" i="1"/>
  <c r="D2788" i="1"/>
  <c r="D2808" i="1"/>
  <c r="D2829" i="1"/>
  <c r="D2852" i="1"/>
  <c r="D2872" i="1"/>
  <c r="D2893" i="1"/>
  <c r="D2916" i="1"/>
  <c r="D2936" i="1"/>
  <c r="D2957" i="1"/>
  <c r="D2980" i="1"/>
  <c r="D3000" i="1"/>
  <c r="D3021" i="1"/>
  <c r="D3044" i="1"/>
  <c r="D3064" i="1"/>
  <c r="D3085" i="1"/>
  <c r="D3108" i="1"/>
  <c r="D3128" i="1"/>
  <c r="D3149" i="1"/>
  <c r="D3172" i="1"/>
  <c r="D3192" i="1"/>
  <c r="D3213" i="1"/>
  <c r="D3236" i="1"/>
  <c r="D3253" i="1"/>
  <c r="D3269" i="1"/>
  <c r="D3285" i="1"/>
  <c r="D3301" i="1"/>
  <c r="D3316" i="1"/>
  <c r="D3328" i="1"/>
  <c r="D3341" i="1"/>
  <c r="D3353" i="1"/>
  <c r="D3364" i="1"/>
  <c r="D3373" i="1"/>
  <c r="D3381" i="1"/>
  <c r="D3389" i="1"/>
  <c r="D3397" i="1"/>
  <c r="D3405" i="1"/>
  <c r="D3413" i="1"/>
  <c r="D3421" i="1"/>
  <c r="D3429" i="1"/>
  <c r="D3437" i="1"/>
  <c r="D3445" i="1"/>
  <c r="D3453" i="1"/>
  <c r="D3461" i="1"/>
  <c r="D3469" i="1"/>
  <c r="D3477" i="1"/>
  <c r="D3485" i="1"/>
  <c r="D3493" i="1"/>
  <c r="D3501" i="1"/>
  <c r="D3509" i="1"/>
  <c r="D2749" i="1"/>
  <c r="D2813" i="1"/>
  <c r="D2877" i="1"/>
  <c r="D2920" i="1"/>
  <c r="D3005" i="1"/>
  <c r="D3048" i="1"/>
  <c r="D3112" i="1"/>
  <c r="D3176" i="1"/>
  <c r="D3272" i="1"/>
  <c r="D3304" i="1"/>
  <c r="D3356" i="1"/>
  <c r="D3391" i="1"/>
  <c r="D3407" i="1"/>
  <c r="D3431" i="1"/>
  <c r="D3455" i="1"/>
  <c r="D3479" i="1"/>
  <c r="D3503" i="1"/>
  <c r="D2704" i="1"/>
  <c r="D2725" i="1"/>
  <c r="D2748" i="1"/>
  <c r="D2768" i="1"/>
  <c r="D2789" i="1"/>
  <c r="D2812" i="1"/>
  <c r="D2832" i="1"/>
  <c r="D2853" i="1"/>
  <c r="D2876" i="1"/>
  <c r="D2896" i="1"/>
  <c r="D2917" i="1"/>
  <c r="D2940" i="1"/>
  <c r="D2960" i="1"/>
  <c r="D2981" i="1"/>
  <c r="D3004" i="1"/>
  <c r="D3024" i="1"/>
  <c r="D3045" i="1"/>
  <c r="D3068" i="1"/>
  <c r="D3088" i="1"/>
  <c r="D3109" i="1"/>
  <c r="D3132" i="1"/>
  <c r="D3152" i="1"/>
  <c r="D3173" i="1"/>
  <c r="D3196" i="1"/>
  <c r="D3216" i="1"/>
  <c r="D3237" i="1"/>
  <c r="D3255" i="1"/>
  <c r="D3271" i="1"/>
  <c r="D3287" i="1"/>
  <c r="D3303" i="1"/>
  <c r="D3317" i="1"/>
  <c r="D3329" i="1"/>
  <c r="D3343" i="1"/>
  <c r="D3355" i="1"/>
  <c r="D3365" i="1"/>
  <c r="D3374" i="1"/>
  <c r="D3382" i="1"/>
  <c r="D3390" i="1"/>
  <c r="D3398" i="1"/>
  <c r="D3406" i="1"/>
  <c r="D3414" i="1"/>
  <c r="D3422" i="1"/>
  <c r="D3430" i="1"/>
  <c r="D3438" i="1"/>
  <c r="D3446" i="1"/>
  <c r="D3454" i="1"/>
  <c r="D3462" i="1"/>
  <c r="D3470" i="1"/>
  <c r="D3478" i="1"/>
  <c r="D3486" i="1"/>
  <c r="D3494" i="1"/>
  <c r="D3502" i="1"/>
  <c r="D3510" i="1"/>
  <c r="D2671" i="1"/>
  <c r="D2679" i="1"/>
  <c r="D2672" i="1"/>
  <c r="D2680" i="1"/>
  <c r="D2673" i="1"/>
  <c r="D2681" i="1"/>
  <c r="D2674" i="1"/>
  <c r="D2682" i="1"/>
  <c r="D2675" i="1"/>
  <c r="D2683" i="1"/>
  <c r="D2678" i="1"/>
  <c r="D2676" i="1"/>
  <c r="D2684" i="1"/>
  <c r="D2670" i="1"/>
  <c r="D2677" i="1"/>
  <c r="D2" i="1"/>
  <c r="D2664" i="1"/>
  <c r="D2656" i="1"/>
  <c r="D2648" i="1"/>
  <c r="D762" i="1"/>
  <c r="D1415" i="1"/>
  <c r="D2640" i="1"/>
  <c r="D2600" i="1"/>
  <c r="D2560" i="1"/>
  <c r="D2512" i="1"/>
  <c r="D2472" i="1"/>
  <c r="D2424" i="1"/>
  <c r="D2384" i="1"/>
  <c r="D2328" i="1"/>
  <c r="D2296" i="1"/>
  <c r="D2248" i="1"/>
  <c r="D2208" i="1"/>
  <c r="D2160" i="1"/>
  <c r="D2112" i="1"/>
  <c r="D2064" i="1"/>
  <c r="D2016" i="1"/>
  <c r="D1976" i="1"/>
  <c r="D1936" i="1"/>
  <c r="D1888" i="1"/>
  <c r="D1848" i="1"/>
  <c r="D1792" i="1"/>
  <c r="D1744" i="1"/>
  <c r="D1696" i="1"/>
  <c r="D1648" i="1"/>
  <c r="D1600" i="1"/>
  <c r="D1560" i="1"/>
  <c r="D1520" i="1"/>
  <c r="D1464" i="1"/>
  <c r="D1416" i="1"/>
  <c r="D1376" i="1"/>
  <c r="D1328" i="1"/>
  <c r="D1280" i="1"/>
  <c r="D1240" i="1"/>
  <c r="D1216" i="1"/>
  <c r="D1160" i="1"/>
  <c r="D1136" i="1"/>
  <c r="D1096" i="1"/>
  <c r="D1056" i="1"/>
  <c r="D986" i="1"/>
  <c r="D962" i="1"/>
  <c r="D930" i="1"/>
  <c r="D898" i="1"/>
  <c r="D874" i="1"/>
  <c r="D842" i="1"/>
  <c r="D754" i="1"/>
  <c r="D2632" i="1"/>
  <c r="D2576" i="1"/>
  <c r="D2536" i="1"/>
  <c r="D2488" i="1"/>
  <c r="D2448" i="1"/>
  <c r="D2400" i="1"/>
  <c r="D2352" i="1"/>
  <c r="D2288" i="1"/>
  <c r="D2232" i="1"/>
  <c r="D2184" i="1"/>
  <c r="D2136" i="1"/>
  <c r="D2088" i="1"/>
  <c r="D2048" i="1"/>
  <c r="D2000" i="1"/>
  <c r="D1952" i="1"/>
  <c r="D1912" i="1"/>
  <c r="D1864" i="1"/>
  <c r="D1816" i="1"/>
  <c r="D1776" i="1"/>
  <c r="D1736" i="1"/>
  <c r="D1680" i="1"/>
  <c r="D1640" i="1"/>
  <c r="D1592" i="1"/>
  <c r="D1544" i="1"/>
  <c r="D1488" i="1"/>
  <c r="D1432" i="1"/>
  <c r="D1392" i="1"/>
  <c r="D1344" i="1"/>
  <c r="D1304" i="1"/>
  <c r="D1248" i="1"/>
  <c r="D1184" i="1"/>
  <c r="D1112" i="1"/>
  <c r="D746" i="1"/>
  <c r="D2616" i="1"/>
  <c r="D2568" i="1"/>
  <c r="D2520" i="1"/>
  <c r="D2464" i="1"/>
  <c r="D2416" i="1"/>
  <c r="D2376" i="1"/>
  <c r="D2344" i="1"/>
  <c r="D2304" i="1"/>
  <c r="D2256" i="1"/>
  <c r="D2200" i="1"/>
  <c r="D2152" i="1"/>
  <c r="D2120" i="1"/>
  <c r="D2072" i="1"/>
  <c r="D2024" i="1"/>
  <c r="D1968" i="1"/>
  <c r="D1928" i="1"/>
  <c r="D1880" i="1"/>
  <c r="D1840" i="1"/>
  <c r="D1800" i="1"/>
  <c r="D1752" i="1"/>
  <c r="D1704" i="1"/>
  <c r="D1656" i="1"/>
  <c r="D1608" i="1"/>
  <c r="D1568" i="1"/>
  <c r="D1512" i="1"/>
  <c r="D1472" i="1"/>
  <c r="D1424" i="1"/>
  <c r="D1368" i="1"/>
  <c r="D1320" i="1"/>
  <c r="D1288" i="1"/>
  <c r="D1232" i="1"/>
  <c r="D1200" i="1"/>
  <c r="D1168" i="1"/>
  <c r="D1144" i="1"/>
  <c r="D1104" i="1"/>
  <c r="D1064" i="1"/>
  <c r="D1032" i="1"/>
  <c r="D1016" i="1"/>
  <c r="D994" i="1"/>
  <c r="D954" i="1"/>
  <c r="D922" i="1"/>
  <c r="D890" i="1"/>
  <c r="D866" i="1"/>
  <c r="D834" i="1"/>
  <c r="D794" i="1"/>
  <c r="D714" i="1"/>
  <c r="D2608" i="1"/>
  <c r="D2552" i="1"/>
  <c r="D2504" i="1"/>
  <c r="D2456" i="1"/>
  <c r="D2408" i="1"/>
  <c r="D2360" i="1"/>
  <c r="D2312" i="1"/>
  <c r="D2264" i="1"/>
  <c r="D2216" i="1"/>
  <c r="D2176" i="1"/>
  <c r="D2128" i="1"/>
  <c r="D2080" i="1"/>
  <c r="D2032" i="1"/>
  <c r="D1984" i="1"/>
  <c r="D1920" i="1"/>
  <c r="D1872" i="1"/>
  <c r="D1824" i="1"/>
  <c r="D1768" i="1"/>
  <c r="D1720" i="1"/>
  <c r="D1672" i="1"/>
  <c r="D1624" i="1"/>
  <c r="D1576" i="1"/>
  <c r="D1528" i="1"/>
  <c r="D1480" i="1"/>
  <c r="D1448" i="1"/>
  <c r="D1408" i="1"/>
  <c r="D1360" i="1"/>
  <c r="D1312" i="1"/>
  <c r="D1264" i="1"/>
  <c r="D1208" i="1"/>
  <c r="D1152" i="1"/>
  <c r="D1120" i="1"/>
  <c r="D1088" i="1"/>
  <c r="D1048" i="1"/>
  <c r="D1024" i="1"/>
  <c r="D978" i="1"/>
  <c r="D946" i="1"/>
  <c r="D914" i="1"/>
  <c r="D882" i="1"/>
  <c r="D850" i="1"/>
  <c r="D818" i="1"/>
  <c r="D802" i="1"/>
  <c r="D778" i="1"/>
  <c r="D730" i="1"/>
  <c r="D2592" i="1"/>
  <c r="D2544" i="1"/>
  <c r="D2496" i="1"/>
  <c r="D2432" i="1"/>
  <c r="D2368" i="1"/>
  <c r="D2320" i="1"/>
  <c r="D2272" i="1"/>
  <c r="D2224" i="1"/>
  <c r="D2168" i="1"/>
  <c r="D2096" i="1"/>
  <c r="D2040" i="1"/>
  <c r="D1992" i="1"/>
  <c r="D1944" i="1"/>
  <c r="D1896" i="1"/>
  <c r="D1832" i="1"/>
  <c r="D1784" i="1"/>
  <c r="D1712" i="1"/>
  <c r="D1664" i="1"/>
  <c r="D1616" i="1"/>
  <c r="D1552" i="1"/>
  <c r="D1504" i="1"/>
  <c r="D1440" i="1"/>
  <c r="D1384" i="1"/>
  <c r="D1336" i="1"/>
  <c r="D1272" i="1"/>
  <c r="D1224" i="1"/>
  <c r="D1176" i="1"/>
  <c r="D1128" i="1"/>
  <c r="D1080" i="1"/>
  <c r="D1040" i="1"/>
  <c r="D1008" i="1"/>
  <c r="D970" i="1"/>
  <c r="D938" i="1"/>
  <c r="D906" i="1"/>
  <c r="D858" i="1"/>
  <c r="D826" i="1"/>
  <c r="D810" i="1"/>
  <c r="D786" i="1"/>
  <c r="D770" i="1"/>
  <c r="D738" i="1"/>
  <c r="D2624" i="1"/>
  <c r="D2584" i="1"/>
  <c r="D2528" i="1"/>
  <c r="D2480" i="1"/>
  <c r="D2440" i="1"/>
  <c r="D2392" i="1"/>
  <c r="D2336" i="1"/>
  <c r="D2280" i="1"/>
  <c r="D2240" i="1"/>
  <c r="D2192" i="1"/>
  <c r="D2144" i="1"/>
  <c r="D2104" i="1"/>
  <c r="D2056" i="1"/>
  <c r="D2008" i="1"/>
  <c r="D1960" i="1"/>
  <c r="D1904" i="1"/>
  <c r="D1856" i="1"/>
  <c r="D1808" i="1"/>
  <c r="D1760" i="1"/>
  <c r="D1728" i="1"/>
  <c r="D1688" i="1"/>
  <c r="D1632" i="1"/>
  <c r="D1584" i="1"/>
  <c r="D1536" i="1"/>
  <c r="D1496" i="1"/>
  <c r="D1456" i="1"/>
  <c r="D1400" i="1"/>
  <c r="D1352" i="1"/>
  <c r="D1296" i="1"/>
  <c r="D1256" i="1"/>
  <c r="D1192" i="1"/>
  <c r="D1072" i="1"/>
  <c r="D722" i="1"/>
  <c r="D610" i="1"/>
  <c r="D706" i="1"/>
  <c r="D674" i="1"/>
  <c r="D618" i="1"/>
  <c r="D2631" i="1"/>
  <c r="D2583" i="1"/>
  <c r="D2543" i="1"/>
  <c r="D2511" i="1"/>
  <c r="D2463" i="1"/>
  <c r="D2439" i="1"/>
  <c r="D2407" i="1"/>
  <c r="D2383" i="1"/>
  <c r="D2351" i="1"/>
  <c r="D2319" i="1"/>
  <c r="D2287" i="1"/>
  <c r="D2255" i="1"/>
  <c r="D2231" i="1"/>
  <c r="D2199" i="1"/>
  <c r="D2175" i="1"/>
  <c r="D2151" i="1"/>
  <c r="D2127" i="1"/>
  <c r="D2103" i="1"/>
  <c r="D2063" i="1"/>
  <c r="D2039" i="1"/>
  <c r="D2015" i="1"/>
  <c r="D1991" i="1"/>
  <c r="D1967" i="1"/>
  <c r="D1943" i="1"/>
  <c r="D1919" i="1"/>
  <c r="D1895" i="1"/>
  <c r="D1879" i="1"/>
  <c r="D1855" i="1"/>
  <c r="D1831" i="1"/>
  <c r="D1807" i="1"/>
  <c r="D1783" i="1"/>
  <c r="D1759" i="1"/>
  <c r="D1735" i="1"/>
  <c r="D1663" i="1"/>
  <c r="D1639" i="1"/>
  <c r="D1615" i="1"/>
  <c r="D1591" i="1"/>
  <c r="D1559" i="1"/>
  <c r="D1439" i="1"/>
  <c r="D3" i="1"/>
  <c r="D11" i="1"/>
  <c r="D19" i="1"/>
  <c r="D27" i="1"/>
  <c r="D35" i="1"/>
  <c r="D43" i="1"/>
  <c r="D51" i="1"/>
  <c r="D59" i="1"/>
  <c r="D67" i="1"/>
  <c r="D75" i="1"/>
  <c r="D83" i="1"/>
  <c r="D91" i="1"/>
  <c r="D99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203" i="1"/>
  <c r="D211" i="1"/>
  <c r="D219" i="1"/>
  <c r="D227" i="1"/>
  <c r="D235" i="1"/>
  <c r="D243" i="1"/>
  <c r="D251" i="1"/>
  <c r="D259" i="1"/>
  <c r="D267" i="1"/>
  <c r="D275" i="1"/>
  <c r="D283" i="1"/>
  <c r="D291" i="1"/>
  <c r="D299" i="1"/>
  <c r="D307" i="1"/>
  <c r="D315" i="1"/>
  <c r="D323" i="1"/>
  <c r="D331" i="1"/>
  <c r="D339" i="1"/>
  <c r="D347" i="1"/>
  <c r="D355" i="1"/>
  <c r="D363" i="1"/>
  <c r="D371" i="1"/>
  <c r="D379" i="1"/>
  <c r="D387" i="1"/>
  <c r="D395" i="1"/>
  <c r="D403" i="1"/>
  <c r="D411" i="1"/>
  <c r="D419" i="1"/>
  <c r="D427" i="1"/>
  <c r="D435" i="1"/>
  <c r="D443" i="1"/>
  <c r="D451" i="1"/>
  <c r="D459" i="1"/>
  <c r="D467" i="1"/>
  <c r="D4" i="1"/>
  <c r="D12" i="1"/>
  <c r="D20" i="1"/>
  <c r="D28" i="1"/>
  <c r="D36" i="1"/>
  <c r="D44" i="1"/>
  <c r="D52" i="1"/>
  <c r="D60" i="1"/>
  <c r="D68" i="1"/>
  <c r="D76" i="1"/>
  <c r="D84" i="1"/>
  <c r="D92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5" i="1"/>
  <c r="D13" i="1"/>
  <c r="D21" i="1"/>
  <c r="D29" i="1"/>
  <c r="D37" i="1"/>
  <c r="D45" i="1"/>
  <c r="D53" i="1"/>
  <c r="D61" i="1"/>
  <c r="D69" i="1"/>
  <c r="D77" i="1"/>
  <c r="D85" i="1"/>
  <c r="D93" i="1"/>
  <c r="D101" i="1"/>
  <c r="D109" i="1"/>
  <c r="D117" i="1"/>
  <c r="D125" i="1"/>
  <c r="D133" i="1"/>
  <c r="D141" i="1"/>
  <c r="D149" i="1"/>
  <c r="D157" i="1"/>
  <c r="D165" i="1"/>
  <c r="D173" i="1"/>
  <c r="D181" i="1"/>
  <c r="D189" i="1"/>
  <c r="D197" i="1"/>
  <c r="D205" i="1"/>
  <c r="D6" i="1"/>
  <c r="D14" i="1"/>
  <c r="D22" i="1"/>
  <c r="D30" i="1"/>
  <c r="D38" i="1"/>
  <c r="D46" i="1"/>
  <c r="D54" i="1"/>
  <c r="D62" i="1"/>
  <c r="D70" i="1"/>
  <c r="D78" i="1"/>
  <c r="D86" i="1"/>
  <c r="D94" i="1"/>
  <c r="D102" i="1"/>
  <c r="D110" i="1"/>
  <c r="D118" i="1"/>
  <c r="D126" i="1"/>
  <c r="D134" i="1"/>
  <c r="D142" i="1"/>
  <c r="D150" i="1"/>
  <c r="D158" i="1"/>
  <c r="D166" i="1"/>
  <c r="D174" i="1"/>
  <c r="D182" i="1"/>
  <c r="D190" i="1"/>
  <c r="D198" i="1"/>
  <c r="D206" i="1"/>
  <c r="D214" i="1"/>
  <c r="D222" i="1"/>
  <c r="D230" i="1"/>
  <c r="D238" i="1"/>
  <c r="D246" i="1"/>
  <c r="D254" i="1"/>
  <c r="D262" i="1"/>
  <c r="D270" i="1"/>
  <c r="D278" i="1"/>
  <c r="D286" i="1"/>
  <c r="D294" i="1"/>
  <c r="D302" i="1"/>
  <c r="D310" i="1"/>
  <c r="D318" i="1"/>
  <c r="D326" i="1"/>
  <c r="D334" i="1"/>
  <c r="D342" i="1"/>
  <c r="D350" i="1"/>
  <c r="D358" i="1"/>
  <c r="D366" i="1"/>
  <c r="D374" i="1"/>
  <c r="D382" i="1"/>
  <c r="D390" i="1"/>
  <c r="D398" i="1"/>
  <c r="D406" i="1"/>
  <c r="D414" i="1"/>
  <c r="D422" i="1"/>
  <c r="D430" i="1"/>
  <c r="D438" i="1"/>
  <c r="D446" i="1"/>
  <c r="D454" i="1"/>
  <c r="D462" i="1"/>
  <c r="D470" i="1"/>
  <c r="D478" i="1"/>
  <c r="D486" i="1"/>
  <c r="D494" i="1"/>
  <c r="D502" i="1"/>
  <c r="D510" i="1"/>
  <c r="D518" i="1"/>
  <c r="D526" i="1"/>
  <c r="D534" i="1"/>
  <c r="D542" i="1"/>
  <c r="D550" i="1"/>
  <c r="D558" i="1"/>
  <c r="D566" i="1"/>
  <c r="D574" i="1"/>
  <c r="D582" i="1"/>
  <c r="D590" i="1"/>
  <c r="D598" i="1"/>
  <c r="D7" i="1"/>
  <c r="D15" i="1"/>
  <c r="D23" i="1"/>
  <c r="D31" i="1"/>
  <c r="D39" i="1"/>
  <c r="D47" i="1"/>
  <c r="D55" i="1"/>
  <c r="D63" i="1"/>
  <c r="D71" i="1"/>
  <c r="D79" i="1"/>
  <c r="D87" i="1"/>
  <c r="D95" i="1"/>
  <c r="D103" i="1"/>
  <c r="D111" i="1"/>
  <c r="D119" i="1"/>
  <c r="D127" i="1"/>
  <c r="D135" i="1"/>
  <c r="D143" i="1"/>
  <c r="D151" i="1"/>
  <c r="D159" i="1"/>
  <c r="D167" i="1"/>
  <c r="D175" i="1"/>
  <c r="D183" i="1"/>
  <c r="D191" i="1"/>
  <c r="D199" i="1"/>
  <c r="D207" i="1"/>
  <c r="D215" i="1"/>
  <c r="D223" i="1"/>
  <c r="D231" i="1"/>
  <c r="D239" i="1"/>
  <c r="D247" i="1"/>
  <c r="D255" i="1"/>
  <c r="D263" i="1"/>
  <c r="D271" i="1"/>
  <c r="D279" i="1"/>
  <c r="D287" i="1"/>
  <c r="D295" i="1"/>
  <c r="D303" i="1"/>
  <c r="D311" i="1"/>
  <c r="D319" i="1"/>
  <c r="D327" i="1"/>
  <c r="D335" i="1"/>
  <c r="D343" i="1"/>
  <c r="D351" i="1"/>
  <c r="D359" i="1"/>
  <c r="D367" i="1"/>
  <c r="D375" i="1"/>
  <c r="D383" i="1"/>
  <c r="D391" i="1"/>
  <c r="D399" i="1"/>
  <c r="D407" i="1"/>
  <c r="D415" i="1"/>
  <c r="D423" i="1"/>
  <c r="D431" i="1"/>
  <c r="D439" i="1"/>
  <c r="D447" i="1"/>
  <c r="D455" i="1"/>
  <c r="D463" i="1"/>
  <c r="D471" i="1"/>
  <c r="D479" i="1"/>
  <c r="D487" i="1"/>
  <c r="D495" i="1"/>
  <c r="D503" i="1"/>
  <c r="D511" i="1"/>
  <c r="D519" i="1"/>
  <c r="D527" i="1"/>
  <c r="D535" i="1"/>
  <c r="D543" i="1"/>
  <c r="D551" i="1"/>
  <c r="D559" i="1"/>
  <c r="D567" i="1"/>
  <c r="D575" i="1"/>
  <c r="D583" i="1"/>
  <c r="D591" i="1"/>
  <c r="D599" i="1"/>
  <c r="D8" i="1"/>
  <c r="D16" i="1"/>
  <c r="D24" i="1"/>
  <c r="D32" i="1"/>
  <c r="D40" i="1"/>
  <c r="D48" i="1"/>
  <c r="D56" i="1"/>
  <c r="D64" i="1"/>
  <c r="D72" i="1"/>
  <c r="D80" i="1"/>
  <c r="D88" i="1"/>
  <c r="D96" i="1"/>
  <c r="D104" i="1"/>
  <c r="D112" i="1"/>
  <c r="D120" i="1"/>
  <c r="D128" i="1"/>
  <c r="D136" i="1"/>
  <c r="D144" i="1"/>
  <c r="D152" i="1"/>
  <c r="D160" i="1"/>
  <c r="D168" i="1"/>
  <c r="D176" i="1"/>
  <c r="D184" i="1"/>
  <c r="D192" i="1"/>
  <c r="D200" i="1"/>
  <c r="D208" i="1"/>
  <c r="D216" i="1"/>
  <c r="D224" i="1"/>
  <c r="D232" i="1"/>
  <c r="D240" i="1"/>
  <c r="D248" i="1"/>
  <c r="D256" i="1"/>
  <c r="D264" i="1"/>
  <c r="D272" i="1"/>
  <c r="D280" i="1"/>
  <c r="D288" i="1"/>
  <c r="D296" i="1"/>
  <c r="D304" i="1"/>
  <c r="D312" i="1"/>
  <c r="D320" i="1"/>
  <c r="D328" i="1"/>
  <c r="D336" i="1"/>
  <c r="D344" i="1"/>
  <c r="D352" i="1"/>
  <c r="D360" i="1"/>
  <c r="D368" i="1"/>
  <c r="D376" i="1"/>
  <c r="D384" i="1"/>
  <c r="D392" i="1"/>
  <c r="D400" i="1"/>
  <c r="D408" i="1"/>
  <c r="D416" i="1"/>
  <c r="D424" i="1"/>
  <c r="D432" i="1"/>
  <c r="D440" i="1"/>
  <c r="D448" i="1"/>
  <c r="D456" i="1"/>
  <c r="D464" i="1"/>
  <c r="D9" i="1"/>
  <c r="D17" i="1"/>
  <c r="D25" i="1"/>
  <c r="D33" i="1"/>
  <c r="D41" i="1"/>
  <c r="D49" i="1"/>
  <c r="D57" i="1"/>
  <c r="D65" i="1"/>
  <c r="D73" i="1"/>
  <c r="D81" i="1"/>
  <c r="D89" i="1"/>
  <c r="D97" i="1"/>
  <c r="D105" i="1"/>
  <c r="D113" i="1"/>
  <c r="D121" i="1"/>
  <c r="D129" i="1"/>
  <c r="D137" i="1"/>
  <c r="D145" i="1"/>
  <c r="D153" i="1"/>
  <c r="D161" i="1"/>
  <c r="D169" i="1"/>
  <c r="D177" i="1"/>
  <c r="D185" i="1"/>
  <c r="D193" i="1"/>
  <c r="D201" i="1"/>
  <c r="D209" i="1"/>
  <c r="D217" i="1"/>
  <c r="D225" i="1"/>
  <c r="D233" i="1"/>
  <c r="D241" i="1"/>
  <c r="D249" i="1"/>
  <c r="D257" i="1"/>
  <c r="D265" i="1"/>
  <c r="D273" i="1"/>
  <c r="D281" i="1"/>
  <c r="D289" i="1"/>
  <c r="D297" i="1"/>
  <c r="D305" i="1"/>
  <c r="D313" i="1"/>
  <c r="D321" i="1"/>
  <c r="D329" i="1"/>
  <c r="D337" i="1"/>
  <c r="D345" i="1"/>
  <c r="D353" i="1"/>
  <c r="D361" i="1"/>
  <c r="D369" i="1"/>
  <c r="D377" i="1"/>
  <c r="D385" i="1"/>
  <c r="D393" i="1"/>
  <c r="D401" i="1"/>
  <c r="D409" i="1"/>
  <c r="D417" i="1"/>
  <c r="D425" i="1"/>
  <c r="D433" i="1"/>
  <c r="D441" i="1"/>
  <c r="D449" i="1"/>
  <c r="D457" i="1"/>
  <c r="D465" i="1"/>
  <c r="D473" i="1"/>
  <c r="D481" i="1"/>
  <c r="D489" i="1"/>
  <c r="D497" i="1"/>
  <c r="D505" i="1"/>
  <c r="D513" i="1"/>
  <c r="D521" i="1"/>
  <c r="D529" i="1"/>
  <c r="D537" i="1"/>
  <c r="D545" i="1"/>
  <c r="D553" i="1"/>
  <c r="D561" i="1"/>
  <c r="D569" i="1"/>
  <c r="D577" i="1"/>
  <c r="D585" i="1"/>
  <c r="D593" i="1"/>
  <c r="D601" i="1"/>
  <c r="D10" i="1"/>
  <c r="D74" i="1"/>
  <c r="D138" i="1"/>
  <c r="D202" i="1"/>
  <c r="D228" i="1"/>
  <c r="D250" i="1"/>
  <c r="D269" i="1"/>
  <c r="D292" i="1"/>
  <c r="D314" i="1"/>
  <c r="D333" i="1"/>
  <c r="D356" i="1"/>
  <c r="D378" i="1"/>
  <c r="D397" i="1"/>
  <c r="D420" i="1"/>
  <c r="D442" i="1"/>
  <c r="D461" i="1"/>
  <c r="D477" i="1"/>
  <c r="D491" i="1"/>
  <c r="D504" i="1"/>
  <c r="D516" i="1"/>
  <c r="D530" i="1"/>
  <c r="D541" i="1"/>
  <c r="D555" i="1"/>
  <c r="D568" i="1"/>
  <c r="D580" i="1"/>
  <c r="D594" i="1"/>
  <c r="D18" i="1"/>
  <c r="D82" i="1"/>
  <c r="D146" i="1"/>
  <c r="D210" i="1"/>
  <c r="D229" i="1"/>
  <c r="D252" i="1"/>
  <c r="D274" i="1"/>
  <c r="D293" i="1"/>
  <c r="D316" i="1"/>
  <c r="D338" i="1"/>
  <c r="D357" i="1"/>
  <c r="D380" i="1"/>
  <c r="D402" i="1"/>
  <c r="D421" i="1"/>
  <c r="D444" i="1"/>
  <c r="D466" i="1"/>
  <c r="D480" i="1"/>
  <c r="D492" i="1"/>
  <c r="D506" i="1"/>
  <c r="D517" i="1"/>
  <c r="D531" i="1"/>
  <c r="D26" i="1"/>
  <c r="D90" i="1"/>
  <c r="D154" i="1"/>
  <c r="D212" i="1"/>
  <c r="D234" i="1"/>
  <c r="D253" i="1"/>
  <c r="D276" i="1"/>
  <c r="D298" i="1"/>
  <c r="D317" i="1"/>
  <c r="D340" i="1"/>
  <c r="D362" i="1"/>
  <c r="D381" i="1"/>
  <c r="D404" i="1"/>
  <c r="D426" i="1"/>
  <c r="D445" i="1"/>
  <c r="D468" i="1"/>
  <c r="D482" i="1"/>
  <c r="D493" i="1"/>
  <c r="D507" i="1"/>
  <c r="D520" i="1"/>
  <c r="D532" i="1"/>
  <c r="D546" i="1"/>
  <c r="D557" i="1"/>
  <c r="D571" i="1"/>
  <c r="D584" i="1"/>
  <c r="D596" i="1"/>
  <c r="D34" i="1"/>
  <c r="D98" i="1"/>
  <c r="D162" i="1"/>
  <c r="D213" i="1"/>
  <c r="D236" i="1"/>
  <c r="D258" i="1"/>
  <c r="D277" i="1"/>
  <c r="D300" i="1"/>
  <c r="D322" i="1"/>
  <c r="D341" i="1"/>
  <c r="D364" i="1"/>
  <c r="D386" i="1"/>
  <c r="D405" i="1"/>
  <c r="D428" i="1"/>
  <c r="D450" i="1"/>
  <c r="D469" i="1"/>
  <c r="D483" i="1"/>
  <c r="D496" i="1"/>
  <c r="D508" i="1"/>
  <c r="D522" i="1"/>
  <c r="D533" i="1"/>
  <c r="D547" i="1"/>
  <c r="D560" i="1"/>
  <c r="D572" i="1"/>
  <c r="D586" i="1"/>
  <c r="D597" i="1"/>
  <c r="D42" i="1"/>
  <c r="D106" i="1"/>
  <c r="D170" i="1"/>
  <c r="D218" i="1"/>
  <c r="D237" i="1"/>
  <c r="D260" i="1"/>
  <c r="D282" i="1"/>
  <c r="D301" i="1"/>
  <c r="D324" i="1"/>
  <c r="D346" i="1"/>
  <c r="D365" i="1"/>
  <c r="D388" i="1"/>
  <c r="D410" i="1"/>
  <c r="D429" i="1"/>
  <c r="D452" i="1"/>
  <c r="D472" i="1"/>
  <c r="D484" i="1"/>
  <c r="D498" i="1"/>
  <c r="D509" i="1"/>
  <c r="D523" i="1"/>
  <c r="D50" i="1"/>
  <c r="D114" i="1"/>
  <c r="D178" i="1"/>
  <c r="D220" i="1"/>
  <c r="D242" i="1"/>
  <c r="D261" i="1"/>
  <c r="D284" i="1"/>
  <c r="D306" i="1"/>
  <c r="D325" i="1"/>
  <c r="D348" i="1"/>
  <c r="D370" i="1"/>
  <c r="D389" i="1"/>
  <c r="D412" i="1"/>
  <c r="D434" i="1"/>
  <c r="D453" i="1"/>
  <c r="D474" i="1"/>
  <c r="D485" i="1"/>
  <c r="D499" i="1"/>
  <c r="D512" i="1"/>
  <c r="D524" i="1"/>
  <c r="D538" i="1"/>
  <c r="D549" i="1"/>
  <c r="D563" i="1"/>
  <c r="D576" i="1"/>
  <c r="D588" i="1"/>
  <c r="D58" i="1"/>
  <c r="D122" i="1"/>
  <c r="D186" i="1"/>
  <c r="D221" i="1"/>
  <c r="D244" i="1"/>
  <c r="D266" i="1"/>
  <c r="D285" i="1"/>
  <c r="D308" i="1"/>
  <c r="D330" i="1"/>
  <c r="D349" i="1"/>
  <c r="D372" i="1"/>
  <c r="D394" i="1"/>
  <c r="D413" i="1"/>
  <c r="D436" i="1"/>
  <c r="D458" i="1"/>
  <c r="D475" i="1"/>
  <c r="D488" i="1"/>
  <c r="D500" i="1"/>
  <c r="D514" i="1"/>
  <c r="D525" i="1"/>
  <c r="D539" i="1"/>
  <c r="D552" i="1"/>
  <c r="D564" i="1"/>
  <c r="D578" i="1"/>
  <c r="D589" i="1"/>
  <c r="D66" i="1"/>
  <c r="D332" i="1"/>
  <c r="D226" i="1"/>
  <c r="D396" i="1"/>
  <c r="D528" i="1"/>
  <c r="D565" i="1"/>
  <c r="D600" i="1"/>
  <c r="D245" i="1"/>
  <c r="D418" i="1"/>
  <c r="D536" i="1"/>
  <c r="D570" i="1"/>
  <c r="D268" i="1"/>
  <c r="D437" i="1"/>
  <c r="D290" i="1"/>
  <c r="D460" i="1"/>
  <c r="D544" i="1"/>
  <c r="D579" i="1"/>
  <c r="D130" i="1"/>
  <c r="D515" i="1"/>
  <c r="D587" i="1"/>
  <c r="D194" i="1"/>
  <c r="D540" i="1"/>
  <c r="D592" i="1"/>
  <c r="D309" i="1"/>
  <c r="D548" i="1"/>
  <c r="D595" i="1"/>
  <c r="D354" i="1"/>
  <c r="D554" i="1"/>
  <c r="D373" i="1"/>
  <c r="D556" i="1"/>
  <c r="D476" i="1"/>
  <c r="D562" i="1"/>
  <c r="D490" i="1"/>
  <c r="D573" i="1"/>
  <c r="D501" i="1"/>
  <c r="D581" i="1"/>
  <c r="D2662" i="1"/>
  <c r="D2654" i="1"/>
  <c r="D2646" i="1"/>
  <c r="D2638" i="1"/>
  <c r="D2630" i="1"/>
  <c r="D2622" i="1"/>
  <c r="D2614" i="1"/>
  <c r="D2606" i="1"/>
  <c r="D2598" i="1"/>
  <c r="D2590" i="1"/>
  <c r="D2582" i="1"/>
  <c r="D2574" i="1"/>
  <c r="D2566" i="1"/>
  <c r="D2558" i="1"/>
  <c r="D2550" i="1"/>
  <c r="D2542" i="1"/>
  <c r="D2534" i="1"/>
  <c r="D2526" i="1"/>
  <c r="D2518" i="1"/>
  <c r="D2510" i="1"/>
  <c r="D2502" i="1"/>
  <c r="D2494" i="1"/>
  <c r="D2486" i="1"/>
  <c r="D2478" i="1"/>
  <c r="D2470" i="1"/>
  <c r="D2462" i="1"/>
  <c r="D2454" i="1"/>
  <c r="D2446" i="1"/>
  <c r="D2438" i="1"/>
  <c r="D2430" i="1"/>
  <c r="D2422" i="1"/>
  <c r="D2414" i="1"/>
  <c r="D2406" i="1"/>
  <c r="D2398" i="1"/>
  <c r="D2390" i="1"/>
  <c r="D2382" i="1"/>
  <c r="D2374" i="1"/>
  <c r="D2366" i="1"/>
  <c r="D2358" i="1"/>
  <c r="D2350" i="1"/>
  <c r="D2342" i="1"/>
  <c r="D2334" i="1"/>
  <c r="D2326" i="1"/>
  <c r="D2318" i="1"/>
  <c r="D2310" i="1"/>
  <c r="D2302" i="1"/>
  <c r="D2294" i="1"/>
  <c r="D2286" i="1"/>
  <c r="D2278" i="1"/>
  <c r="D2270" i="1"/>
  <c r="D2262" i="1"/>
  <c r="D2254" i="1"/>
  <c r="D2246" i="1"/>
  <c r="D2238" i="1"/>
  <c r="D2230" i="1"/>
  <c r="D2222" i="1"/>
  <c r="D2214" i="1"/>
  <c r="D2206" i="1"/>
  <c r="D2198" i="1"/>
  <c r="D2190" i="1"/>
  <c r="D2182" i="1"/>
  <c r="D698" i="1"/>
  <c r="D666" i="1"/>
  <c r="D626" i="1"/>
  <c r="D2623" i="1"/>
  <c r="D2575" i="1"/>
  <c r="D2535" i="1"/>
  <c r="D2503" i="1"/>
  <c r="D2455" i="1"/>
  <c r="D2423" i="1"/>
  <c r="D2399" i="1"/>
  <c r="D2375" i="1"/>
  <c r="D2343" i="1"/>
  <c r="D2311" i="1"/>
  <c r="D2279" i="1"/>
  <c r="D2247" i="1"/>
  <c r="D2223" i="1"/>
  <c r="D2191" i="1"/>
  <c r="D2167" i="1"/>
  <c r="D2143" i="1"/>
  <c r="D2111" i="1"/>
  <c r="D2095" i="1"/>
  <c r="D2055" i="1"/>
  <c r="D2031" i="1"/>
  <c r="D2007" i="1"/>
  <c r="D1983" i="1"/>
  <c r="D1959" i="1"/>
  <c r="D1935" i="1"/>
  <c r="D1911" i="1"/>
  <c r="D1887" i="1"/>
  <c r="D1863" i="1"/>
  <c r="D1847" i="1"/>
  <c r="D1823" i="1"/>
  <c r="D1799" i="1"/>
  <c r="D1775" i="1"/>
  <c r="D1751" i="1"/>
  <c r="D1727" i="1"/>
  <c r="D1711" i="1"/>
  <c r="D1695" i="1"/>
  <c r="D1679" i="1"/>
  <c r="D1655" i="1"/>
  <c r="D1631" i="1"/>
  <c r="D1607" i="1"/>
  <c r="D1583" i="1"/>
  <c r="D1551" i="1"/>
  <c r="D1527" i="1"/>
  <c r="D1511" i="1"/>
  <c r="D1495" i="1"/>
  <c r="D1479" i="1"/>
  <c r="D1455" i="1"/>
  <c r="D1431" i="1"/>
  <c r="D2669" i="1"/>
  <c r="D2661" i="1"/>
  <c r="D2653" i="1"/>
  <c r="D2645" i="1"/>
  <c r="D2637" i="1"/>
  <c r="D2629" i="1"/>
  <c r="D2621" i="1"/>
  <c r="D2613" i="1"/>
  <c r="D2605" i="1"/>
  <c r="D2597" i="1"/>
  <c r="D2589" i="1"/>
  <c r="D2581" i="1"/>
  <c r="D2573" i="1"/>
  <c r="D2565" i="1"/>
  <c r="D2557" i="1"/>
  <c r="D2549" i="1"/>
  <c r="D2541" i="1"/>
  <c r="D2533" i="1"/>
  <c r="D2525" i="1"/>
  <c r="D2517" i="1"/>
  <c r="D2509" i="1"/>
  <c r="D2501" i="1"/>
  <c r="D2493" i="1"/>
  <c r="D2485" i="1"/>
  <c r="D2477" i="1"/>
  <c r="D2469" i="1"/>
  <c r="D2461" i="1"/>
  <c r="D2453" i="1"/>
  <c r="D2445" i="1"/>
  <c r="D2437" i="1"/>
  <c r="D2429" i="1"/>
  <c r="D2421" i="1"/>
  <c r="D2413" i="1"/>
  <c r="D2405" i="1"/>
  <c r="D2397" i="1"/>
  <c r="D2389" i="1"/>
  <c r="D2381" i="1"/>
  <c r="D2373" i="1"/>
  <c r="D2365" i="1"/>
  <c r="D2357" i="1"/>
  <c r="D2349" i="1"/>
  <c r="D2341" i="1"/>
  <c r="D2333" i="1"/>
  <c r="D2325" i="1"/>
  <c r="D2317" i="1"/>
  <c r="D2309" i="1"/>
  <c r="D2301" i="1"/>
  <c r="D2293" i="1"/>
  <c r="D2285" i="1"/>
  <c r="D2277" i="1"/>
  <c r="D2269" i="1"/>
  <c r="D2261" i="1"/>
  <c r="D2253" i="1"/>
  <c r="D2245" i="1"/>
  <c r="D2237" i="1"/>
  <c r="D2229" i="1"/>
  <c r="D2221" i="1"/>
  <c r="D2213" i="1"/>
  <c r="D2205" i="1"/>
  <c r="D2197" i="1"/>
  <c r="D2189" i="1"/>
  <c r="D2181" i="1"/>
  <c r="D658" i="1"/>
  <c r="D2647" i="1"/>
  <c r="D2599" i="1"/>
  <c r="D2551" i="1"/>
  <c r="D2519" i="1"/>
  <c r="D2471" i="1"/>
  <c r="D2431" i="1"/>
  <c r="D2391" i="1"/>
  <c r="D2359" i="1"/>
  <c r="D2335" i="1"/>
  <c r="D2303" i="1"/>
  <c r="D2271" i="1"/>
  <c r="D2239" i="1"/>
  <c r="D2215" i="1"/>
  <c r="D2183" i="1"/>
  <c r="D2159" i="1"/>
  <c r="D2135" i="1"/>
  <c r="D2087" i="1"/>
  <c r="D2047" i="1"/>
  <c r="D2023" i="1"/>
  <c r="D1999" i="1"/>
  <c r="D1975" i="1"/>
  <c r="D1951" i="1"/>
  <c r="D1927" i="1"/>
  <c r="D1903" i="1"/>
  <c r="D1871" i="1"/>
  <c r="D1839" i="1"/>
  <c r="D1815" i="1"/>
  <c r="D1791" i="1"/>
  <c r="D1767" i="1"/>
  <c r="D1743" i="1"/>
  <c r="D1719" i="1"/>
  <c r="D1703" i="1"/>
  <c r="D1687" i="1"/>
  <c r="D1671" i="1"/>
  <c r="D1647" i="1"/>
  <c r="D1623" i="1"/>
  <c r="D1599" i="1"/>
  <c r="D1575" i="1"/>
  <c r="D1543" i="1"/>
  <c r="D1535" i="1"/>
  <c r="D1519" i="1"/>
  <c r="D1503" i="1"/>
  <c r="D1487" i="1"/>
  <c r="D1471" i="1"/>
  <c r="D1463" i="1"/>
  <c r="D1447" i="1"/>
  <c r="D1423" i="1"/>
  <c r="D2668" i="1"/>
  <c r="D2660" i="1"/>
  <c r="D2652" i="1"/>
  <c r="D2644" i="1"/>
  <c r="D2636" i="1"/>
  <c r="D2628" i="1"/>
  <c r="D2620" i="1"/>
  <c r="D2612" i="1"/>
  <c r="D2604" i="1"/>
  <c r="D2596" i="1"/>
  <c r="D2588" i="1"/>
  <c r="D2580" i="1"/>
  <c r="D2572" i="1"/>
  <c r="D2564" i="1"/>
  <c r="D2556" i="1"/>
  <c r="D2548" i="1"/>
  <c r="D2540" i="1"/>
  <c r="D2532" i="1"/>
  <c r="D2524" i="1"/>
  <c r="D2516" i="1"/>
  <c r="D2508" i="1"/>
  <c r="D2500" i="1"/>
  <c r="D2492" i="1"/>
  <c r="D2484" i="1"/>
  <c r="D2476" i="1"/>
  <c r="D2468" i="1"/>
  <c r="D2460" i="1"/>
  <c r="D2452" i="1"/>
  <c r="D2444" i="1"/>
  <c r="D2436" i="1"/>
  <c r="D2428" i="1"/>
  <c r="D2420" i="1"/>
  <c r="D2412" i="1"/>
  <c r="D2404" i="1"/>
  <c r="D2396" i="1"/>
  <c r="D2388" i="1"/>
  <c r="D2380" i="1"/>
  <c r="D2372" i="1"/>
  <c r="D2364" i="1"/>
  <c r="D2356" i="1"/>
  <c r="D2348" i="1"/>
  <c r="D2340" i="1"/>
  <c r="D2332" i="1"/>
  <c r="D2324" i="1"/>
  <c r="D2316" i="1"/>
  <c r="D2308" i="1"/>
  <c r="D2300" i="1"/>
  <c r="D2292" i="1"/>
  <c r="D2284" i="1"/>
  <c r="D2276" i="1"/>
  <c r="D2268" i="1"/>
  <c r="D2260" i="1"/>
  <c r="D2252" i="1"/>
  <c r="D2244" i="1"/>
  <c r="D2236" i="1"/>
  <c r="D2228" i="1"/>
  <c r="D2220" i="1"/>
  <c r="D2212" i="1"/>
  <c r="D2204" i="1"/>
  <c r="D2196" i="1"/>
  <c r="D2188" i="1"/>
  <c r="D2180" i="1"/>
  <c r="D2172" i="1"/>
  <c r="D2164" i="1"/>
  <c r="D2156" i="1"/>
  <c r="D650" i="1"/>
  <c r="D2639" i="1"/>
  <c r="D2591" i="1"/>
  <c r="D2527" i="1"/>
  <c r="D2495" i="1"/>
  <c r="D2447" i="1"/>
  <c r="D2415" i="1"/>
  <c r="D2367" i="1"/>
  <c r="D2327" i="1"/>
  <c r="D2295" i="1"/>
  <c r="D2263" i="1"/>
  <c r="D2207" i="1"/>
  <c r="D2119" i="1"/>
  <c r="D1567" i="1"/>
  <c r="D2667" i="1"/>
  <c r="D2659" i="1"/>
  <c r="D2651" i="1"/>
  <c r="D2643" i="1"/>
  <c r="D2635" i="1"/>
  <c r="D2627" i="1"/>
  <c r="D2619" i="1"/>
  <c r="D2611" i="1"/>
  <c r="D2603" i="1"/>
  <c r="D2595" i="1"/>
  <c r="D2587" i="1"/>
  <c r="D2579" i="1"/>
  <c r="D2571" i="1"/>
  <c r="D2563" i="1"/>
  <c r="D2555" i="1"/>
  <c r="D2547" i="1"/>
  <c r="D2539" i="1"/>
  <c r="D2531" i="1"/>
  <c r="D2523" i="1"/>
  <c r="D2515" i="1"/>
  <c r="D2507" i="1"/>
  <c r="D2499" i="1"/>
  <c r="D2491" i="1"/>
  <c r="D2483" i="1"/>
  <c r="D2475" i="1"/>
  <c r="D2467" i="1"/>
  <c r="D2459" i="1"/>
  <c r="D2451" i="1"/>
  <c r="D2443" i="1"/>
  <c r="D2435" i="1"/>
  <c r="D2427" i="1"/>
  <c r="D2419" i="1"/>
  <c r="D2411" i="1"/>
  <c r="D2403" i="1"/>
  <c r="D2395" i="1"/>
  <c r="D2387" i="1"/>
  <c r="D2379" i="1"/>
  <c r="D2371" i="1"/>
  <c r="D2363" i="1"/>
  <c r="D2355" i="1"/>
  <c r="D2347" i="1"/>
  <c r="D2339" i="1"/>
  <c r="D2331" i="1"/>
  <c r="D2323" i="1"/>
  <c r="D2315" i="1"/>
  <c r="D2307" i="1"/>
  <c r="D2299" i="1"/>
  <c r="D2291" i="1"/>
  <c r="D2283" i="1"/>
  <c r="D2275" i="1"/>
  <c r="D2267" i="1"/>
  <c r="D2259" i="1"/>
  <c r="D2251" i="1"/>
  <c r="D2243" i="1"/>
  <c r="D2235" i="1"/>
  <c r="D2227" i="1"/>
  <c r="D2219" i="1"/>
  <c r="D2211" i="1"/>
  <c r="D2203" i="1"/>
  <c r="D2195" i="1"/>
  <c r="D2187" i="1"/>
  <c r="D2179" i="1"/>
  <c r="D2171" i="1"/>
  <c r="D2163" i="1"/>
  <c r="D2155" i="1"/>
  <c r="D2147" i="1"/>
  <c r="D2139" i="1"/>
  <c r="D2131" i="1"/>
  <c r="D2123" i="1"/>
  <c r="D2115" i="1"/>
  <c r="D2107" i="1"/>
  <c r="D2099" i="1"/>
  <c r="D2091" i="1"/>
  <c r="D2083" i="1"/>
  <c r="D2075" i="1"/>
  <c r="D2067" i="1"/>
  <c r="D2059" i="1"/>
  <c r="D2051" i="1"/>
  <c r="D2043" i="1"/>
  <c r="D2035" i="1"/>
  <c r="D2027" i="1"/>
  <c r="D2019" i="1"/>
  <c r="D2011" i="1"/>
  <c r="D2003" i="1"/>
  <c r="D1995" i="1"/>
  <c r="D1987" i="1"/>
  <c r="D1979" i="1"/>
  <c r="D1971" i="1"/>
  <c r="D690" i="1"/>
  <c r="D642" i="1"/>
  <c r="D2655" i="1"/>
  <c r="D2607" i="1"/>
  <c r="D2559" i="1"/>
  <c r="D2479" i="1"/>
  <c r="D2079" i="1"/>
  <c r="D2658" i="1"/>
  <c r="D2634" i="1"/>
  <c r="D2618" i="1"/>
  <c r="D2602" i="1"/>
  <c r="D2586" i="1"/>
  <c r="D2570" i="1"/>
  <c r="D2554" i="1"/>
  <c r="D2538" i="1"/>
  <c r="D2530" i="1"/>
  <c r="D2522" i="1"/>
  <c r="D2514" i="1"/>
  <c r="D2506" i="1"/>
  <c r="D2498" i="1"/>
  <c r="D2490" i="1"/>
  <c r="D2482" i="1"/>
  <c r="D2474" i="1"/>
  <c r="D2466" i="1"/>
  <c r="D2458" i="1"/>
  <c r="D2450" i="1"/>
  <c r="D2442" i="1"/>
  <c r="D2434" i="1"/>
  <c r="D2426" i="1"/>
  <c r="D2418" i="1"/>
  <c r="D2410" i="1"/>
  <c r="D2394" i="1"/>
  <c r="D2386" i="1"/>
  <c r="D2378" i="1"/>
  <c r="D2370" i="1"/>
  <c r="D2362" i="1"/>
  <c r="D2354" i="1"/>
  <c r="D2346" i="1"/>
  <c r="D2338" i="1"/>
  <c r="D2330" i="1"/>
  <c r="D2322" i="1"/>
  <c r="D2314" i="1"/>
  <c r="D2306" i="1"/>
  <c r="D2298" i="1"/>
  <c r="D2290" i="1"/>
  <c r="D2282" i="1"/>
  <c r="D2274" i="1"/>
  <c r="D2266" i="1"/>
  <c r="D2258" i="1"/>
  <c r="D2250" i="1"/>
  <c r="D2242" i="1"/>
  <c r="D2234" i="1"/>
  <c r="D2226" i="1"/>
  <c r="D2218" i="1"/>
  <c r="D2210" i="1"/>
  <c r="D2202" i="1"/>
  <c r="D2194" i="1"/>
  <c r="D2186" i="1"/>
  <c r="D2178" i="1"/>
  <c r="D2170" i="1"/>
  <c r="D2162" i="1"/>
  <c r="D2154" i="1"/>
  <c r="D2146" i="1"/>
  <c r="D2138" i="1"/>
  <c r="D2130" i="1"/>
  <c r="D2122" i="1"/>
  <c r="D2114" i="1"/>
  <c r="D2106" i="1"/>
  <c r="D2098" i="1"/>
  <c r="D2090" i="1"/>
  <c r="D2082" i="1"/>
  <c r="D2074" i="1"/>
  <c r="D2066" i="1"/>
  <c r="D2058" i="1"/>
  <c r="D2050" i="1"/>
  <c r="D2042" i="1"/>
  <c r="D2034" i="1"/>
  <c r="D2026" i="1"/>
  <c r="D2018" i="1"/>
  <c r="D2010" i="1"/>
  <c r="D2002" i="1"/>
  <c r="D1994" i="1"/>
  <c r="D1986" i="1"/>
  <c r="D1978" i="1"/>
  <c r="D1970" i="1"/>
  <c r="D1962" i="1"/>
  <c r="D1954" i="1"/>
  <c r="D1946" i="1"/>
  <c r="D1938" i="1"/>
  <c r="D1930" i="1"/>
  <c r="D1922" i="1"/>
  <c r="D1914" i="1"/>
  <c r="D1906" i="1"/>
  <c r="D1898" i="1"/>
  <c r="D1890" i="1"/>
  <c r="D1882" i="1"/>
  <c r="D1874" i="1"/>
  <c r="D1866" i="1"/>
  <c r="D1858" i="1"/>
  <c r="D1850" i="1"/>
  <c r="D1842" i="1"/>
  <c r="D1834" i="1"/>
  <c r="D1826" i="1"/>
  <c r="D1818" i="1"/>
  <c r="D1810" i="1"/>
  <c r="D1802" i="1"/>
  <c r="D1794" i="1"/>
  <c r="D1786" i="1"/>
  <c r="D1778" i="1"/>
  <c r="D1770" i="1"/>
  <c r="D1762" i="1"/>
  <c r="D1754" i="1"/>
  <c r="D1746" i="1"/>
  <c r="D1738" i="1"/>
  <c r="D1730" i="1"/>
  <c r="D1722" i="1"/>
  <c r="D1714" i="1"/>
  <c r="D1706" i="1"/>
  <c r="D1698" i="1"/>
  <c r="D1690" i="1"/>
  <c r="D1682" i="1"/>
  <c r="D1674" i="1"/>
  <c r="D1666" i="1"/>
  <c r="D1658" i="1"/>
  <c r="D1650" i="1"/>
  <c r="D1642" i="1"/>
  <c r="D1634" i="1"/>
  <c r="D1626" i="1"/>
  <c r="D1618" i="1"/>
  <c r="D1610" i="1"/>
  <c r="D1602" i="1"/>
  <c r="D1594" i="1"/>
  <c r="D1586" i="1"/>
  <c r="D1578" i="1"/>
  <c r="D1570" i="1"/>
  <c r="D1562" i="1"/>
  <c r="D1554" i="1"/>
  <c r="D1546" i="1"/>
  <c r="D1538" i="1"/>
  <c r="D1530" i="1"/>
  <c r="D1522" i="1"/>
  <c r="D1514" i="1"/>
  <c r="D1506" i="1"/>
  <c r="D1498" i="1"/>
  <c r="D1490" i="1"/>
  <c r="D1482" i="1"/>
  <c r="D1474" i="1"/>
  <c r="D1466" i="1"/>
  <c r="D1458" i="1"/>
  <c r="D1450" i="1"/>
  <c r="D1442" i="1"/>
  <c r="D1434" i="1"/>
  <c r="D1426" i="1"/>
  <c r="D1418" i="1"/>
  <c r="D1410" i="1"/>
  <c r="D1402" i="1"/>
  <c r="D1394" i="1"/>
  <c r="D1386" i="1"/>
  <c r="D1378" i="1"/>
  <c r="D1370" i="1"/>
  <c r="D1362" i="1"/>
  <c r="D1354" i="1"/>
  <c r="D1346" i="1"/>
  <c r="D1338" i="1"/>
  <c r="D1330" i="1"/>
  <c r="D1322" i="1"/>
  <c r="D1314" i="1"/>
  <c r="D1306" i="1"/>
  <c r="D1298" i="1"/>
  <c r="D1290" i="1"/>
  <c r="D682" i="1"/>
  <c r="D634" i="1"/>
  <c r="D2663" i="1"/>
  <c r="D2615" i="1"/>
  <c r="D2567" i="1"/>
  <c r="D2487" i="1"/>
  <c r="D2071" i="1"/>
  <c r="D2666" i="1"/>
  <c r="D2650" i="1"/>
  <c r="D2642" i="1"/>
  <c r="D2626" i="1"/>
  <c r="D2610" i="1"/>
  <c r="D2594" i="1"/>
  <c r="D2578" i="1"/>
  <c r="D2562" i="1"/>
  <c r="D2546" i="1"/>
  <c r="D2402" i="1"/>
  <c r="D2665" i="1"/>
  <c r="D2657" i="1"/>
  <c r="D2649" i="1"/>
  <c r="D2641" i="1"/>
  <c r="D2633" i="1"/>
  <c r="D2625" i="1"/>
  <c r="D2617" i="1"/>
  <c r="D2609" i="1"/>
  <c r="D2601" i="1"/>
  <c r="D2593" i="1"/>
  <c r="D2585" i="1"/>
  <c r="D2577" i="1"/>
  <c r="D2569" i="1"/>
  <c r="D2561" i="1"/>
  <c r="D2553" i="1"/>
  <c r="D2545" i="1"/>
  <c r="D2537" i="1"/>
  <c r="D2529" i="1"/>
  <c r="D2521" i="1"/>
  <c r="D2513" i="1"/>
  <c r="D2505" i="1"/>
  <c r="D2497" i="1"/>
  <c r="D2489" i="1"/>
  <c r="D2481" i="1"/>
  <c r="D2473" i="1"/>
  <c r="D2465" i="1"/>
  <c r="D2457" i="1"/>
  <c r="D2449" i="1"/>
  <c r="D2441" i="1"/>
  <c r="D2433" i="1"/>
  <c r="D2425" i="1"/>
  <c r="D2417" i="1"/>
  <c r="D2409" i="1"/>
  <c r="D2401" i="1"/>
  <c r="D2393" i="1"/>
  <c r="D2385" i="1"/>
  <c r="D2377" i="1"/>
  <c r="D2369" i="1"/>
  <c r="D2361" i="1"/>
  <c r="D2353" i="1"/>
  <c r="D2345" i="1"/>
  <c r="D2337" i="1"/>
  <c r="D2329" i="1"/>
  <c r="D2321" i="1"/>
  <c r="D2313" i="1"/>
  <c r="D2305" i="1"/>
  <c r="D2297" i="1"/>
  <c r="D2289" i="1"/>
  <c r="D2281" i="1"/>
  <c r="D2273" i="1"/>
  <c r="D2265" i="1"/>
  <c r="D2257" i="1"/>
  <c r="D2249" i="1"/>
  <c r="D2241" i="1"/>
  <c r="D2233" i="1"/>
  <c r="D2225" i="1"/>
  <c r="D2217" i="1"/>
  <c r="D2209" i="1"/>
  <c r="D2201" i="1"/>
  <c r="D2193" i="1"/>
  <c r="D2185" i="1"/>
  <c r="D2177" i="1"/>
  <c r="D2169" i="1"/>
  <c r="D2161" i="1"/>
  <c r="D2153" i="1"/>
  <c r="D2145" i="1"/>
  <c r="D2137" i="1"/>
  <c r="D2129" i="1"/>
  <c r="D2121" i="1"/>
  <c r="D2113" i="1"/>
  <c r="D2105" i="1"/>
  <c r="D2097" i="1"/>
  <c r="D2089" i="1"/>
  <c r="D2081" i="1"/>
  <c r="D2073" i="1"/>
  <c r="D2065" i="1"/>
  <c r="D2057" i="1"/>
  <c r="D2049" i="1"/>
  <c r="D1407" i="1"/>
  <c r="D2174" i="1"/>
  <c r="D2166" i="1"/>
  <c r="D2158" i="1"/>
  <c r="D2150" i="1"/>
  <c r="D2142" i="1"/>
  <c r="D2134" i="1"/>
  <c r="D2126" i="1"/>
  <c r="D2118" i="1"/>
  <c r="D2110" i="1"/>
  <c r="D2102" i="1"/>
  <c r="D2094" i="1"/>
  <c r="D2086" i="1"/>
  <c r="D2078" i="1"/>
  <c r="D2070" i="1"/>
  <c r="D2062" i="1"/>
  <c r="D2054" i="1"/>
  <c r="D2046" i="1"/>
  <c r="D2038" i="1"/>
  <c r="D2030" i="1"/>
  <c r="D2022" i="1"/>
  <c r="D2014" i="1"/>
  <c r="D2006" i="1"/>
  <c r="D1998" i="1"/>
  <c r="D1990" i="1"/>
  <c r="D1982" i="1"/>
  <c r="D1974" i="1"/>
  <c r="D1966" i="1"/>
  <c r="D1958" i="1"/>
  <c r="D1950" i="1"/>
  <c r="D1942" i="1"/>
  <c r="D1934" i="1"/>
  <c r="D1926" i="1"/>
  <c r="D1918" i="1"/>
  <c r="D1910" i="1"/>
  <c r="D1902" i="1"/>
  <c r="D1894" i="1"/>
  <c r="D1886" i="1"/>
  <c r="D1878" i="1"/>
  <c r="D1870" i="1"/>
  <c r="D1862" i="1"/>
  <c r="D1854" i="1"/>
  <c r="D1846" i="1"/>
  <c r="D1838" i="1"/>
  <c r="D1830" i="1"/>
  <c r="D1822" i="1"/>
  <c r="D1814" i="1"/>
  <c r="D1806" i="1"/>
  <c r="D1798" i="1"/>
  <c r="D1790" i="1"/>
  <c r="D1782" i="1"/>
  <c r="D1774" i="1"/>
  <c r="D1766" i="1"/>
  <c r="D1758" i="1"/>
  <c r="D1750" i="1"/>
  <c r="D1742" i="1"/>
  <c r="D1734" i="1"/>
  <c r="D1726" i="1"/>
  <c r="D1718" i="1"/>
  <c r="D1710" i="1"/>
  <c r="D1702" i="1"/>
  <c r="D1694" i="1"/>
  <c r="D1686" i="1"/>
  <c r="D1678" i="1"/>
  <c r="D1670" i="1"/>
  <c r="D1662" i="1"/>
  <c r="D1654" i="1"/>
  <c r="D1646" i="1"/>
  <c r="D1638" i="1"/>
  <c r="D1630" i="1"/>
  <c r="D1622" i="1"/>
  <c r="D1614" i="1"/>
  <c r="D1606" i="1"/>
  <c r="D1598" i="1"/>
  <c r="D1590" i="1"/>
  <c r="D1582" i="1"/>
  <c r="D1574" i="1"/>
  <c r="D1566" i="1"/>
  <c r="D1558" i="1"/>
  <c r="D1550" i="1"/>
  <c r="D1542" i="1"/>
  <c r="D1534" i="1"/>
  <c r="D1526" i="1"/>
  <c r="D1518" i="1"/>
  <c r="D1510" i="1"/>
  <c r="D1502" i="1"/>
  <c r="D1494" i="1"/>
  <c r="D1486" i="1"/>
  <c r="D1478" i="1"/>
  <c r="D1470" i="1"/>
  <c r="D1462" i="1"/>
  <c r="D1454" i="1"/>
  <c r="D1446" i="1"/>
  <c r="D1438" i="1"/>
  <c r="D1430" i="1"/>
  <c r="D1422" i="1"/>
  <c r="D1414" i="1"/>
  <c r="D1406" i="1"/>
  <c r="D2173" i="1"/>
  <c r="D2165" i="1"/>
  <c r="D2157" i="1"/>
  <c r="D2149" i="1"/>
  <c r="D2141" i="1"/>
  <c r="D2133" i="1"/>
  <c r="D2125" i="1"/>
  <c r="D2117" i="1"/>
  <c r="D2109" i="1"/>
  <c r="D2101" i="1"/>
  <c r="D2093" i="1"/>
  <c r="D2085" i="1"/>
  <c r="D2077" i="1"/>
  <c r="D2069" i="1"/>
  <c r="D2061" i="1"/>
  <c r="D2053" i="1"/>
  <c r="D2045" i="1"/>
  <c r="D2037" i="1"/>
  <c r="D2029" i="1"/>
  <c r="D2021" i="1"/>
  <c r="D2013" i="1"/>
  <c r="D2005" i="1"/>
  <c r="D1997" i="1"/>
  <c r="D1989" i="1"/>
  <c r="D1981" i="1"/>
  <c r="D1973" i="1"/>
  <c r="D1965" i="1"/>
  <c r="D1957" i="1"/>
  <c r="D1949" i="1"/>
  <c r="D1941" i="1"/>
  <c r="D1933" i="1"/>
  <c r="D1925" i="1"/>
  <c r="D1917" i="1"/>
  <c r="D1909" i="1"/>
  <c r="D1901" i="1"/>
  <c r="D1893" i="1"/>
  <c r="D1885" i="1"/>
  <c r="D1877" i="1"/>
  <c r="D1869" i="1"/>
  <c r="D1861" i="1"/>
  <c r="D1853" i="1"/>
  <c r="D1845" i="1"/>
  <c r="D1837" i="1"/>
  <c r="D1829" i="1"/>
  <c r="D1821" i="1"/>
  <c r="D1813" i="1"/>
  <c r="D1805" i="1"/>
  <c r="D1797" i="1"/>
  <c r="D1789" i="1"/>
  <c r="D1781" i="1"/>
  <c r="D1773" i="1"/>
  <c r="D1765" i="1"/>
  <c r="D1757" i="1"/>
  <c r="D1749" i="1"/>
  <c r="D1741" i="1"/>
  <c r="D1733" i="1"/>
  <c r="D1725" i="1"/>
  <c r="D1717" i="1"/>
  <c r="D1709" i="1"/>
  <c r="D1701" i="1"/>
  <c r="D1693" i="1"/>
  <c r="D1685" i="1"/>
  <c r="D1677" i="1"/>
  <c r="D1669" i="1"/>
  <c r="D1661" i="1"/>
  <c r="D1653" i="1"/>
  <c r="D1645" i="1"/>
  <c r="D1637" i="1"/>
  <c r="D1629" i="1"/>
  <c r="D1621" i="1"/>
  <c r="D1613" i="1"/>
  <c r="D1605" i="1"/>
  <c r="D1597" i="1"/>
  <c r="D1589" i="1"/>
  <c r="D1581" i="1"/>
  <c r="D1573" i="1"/>
  <c r="D1565" i="1"/>
  <c r="D1557" i="1"/>
  <c r="D1549" i="1"/>
  <c r="D1541" i="1"/>
  <c r="D1533" i="1"/>
  <c r="D1525" i="1"/>
  <c r="D1517" i="1"/>
  <c r="D1509" i="1"/>
  <c r="D1501" i="1"/>
  <c r="D1493" i="1"/>
  <c r="D1485" i="1"/>
  <c r="D1477" i="1"/>
  <c r="D1469" i="1"/>
  <c r="D1461" i="1"/>
  <c r="D1453" i="1"/>
  <c r="D1445" i="1"/>
  <c r="D1437" i="1"/>
  <c r="D1429" i="1"/>
  <c r="D1421" i="1"/>
  <c r="D1413" i="1"/>
  <c r="D1405" i="1"/>
  <c r="D1397" i="1"/>
  <c r="D1389" i="1"/>
  <c r="D1381" i="1"/>
  <c r="D1373" i="1"/>
  <c r="D1365" i="1"/>
  <c r="D1357" i="1"/>
  <c r="D2148" i="1"/>
  <c r="D2140" i="1"/>
  <c r="D2132" i="1"/>
  <c r="D2124" i="1"/>
  <c r="D2116" i="1"/>
  <c r="D2108" i="1"/>
  <c r="D2100" i="1"/>
  <c r="D2092" i="1"/>
  <c r="D2084" i="1"/>
  <c r="D2076" i="1"/>
  <c r="D2068" i="1"/>
  <c r="D2060" i="1"/>
  <c r="D2052" i="1"/>
  <c r="D2044" i="1"/>
  <c r="D2036" i="1"/>
  <c r="D2028" i="1"/>
  <c r="D2020" i="1"/>
  <c r="D2012" i="1"/>
  <c r="D2004" i="1"/>
  <c r="D1996" i="1"/>
  <c r="D1988" i="1"/>
  <c r="D1980" i="1"/>
  <c r="D1972" i="1"/>
  <c r="D1964" i="1"/>
  <c r="D1956" i="1"/>
  <c r="D1948" i="1"/>
  <c r="D1940" i="1"/>
  <c r="D1932" i="1"/>
  <c r="D1924" i="1"/>
  <c r="D1916" i="1"/>
  <c r="D1908" i="1"/>
  <c r="D1900" i="1"/>
  <c r="D1892" i="1"/>
  <c r="D1884" i="1"/>
  <c r="D1876" i="1"/>
  <c r="D1868" i="1"/>
  <c r="D1860" i="1"/>
  <c r="D1852" i="1"/>
  <c r="D1844" i="1"/>
  <c r="D1836" i="1"/>
  <c r="D1828" i="1"/>
  <c r="D1820" i="1"/>
  <c r="D1812" i="1"/>
  <c r="D1804" i="1"/>
  <c r="D1796" i="1"/>
  <c r="D1788" i="1"/>
  <c r="D1780" i="1"/>
  <c r="D1772" i="1"/>
  <c r="D1764" i="1"/>
  <c r="D1756" i="1"/>
  <c r="D1748" i="1"/>
  <c r="D1740" i="1"/>
  <c r="D1732" i="1"/>
  <c r="D1724" i="1"/>
  <c r="D1716" i="1"/>
  <c r="D1708" i="1"/>
  <c r="D1700" i="1"/>
  <c r="D1692" i="1"/>
  <c r="D1684" i="1"/>
  <c r="D1676" i="1"/>
  <c r="D1668" i="1"/>
  <c r="D1660" i="1"/>
  <c r="D1652" i="1"/>
  <c r="D1644" i="1"/>
  <c r="D1636" i="1"/>
  <c r="D1628" i="1"/>
  <c r="D1620" i="1"/>
  <c r="D1612" i="1"/>
  <c r="D1604" i="1"/>
  <c r="D1596" i="1"/>
  <c r="D1588" i="1"/>
  <c r="D1580" i="1"/>
  <c r="D1572" i="1"/>
  <c r="D1564" i="1"/>
  <c r="D1556" i="1"/>
  <c r="D1548" i="1"/>
  <c r="D1540" i="1"/>
  <c r="D1532" i="1"/>
  <c r="D1524" i="1"/>
  <c r="D1516" i="1"/>
  <c r="D1508" i="1"/>
  <c r="D1500" i="1"/>
  <c r="D1492" i="1"/>
  <c r="D1484" i="1"/>
  <c r="D1476" i="1"/>
  <c r="D1468" i="1"/>
  <c r="D1460" i="1"/>
  <c r="D1452" i="1"/>
  <c r="D1444" i="1"/>
  <c r="D1436" i="1"/>
  <c r="D1428" i="1"/>
  <c r="D1420" i="1"/>
  <c r="D1412" i="1"/>
  <c r="D1404" i="1"/>
  <c r="D1396" i="1"/>
  <c r="D1388" i="1"/>
  <c r="D1963" i="1"/>
  <c r="D1955" i="1"/>
  <c r="D1947" i="1"/>
  <c r="D1939" i="1"/>
  <c r="D1931" i="1"/>
  <c r="D1923" i="1"/>
  <c r="D1915" i="1"/>
  <c r="D1907" i="1"/>
  <c r="D1899" i="1"/>
  <c r="D1891" i="1"/>
  <c r="D1883" i="1"/>
  <c r="D1875" i="1"/>
  <c r="D1867" i="1"/>
  <c r="D1859" i="1"/>
  <c r="D1851" i="1"/>
  <c r="D1843" i="1"/>
  <c r="D1835" i="1"/>
  <c r="D1827" i="1"/>
  <c r="D1819" i="1"/>
  <c r="D1811" i="1"/>
  <c r="D1803" i="1"/>
  <c r="D1795" i="1"/>
  <c r="D1787" i="1"/>
  <c r="D1779" i="1"/>
  <c r="D1771" i="1"/>
  <c r="D1763" i="1"/>
  <c r="D1755" i="1"/>
  <c r="D1747" i="1"/>
  <c r="D1739" i="1"/>
  <c r="D1731" i="1"/>
  <c r="D1723" i="1"/>
  <c r="D1715" i="1"/>
  <c r="D1707" i="1"/>
  <c r="D1699" i="1"/>
  <c r="D1691" i="1"/>
  <c r="D1683" i="1"/>
  <c r="D1675" i="1"/>
  <c r="D1667" i="1"/>
  <c r="D1659" i="1"/>
  <c r="D1651" i="1"/>
  <c r="D1643" i="1"/>
  <c r="D1635" i="1"/>
  <c r="D1627" i="1"/>
  <c r="D1619" i="1"/>
  <c r="D1611" i="1"/>
  <c r="D1603" i="1"/>
  <c r="D1595" i="1"/>
  <c r="D1587" i="1"/>
  <c r="D1579" i="1"/>
  <c r="D1571" i="1"/>
  <c r="D1563" i="1"/>
  <c r="D1555" i="1"/>
  <c r="D1547" i="1"/>
  <c r="D1539" i="1"/>
  <c r="D1531" i="1"/>
  <c r="D1523" i="1"/>
  <c r="D1515" i="1"/>
  <c r="D1507" i="1"/>
  <c r="D1499" i="1"/>
  <c r="D1491" i="1"/>
  <c r="D1483" i="1"/>
  <c r="D1475" i="1"/>
  <c r="D1467" i="1"/>
  <c r="D1459" i="1"/>
  <c r="D1451" i="1"/>
  <c r="D1443" i="1"/>
  <c r="D1435" i="1"/>
  <c r="D1427" i="1"/>
  <c r="D1419" i="1"/>
  <c r="D1411" i="1"/>
  <c r="D1403" i="1"/>
  <c r="D1395" i="1"/>
  <c r="D1387" i="1"/>
  <c r="D1379" i="1"/>
  <c r="D1371" i="1"/>
  <c r="D1363" i="1"/>
  <c r="D1355" i="1"/>
  <c r="D1347" i="1"/>
  <c r="D1339" i="1"/>
  <c r="D1331" i="1"/>
  <c r="D1323" i="1"/>
  <c r="D1315" i="1"/>
  <c r="D1307" i="1"/>
  <c r="D1299" i="1"/>
  <c r="D1291" i="1"/>
  <c r="D1283" i="1"/>
  <c r="D1282" i="1"/>
  <c r="D1274" i="1"/>
  <c r="D1266" i="1"/>
  <c r="D1258" i="1"/>
  <c r="D1250" i="1"/>
  <c r="D1242" i="1"/>
  <c r="D1234" i="1"/>
  <c r="D1226" i="1"/>
  <c r="D1218" i="1"/>
  <c r="D1210" i="1"/>
  <c r="D1202" i="1"/>
  <c r="D1194" i="1"/>
  <c r="D1186" i="1"/>
  <c r="D1178" i="1"/>
  <c r="D1170" i="1"/>
  <c r="D1162" i="1"/>
  <c r="D1154" i="1"/>
  <c r="D1146" i="1"/>
  <c r="D1138" i="1"/>
  <c r="D1130" i="1"/>
  <c r="D1122" i="1"/>
  <c r="D1114" i="1"/>
  <c r="D1106" i="1"/>
  <c r="D1098" i="1"/>
  <c r="D1090" i="1"/>
  <c r="D1082" i="1"/>
  <c r="D1074" i="1"/>
  <c r="D1066" i="1"/>
  <c r="D1058" i="1"/>
  <c r="D1050" i="1"/>
  <c r="D1042" i="1"/>
  <c r="D1034" i="1"/>
  <c r="D1026" i="1"/>
  <c r="D1018" i="1"/>
  <c r="D1010" i="1"/>
  <c r="D1002" i="1"/>
  <c r="D996" i="1"/>
  <c r="D988" i="1"/>
  <c r="D980" i="1"/>
  <c r="D972" i="1"/>
  <c r="D964" i="1"/>
  <c r="D956" i="1"/>
  <c r="D948" i="1"/>
  <c r="D940" i="1"/>
  <c r="D932" i="1"/>
  <c r="D924" i="1"/>
  <c r="D916" i="1"/>
  <c r="D908" i="1"/>
  <c r="D900" i="1"/>
  <c r="D892" i="1"/>
  <c r="D884" i="1"/>
  <c r="D876" i="1"/>
  <c r="D868" i="1"/>
  <c r="D860" i="1"/>
  <c r="D852" i="1"/>
  <c r="D844" i="1"/>
  <c r="D836" i="1"/>
  <c r="D828" i="1"/>
  <c r="D820" i="1"/>
  <c r="D812" i="1"/>
  <c r="D804" i="1"/>
  <c r="D796" i="1"/>
  <c r="D788" i="1"/>
  <c r="D780" i="1"/>
  <c r="D772" i="1"/>
  <c r="D764" i="1"/>
  <c r="D756" i="1"/>
  <c r="D748" i="1"/>
  <c r="D740" i="1"/>
  <c r="D732" i="1"/>
  <c r="D724" i="1"/>
  <c r="D716" i="1"/>
  <c r="D708" i="1"/>
  <c r="D700" i="1"/>
  <c r="D692" i="1"/>
  <c r="D684" i="1"/>
  <c r="D676" i="1"/>
  <c r="D668" i="1"/>
  <c r="D660" i="1"/>
  <c r="D652" i="1"/>
  <c r="D644" i="1"/>
  <c r="D636" i="1"/>
  <c r="D628" i="1"/>
  <c r="D620" i="1"/>
  <c r="D612" i="1"/>
  <c r="D2041" i="1"/>
  <c r="D2033" i="1"/>
  <c r="D2025" i="1"/>
  <c r="D2017" i="1"/>
  <c r="D2009" i="1"/>
  <c r="D2001" i="1"/>
  <c r="D1993" i="1"/>
  <c r="D1985" i="1"/>
  <c r="D1977" i="1"/>
  <c r="D1969" i="1"/>
  <c r="D1961" i="1"/>
  <c r="D1953" i="1"/>
  <c r="D1945" i="1"/>
  <c r="D1937" i="1"/>
  <c r="D1929" i="1"/>
  <c r="D1921" i="1"/>
  <c r="D1913" i="1"/>
  <c r="D1905" i="1"/>
  <c r="D1897" i="1"/>
  <c r="D1889" i="1"/>
  <c r="D1881" i="1"/>
  <c r="D1873" i="1"/>
  <c r="D1865" i="1"/>
  <c r="D1857" i="1"/>
  <c r="D1849" i="1"/>
  <c r="D1841" i="1"/>
  <c r="D1833" i="1"/>
  <c r="D1825" i="1"/>
  <c r="D1817" i="1"/>
  <c r="D1809" i="1"/>
  <c r="D1801" i="1"/>
  <c r="D1793" i="1"/>
  <c r="D1785" i="1"/>
  <c r="D1777" i="1"/>
  <c r="D1769" i="1"/>
  <c r="D1761" i="1"/>
  <c r="D1753" i="1"/>
  <c r="D1745" i="1"/>
  <c r="D1737" i="1"/>
  <c r="D1729" i="1"/>
  <c r="D1721" i="1"/>
  <c r="D1713" i="1"/>
  <c r="D1705" i="1"/>
  <c r="D1697" i="1"/>
  <c r="D1689" i="1"/>
  <c r="D1681" i="1"/>
  <c r="D1673" i="1"/>
  <c r="D1665" i="1"/>
  <c r="D1657" i="1"/>
  <c r="D1649" i="1"/>
  <c r="D1641" i="1"/>
  <c r="D1633" i="1"/>
  <c r="D1625" i="1"/>
  <c r="D1617" i="1"/>
  <c r="D1609" i="1"/>
  <c r="D1601" i="1"/>
  <c r="D1593" i="1"/>
  <c r="D1585" i="1"/>
  <c r="D1577" i="1"/>
  <c r="D1569" i="1"/>
  <c r="D1561" i="1"/>
  <c r="D1553" i="1"/>
  <c r="D1545" i="1"/>
  <c r="D1537" i="1"/>
  <c r="D1529" i="1"/>
  <c r="D1521" i="1"/>
  <c r="D1513" i="1"/>
  <c r="D1505" i="1"/>
  <c r="D1497" i="1"/>
  <c r="D1489" i="1"/>
  <c r="D1481" i="1"/>
  <c r="D1473" i="1"/>
  <c r="D1465" i="1"/>
  <c r="D1457" i="1"/>
  <c r="D1449" i="1"/>
  <c r="D1441" i="1"/>
  <c r="D1433" i="1"/>
  <c r="D1425" i="1"/>
  <c r="D1417" i="1"/>
  <c r="D1409" i="1"/>
  <c r="D1401" i="1"/>
  <c r="D1393" i="1"/>
  <c r="D1385" i="1"/>
  <c r="D1377" i="1"/>
  <c r="D1369" i="1"/>
  <c r="D1361" i="1"/>
  <c r="D1353" i="1"/>
  <c r="D1399" i="1"/>
  <c r="D1391" i="1"/>
  <c r="D1383" i="1"/>
  <c r="D1375" i="1"/>
  <c r="D1367" i="1"/>
  <c r="D1359" i="1"/>
  <c r="D1351" i="1"/>
  <c r="D1343" i="1"/>
  <c r="D1335" i="1"/>
  <c r="D1327" i="1"/>
  <c r="D1319" i="1"/>
  <c r="D1311" i="1"/>
  <c r="D1303" i="1"/>
  <c r="D1295" i="1"/>
  <c r="D1287" i="1"/>
  <c r="D1279" i="1"/>
  <c r="D1271" i="1"/>
  <c r="D1263" i="1"/>
  <c r="D1255" i="1"/>
  <c r="D1247" i="1"/>
  <c r="D1239" i="1"/>
  <c r="D1231" i="1"/>
  <c r="D1223" i="1"/>
  <c r="D1215" i="1"/>
  <c r="D1207" i="1"/>
  <c r="D1199" i="1"/>
  <c r="D1191" i="1"/>
  <c r="D1183" i="1"/>
  <c r="D1175" i="1"/>
  <c r="D1167" i="1"/>
  <c r="D1159" i="1"/>
  <c r="D1151" i="1"/>
  <c r="D1143" i="1"/>
  <c r="D1135" i="1"/>
  <c r="D1127" i="1"/>
  <c r="D1119" i="1"/>
  <c r="D1111" i="1"/>
  <c r="D1103" i="1"/>
  <c r="D1095" i="1"/>
  <c r="D1087" i="1"/>
  <c r="D1079" i="1"/>
  <c r="D1071" i="1"/>
  <c r="D1063" i="1"/>
  <c r="D1055" i="1"/>
  <c r="D1047" i="1"/>
  <c r="D1039" i="1"/>
  <c r="D1031" i="1"/>
  <c r="D1023" i="1"/>
  <c r="D1015" i="1"/>
  <c r="D1007" i="1"/>
  <c r="D602" i="1"/>
  <c r="D993" i="1"/>
  <c r="D985" i="1"/>
  <c r="D977" i="1"/>
  <c r="D969" i="1"/>
  <c r="D961" i="1"/>
  <c r="D953" i="1"/>
  <c r="D945" i="1"/>
  <c r="D937" i="1"/>
  <c r="D929" i="1"/>
  <c r="D921" i="1"/>
  <c r="D913" i="1"/>
  <c r="D905" i="1"/>
  <c r="D897" i="1"/>
  <c r="D889" i="1"/>
  <c r="D881" i="1"/>
  <c r="D873" i="1"/>
  <c r="D865" i="1"/>
  <c r="D857" i="1"/>
  <c r="D849" i="1"/>
  <c r="D841" i="1"/>
  <c r="D833" i="1"/>
  <c r="D825" i="1"/>
  <c r="D817" i="1"/>
  <c r="D809" i="1"/>
  <c r="D801" i="1"/>
  <c r="D793" i="1"/>
  <c r="D785" i="1"/>
  <c r="D777" i="1"/>
  <c r="D769" i="1"/>
  <c r="D761" i="1"/>
  <c r="D753" i="1"/>
  <c r="D745" i="1"/>
  <c r="D737" i="1"/>
  <c r="D729" i="1"/>
  <c r="D721" i="1"/>
  <c r="D713" i="1"/>
  <c r="D705" i="1"/>
  <c r="D697" i="1"/>
  <c r="D689" i="1"/>
  <c r="D681" i="1"/>
  <c r="D673" i="1"/>
  <c r="D665" i="1"/>
  <c r="D657" i="1"/>
  <c r="D649" i="1"/>
  <c r="D641" i="1"/>
  <c r="D633" i="1"/>
  <c r="D625" i="1"/>
  <c r="D617" i="1"/>
  <c r="D609" i="1"/>
  <c r="D1398" i="1"/>
  <c r="D1390" i="1"/>
  <c r="D1382" i="1"/>
  <c r="D1374" i="1"/>
  <c r="D1366" i="1"/>
  <c r="D1358" i="1"/>
  <c r="D1350" i="1"/>
  <c r="D1342" i="1"/>
  <c r="D1334" i="1"/>
  <c r="D1326" i="1"/>
  <c r="D1318" i="1"/>
  <c r="D1310" i="1"/>
  <c r="D1302" i="1"/>
  <c r="D1294" i="1"/>
  <c r="D1286" i="1"/>
  <c r="D1278" i="1"/>
  <c r="D1270" i="1"/>
  <c r="D1262" i="1"/>
  <c r="D1254" i="1"/>
  <c r="D1246" i="1"/>
  <c r="D1238" i="1"/>
  <c r="D1230" i="1"/>
  <c r="D1222" i="1"/>
  <c r="D1214" i="1"/>
  <c r="D1206" i="1"/>
  <c r="D1198" i="1"/>
  <c r="D1190" i="1"/>
  <c r="D1182" i="1"/>
  <c r="D1174" i="1"/>
  <c r="D1166" i="1"/>
  <c r="D1158" i="1"/>
  <c r="D1150" i="1"/>
  <c r="D1142" i="1"/>
  <c r="D1134" i="1"/>
  <c r="D1126" i="1"/>
  <c r="D1118" i="1"/>
  <c r="D1110" i="1"/>
  <c r="D1102" i="1"/>
  <c r="D1094" i="1"/>
  <c r="D1086" i="1"/>
  <c r="D1078" i="1"/>
  <c r="D1070" i="1"/>
  <c r="D1062" i="1"/>
  <c r="D1054" i="1"/>
  <c r="D1046" i="1"/>
  <c r="D1038" i="1"/>
  <c r="D1030" i="1"/>
  <c r="D1022" i="1"/>
  <c r="D1014" i="1"/>
  <c r="D1006" i="1"/>
  <c r="D1000" i="1"/>
  <c r="D992" i="1"/>
  <c r="D984" i="1"/>
  <c r="D976" i="1"/>
  <c r="D968" i="1"/>
  <c r="D960" i="1"/>
  <c r="D952" i="1"/>
  <c r="D944" i="1"/>
  <c r="D936" i="1"/>
  <c r="D928" i="1"/>
  <c r="D920" i="1"/>
  <c r="D912" i="1"/>
  <c r="D904" i="1"/>
  <c r="D896" i="1"/>
  <c r="D888" i="1"/>
  <c r="D880" i="1"/>
  <c r="D872" i="1"/>
  <c r="D864" i="1"/>
  <c r="D856" i="1"/>
  <c r="D848" i="1"/>
  <c r="D840" i="1"/>
  <c r="D832" i="1"/>
  <c r="D824" i="1"/>
  <c r="D816" i="1"/>
  <c r="D808" i="1"/>
  <c r="D800" i="1"/>
  <c r="D792" i="1"/>
  <c r="D784" i="1"/>
  <c r="D776" i="1"/>
  <c r="D768" i="1"/>
  <c r="D760" i="1"/>
  <c r="D752" i="1"/>
  <c r="D744" i="1"/>
  <c r="D736" i="1"/>
  <c r="D728" i="1"/>
  <c r="D720" i="1"/>
  <c r="D712" i="1"/>
  <c r="D704" i="1"/>
  <c r="D696" i="1"/>
  <c r="D688" i="1"/>
  <c r="D680" i="1"/>
  <c r="D672" i="1"/>
  <c r="D664" i="1"/>
  <c r="D656" i="1"/>
  <c r="D648" i="1"/>
  <c r="D640" i="1"/>
  <c r="D632" i="1"/>
  <c r="D624" i="1"/>
  <c r="D616" i="1"/>
  <c r="D608" i="1"/>
  <c r="D1349" i="1"/>
  <c r="D1341" i="1"/>
  <c r="D1333" i="1"/>
  <c r="D1325" i="1"/>
  <c r="D1317" i="1"/>
  <c r="D1309" i="1"/>
  <c r="D1301" i="1"/>
  <c r="D1293" i="1"/>
  <c r="D1285" i="1"/>
  <c r="D1277" i="1"/>
  <c r="D1269" i="1"/>
  <c r="D1261" i="1"/>
  <c r="D1253" i="1"/>
  <c r="D1245" i="1"/>
  <c r="D1237" i="1"/>
  <c r="D1229" i="1"/>
  <c r="D1221" i="1"/>
  <c r="D1213" i="1"/>
  <c r="D1205" i="1"/>
  <c r="D1197" i="1"/>
  <c r="D1189" i="1"/>
  <c r="D1181" i="1"/>
  <c r="D1173" i="1"/>
  <c r="D1165" i="1"/>
  <c r="D1157" i="1"/>
  <c r="D1149" i="1"/>
  <c r="D1141" i="1"/>
  <c r="D1133" i="1"/>
  <c r="D1125" i="1"/>
  <c r="D1117" i="1"/>
  <c r="D1109" i="1"/>
  <c r="D1101" i="1"/>
  <c r="D1093" i="1"/>
  <c r="D1085" i="1"/>
  <c r="D1077" i="1"/>
  <c r="D1069" i="1"/>
  <c r="D1061" i="1"/>
  <c r="D1053" i="1"/>
  <c r="D1045" i="1"/>
  <c r="D1037" i="1"/>
  <c r="D1029" i="1"/>
  <c r="D1021" i="1"/>
  <c r="D1013" i="1"/>
  <c r="D1005" i="1"/>
  <c r="D999" i="1"/>
  <c r="D991" i="1"/>
  <c r="D983" i="1"/>
  <c r="D975" i="1"/>
  <c r="D967" i="1"/>
  <c r="D959" i="1"/>
  <c r="D951" i="1"/>
  <c r="D943" i="1"/>
  <c r="D935" i="1"/>
  <c r="D927" i="1"/>
  <c r="D919" i="1"/>
  <c r="D911" i="1"/>
  <c r="D903" i="1"/>
  <c r="D895" i="1"/>
  <c r="D887" i="1"/>
  <c r="D879" i="1"/>
  <c r="D871" i="1"/>
  <c r="D863" i="1"/>
  <c r="D855" i="1"/>
  <c r="D847" i="1"/>
  <c r="D839" i="1"/>
  <c r="D831" i="1"/>
  <c r="D823" i="1"/>
  <c r="D815" i="1"/>
  <c r="D807" i="1"/>
  <c r="D799" i="1"/>
  <c r="D791" i="1"/>
  <c r="D783" i="1"/>
  <c r="D775" i="1"/>
  <c r="D767" i="1"/>
  <c r="D759" i="1"/>
  <c r="D751" i="1"/>
  <c r="D743" i="1"/>
  <c r="D735" i="1"/>
  <c r="D727" i="1"/>
  <c r="D719" i="1"/>
  <c r="D711" i="1"/>
  <c r="D703" i="1"/>
  <c r="D695" i="1"/>
  <c r="D687" i="1"/>
  <c r="D679" i="1"/>
  <c r="D671" i="1"/>
  <c r="D663" i="1"/>
  <c r="D655" i="1"/>
  <c r="D647" i="1"/>
  <c r="D639" i="1"/>
  <c r="D631" i="1"/>
  <c r="D623" i="1"/>
  <c r="D615" i="1"/>
  <c r="D607" i="1"/>
  <c r="D1380" i="1"/>
  <c r="D1372" i="1"/>
  <c r="D1364" i="1"/>
  <c r="D1356" i="1"/>
  <c r="D1348" i="1"/>
  <c r="D1340" i="1"/>
  <c r="D1332" i="1"/>
  <c r="D1324" i="1"/>
  <c r="D1316" i="1"/>
  <c r="D1308" i="1"/>
  <c r="D1300" i="1"/>
  <c r="D1292" i="1"/>
  <c r="D1284" i="1"/>
  <c r="D1276" i="1"/>
  <c r="D1268" i="1"/>
  <c r="D1260" i="1"/>
  <c r="D1252" i="1"/>
  <c r="D1244" i="1"/>
  <c r="D1236" i="1"/>
  <c r="D1228" i="1"/>
  <c r="D1220" i="1"/>
  <c r="D1212" i="1"/>
  <c r="D1204" i="1"/>
  <c r="D1196" i="1"/>
  <c r="D1188" i="1"/>
  <c r="D1180" i="1"/>
  <c r="D1172" i="1"/>
  <c r="D1164" i="1"/>
  <c r="D1156" i="1"/>
  <c r="D1148" i="1"/>
  <c r="D1140" i="1"/>
  <c r="D1132" i="1"/>
  <c r="D1124" i="1"/>
  <c r="D1116" i="1"/>
  <c r="D1108" i="1"/>
  <c r="D1100" i="1"/>
  <c r="D1092" i="1"/>
  <c r="D1084" i="1"/>
  <c r="D1076" i="1"/>
  <c r="D1068" i="1"/>
  <c r="D1060" i="1"/>
  <c r="D1052" i="1"/>
  <c r="D1044" i="1"/>
  <c r="D1036" i="1"/>
  <c r="D1028" i="1"/>
  <c r="D1020" i="1"/>
  <c r="D1012" i="1"/>
  <c r="D1004" i="1"/>
  <c r="D998" i="1"/>
  <c r="D990" i="1"/>
  <c r="D982" i="1"/>
  <c r="D974" i="1"/>
  <c r="D966" i="1"/>
  <c r="D958" i="1"/>
  <c r="D950" i="1"/>
  <c r="D942" i="1"/>
  <c r="D934" i="1"/>
  <c r="D926" i="1"/>
  <c r="D918" i="1"/>
  <c r="D910" i="1"/>
  <c r="D902" i="1"/>
  <c r="D894" i="1"/>
  <c r="D886" i="1"/>
  <c r="D878" i="1"/>
  <c r="D870" i="1"/>
  <c r="D862" i="1"/>
  <c r="D854" i="1"/>
  <c r="D846" i="1"/>
  <c r="D838" i="1"/>
  <c r="D830" i="1"/>
  <c r="D822" i="1"/>
  <c r="D814" i="1"/>
  <c r="D806" i="1"/>
  <c r="D798" i="1"/>
  <c r="D790" i="1"/>
  <c r="D782" i="1"/>
  <c r="D774" i="1"/>
  <c r="D766" i="1"/>
  <c r="D758" i="1"/>
  <c r="D750" i="1"/>
  <c r="D742" i="1"/>
  <c r="D734" i="1"/>
  <c r="D726" i="1"/>
  <c r="D718" i="1"/>
  <c r="D710" i="1"/>
  <c r="D702" i="1"/>
  <c r="D694" i="1"/>
  <c r="D686" i="1"/>
  <c r="D678" i="1"/>
  <c r="D670" i="1"/>
  <c r="D662" i="1"/>
  <c r="D654" i="1"/>
  <c r="D646" i="1"/>
  <c r="D638" i="1"/>
  <c r="D630" i="1"/>
  <c r="D622" i="1"/>
  <c r="D614" i="1"/>
  <c r="D606" i="1"/>
  <c r="D1275" i="1"/>
  <c r="D1267" i="1"/>
  <c r="D1259" i="1"/>
  <c r="D1251" i="1"/>
  <c r="D1243" i="1"/>
  <c r="D1235" i="1"/>
  <c r="D1227" i="1"/>
  <c r="D1219" i="1"/>
  <c r="D1211" i="1"/>
  <c r="D1203" i="1"/>
  <c r="D1195" i="1"/>
  <c r="D1187" i="1"/>
  <c r="D1179" i="1"/>
  <c r="D1171" i="1"/>
  <c r="D1163" i="1"/>
  <c r="D1155" i="1"/>
  <c r="D1147" i="1"/>
  <c r="D1139" i="1"/>
  <c r="D1131" i="1"/>
  <c r="D1123" i="1"/>
  <c r="D1115" i="1"/>
  <c r="D1107" i="1"/>
  <c r="D1099" i="1"/>
  <c r="D1091" i="1"/>
  <c r="D1083" i="1"/>
  <c r="D1075" i="1"/>
  <c r="D1067" i="1"/>
  <c r="D1059" i="1"/>
  <c r="D1051" i="1"/>
  <c r="D1043" i="1"/>
  <c r="D1035" i="1"/>
  <c r="D1027" i="1"/>
  <c r="D1019" i="1"/>
  <c r="D1011" i="1"/>
  <c r="D1003" i="1"/>
  <c r="D997" i="1"/>
  <c r="D989" i="1"/>
  <c r="D981" i="1"/>
  <c r="D973" i="1"/>
  <c r="D965" i="1"/>
  <c r="D957" i="1"/>
  <c r="D949" i="1"/>
  <c r="D941" i="1"/>
  <c r="D933" i="1"/>
  <c r="D925" i="1"/>
  <c r="D917" i="1"/>
  <c r="D909" i="1"/>
  <c r="D901" i="1"/>
  <c r="D893" i="1"/>
  <c r="D885" i="1"/>
  <c r="D877" i="1"/>
  <c r="D869" i="1"/>
  <c r="D861" i="1"/>
  <c r="D853" i="1"/>
  <c r="D845" i="1"/>
  <c r="D837" i="1"/>
  <c r="D829" i="1"/>
  <c r="D821" i="1"/>
  <c r="D813" i="1"/>
  <c r="D805" i="1"/>
  <c r="D797" i="1"/>
  <c r="D789" i="1"/>
  <c r="D781" i="1"/>
  <c r="D773" i="1"/>
  <c r="D765" i="1"/>
  <c r="D757" i="1"/>
  <c r="D749" i="1"/>
  <c r="D741" i="1"/>
  <c r="D733" i="1"/>
  <c r="D725" i="1"/>
  <c r="D717" i="1"/>
  <c r="D709" i="1"/>
  <c r="D701" i="1"/>
  <c r="D693" i="1"/>
  <c r="D685" i="1"/>
  <c r="D677" i="1"/>
  <c r="D669" i="1"/>
  <c r="D661" i="1"/>
  <c r="D653" i="1"/>
  <c r="D645" i="1"/>
  <c r="D637" i="1"/>
  <c r="D629" i="1"/>
  <c r="D621" i="1"/>
  <c r="D613" i="1"/>
  <c r="D605" i="1"/>
  <c r="D604" i="1"/>
  <c r="D1345" i="1"/>
  <c r="D1337" i="1"/>
  <c r="D1329" i="1"/>
  <c r="D1321" i="1"/>
  <c r="D1313" i="1"/>
  <c r="D1305" i="1"/>
  <c r="D1297" i="1"/>
  <c r="D1289" i="1"/>
  <c r="D1281" i="1"/>
  <c r="D1273" i="1"/>
  <c r="D1265" i="1"/>
  <c r="D1257" i="1"/>
  <c r="D1249" i="1"/>
  <c r="D1241" i="1"/>
  <c r="D1233" i="1"/>
  <c r="D1225" i="1"/>
  <c r="D1217" i="1"/>
  <c r="D1209" i="1"/>
  <c r="D1201" i="1"/>
  <c r="D1193" i="1"/>
  <c r="D1185" i="1"/>
  <c r="D1177" i="1"/>
  <c r="D1169" i="1"/>
  <c r="D1161" i="1"/>
  <c r="D1153" i="1"/>
  <c r="D1145" i="1"/>
  <c r="D1137" i="1"/>
  <c r="D1129" i="1"/>
  <c r="D1121" i="1"/>
  <c r="D1113" i="1"/>
  <c r="D1105" i="1"/>
  <c r="D1097" i="1"/>
  <c r="D1089" i="1"/>
  <c r="D1081" i="1"/>
  <c r="D1073" i="1"/>
  <c r="D1065" i="1"/>
  <c r="D1057" i="1"/>
  <c r="D1049" i="1"/>
  <c r="D1041" i="1"/>
  <c r="D1033" i="1"/>
  <c r="D1025" i="1"/>
  <c r="D1017" i="1"/>
  <c r="D1009" i="1"/>
  <c r="D1001" i="1"/>
  <c r="D995" i="1"/>
  <c r="D987" i="1"/>
  <c r="D979" i="1"/>
  <c r="D971" i="1"/>
  <c r="D963" i="1"/>
  <c r="D955" i="1"/>
  <c r="D947" i="1"/>
  <c r="D939" i="1"/>
  <c r="D931" i="1"/>
  <c r="D923" i="1"/>
  <c r="D915" i="1"/>
  <c r="D907" i="1"/>
  <c r="D899" i="1"/>
  <c r="D891" i="1"/>
  <c r="D883" i="1"/>
  <c r="D875" i="1"/>
  <c r="D867" i="1"/>
  <c r="D859" i="1"/>
  <c r="D851" i="1"/>
  <c r="D843" i="1"/>
  <c r="D835" i="1"/>
  <c r="D827" i="1"/>
  <c r="D819" i="1"/>
  <c r="D811" i="1"/>
  <c r="D803" i="1"/>
  <c r="D795" i="1"/>
  <c r="D787" i="1"/>
  <c r="D779" i="1"/>
  <c r="D771" i="1"/>
  <c r="D763" i="1"/>
  <c r="D755" i="1"/>
  <c r="D747" i="1"/>
  <c r="D739" i="1"/>
  <c r="D731" i="1"/>
  <c r="D723" i="1"/>
  <c r="D715" i="1"/>
  <c r="D707" i="1"/>
  <c r="D699" i="1"/>
  <c r="D691" i="1"/>
  <c r="D683" i="1"/>
  <c r="D675" i="1"/>
  <c r="D667" i="1"/>
  <c r="D659" i="1"/>
  <c r="D651" i="1"/>
  <c r="D643" i="1"/>
  <c r="D635" i="1"/>
  <c r="D627" i="1"/>
  <c r="D619" i="1"/>
  <c r="D611" i="1"/>
  <c r="D603" i="1"/>
  <c r="B403" i="4" l="1"/>
  <c r="C403" i="4" s="1"/>
  <c r="B411" i="4"/>
  <c r="C411" i="4" s="1"/>
  <c r="B419" i="4"/>
  <c r="C419" i="4" s="1"/>
  <c r="B427" i="4"/>
  <c r="C427" i="4" s="1"/>
  <c r="B435" i="4"/>
  <c r="C435" i="4" s="1"/>
  <c r="B443" i="4"/>
  <c r="C443" i="4" s="1"/>
  <c r="B451" i="4"/>
  <c r="C451" i="4" s="1"/>
  <c r="B459" i="4"/>
  <c r="C459" i="4" s="1"/>
  <c r="B467" i="4"/>
  <c r="C467" i="4" s="1"/>
  <c r="B475" i="4"/>
  <c r="C475" i="4" s="1"/>
  <c r="B483" i="4"/>
  <c r="C483" i="4" s="1"/>
  <c r="B491" i="4"/>
  <c r="C491" i="4" s="1"/>
  <c r="B499" i="4"/>
  <c r="C499" i="4" s="1"/>
  <c r="B507" i="4"/>
  <c r="C507" i="4" s="1"/>
  <c r="B515" i="4"/>
  <c r="C515" i="4" s="1"/>
  <c r="B523" i="4"/>
  <c r="C523" i="4" s="1"/>
  <c r="B531" i="4"/>
  <c r="C531" i="4" s="1"/>
  <c r="B539" i="4"/>
  <c r="C539" i="4" s="1"/>
  <c r="B547" i="4"/>
  <c r="C547" i="4" s="1"/>
  <c r="B555" i="4"/>
  <c r="C555" i="4" s="1"/>
  <c r="B563" i="4"/>
  <c r="C563" i="4" s="1"/>
  <c r="B571" i="4"/>
  <c r="C571" i="4" s="1"/>
  <c r="B579" i="4"/>
  <c r="C579" i="4" s="1"/>
  <c r="B587" i="4"/>
  <c r="C587" i="4" s="1"/>
  <c r="B595" i="4"/>
  <c r="C595" i="4" s="1"/>
  <c r="B603" i="4"/>
  <c r="C603" i="4" s="1"/>
  <c r="D405" i="4"/>
  <c r="D413" i="4"/>
  <c r="D421" i="4"/>
  <c r="D429" i="4"/>
  <c r="D437" i="4"/>
  <c r="D445" i="4"/>
  <c r="D453" i="4"/>
  <c r="D461" i="4"/>
  <c r="D469" i="4"/>
  <c r="D477" i="4"/>
  <c r="D485" i="4"/>
  <c r="D493" i="4"/>
  <c r="D501" i="4"/>
  <c r="D509" i="4"/>
  <c r="D517" i="4"/>
  <c r="D525" i="4"/>
  <c r="D533" i="4"/>
  <c r="D541" i="4"/>
  <c r="D549" i="4"/>
  <c r="D557" i="4"/>
  <c r="D565" i="4"/>
  <c r="D573" i="4"/>
  <c r="D581" i="4"/>
  <c r="D589" i="4"/>
  <c r="D597" i="4"/>
  <c r="D605" i="4"/>
  <c r="B404" i="4"/>
  <c r="C404" i="4" s="1"/>
  <c r="B412" i="4"/>
  <c r="C412" i="4" s="1"/>
  <c r="B420" i="4"/>
  <c r="C420" i="4" s="1"/>
  <c r="B428" i="4"/>
  <c r="C428" i="4" s="1"/>
  <c r="B436" i="4"/>
  <c r="C436" i="4" s="1"/>
  <c r="B444" i="4"/>
  <c r="C444" i="4" s="1"/>
  <c r="B452" i="4"/>
  <c r="C452" i="4" s="1"/>
  <c r="B460" i="4"/>
  <c r="C460" i="4" s="1"/>
  <c r="B468" i="4"/>
  <c r="C468" i="4" s="1"/>
  <c r="B476" i="4"/>
  <c r="C476" i="4" s="1"/>
  <c r="B484" i="4"/>
  <c r="C484" i="4" s="1"/>
  <c r="B492" i="4"/>
  <c r="C492" i="4" s="1"/>
  <c r="B500" i="4"/>
  <c r="C500" i="4" s="1"/>
  <c r="B508" i="4"/>
  <c r="C508" i="4" s="1"/>
  <c r="B516" i="4"/>
  <c r="C516" i="4" s="1"/>
  <c r="B524" i="4"/>
  <c r="C524" i="4" s="1"/>
  <c r="B532" i="4"/>
  <c r="C532" i="4" s="1"/>
  <c r="B540" i="4"/>
  <c r="C540" i="4" s="1"/>
  <c r="B548" i="4"/>
  <c r="C548" i="4" s="1"/>
  <c r="B556" i="4"/>
  <c r="C556" i="4" s="1"/>
  <c r="B564" i="4"/>
  <c r="C564" i="4" s="1"/>
  <c r="B572" i="4"/>
  <c r="C572" i="4" s="1"/>
  <c r="B580" i="4"/>
  <c r="C580" i="4" s="1"/>
  <c r="B588" i="4"/>
  <c r="C588" i="4" s="1"/>
  <c r="B596" i="4"/>
  <c r="C596" i="4" s="1"/>
  <c r="B604" i="4"/>
  <c r="C604" i="4" s="1"/>
  <c r="D406" i="4"/>
  <c r="D414" i="4"/>
  <c r="D422" i="4"/>
  <c r="D430" i="4"/>
  <c r="D438" i="4"/>
  <c r="D446" i="4"/>
  <c r="D454" i="4"/>
  <c r="D462" i="4"/>
  <c r="D470" i="4"/>
  <c r="D478" i="4"/>
  <c r="D486" i="4"/>
  <c r="D494" i="4"/>
  <c r="D502" i="4"/>
  <c r="D510" i="4"/>
  <c r="D518" i="4"/>
  <c r="D526" i="4"/>
  <c r="D534" i="4"/>
  <c r="D542" i="4"/>
  <c r="D550" i="4"/>
  <c r="D558" i="4"/>
  <c r="D566" i="4"/>
  <c r="D574" i="4"/>
  <c r="D582" i="4"/>
  <c r="D590" i="4"/>
  <c r="D598" i="4"/>
  <c r="B405" i="4"/>
  <c r="C405" i="4" s="1"/>
  <c r="B413" i="4"/>
  <c r="C413" i="4" s="1"/>
  <c r="B421" i="4"/>
  <c r="C421" i="4" s="1"/>
  <c r="B429" i="4"/>
  <c r="C429" i="4" s="1"/>
  <c r="B437" i="4"/>
  <c r="C437" i="4" s="1"/>
  <c r="B445" i="4"/>
  <c r="C445" i="4" s="1"/>
  <c r="B453" i="4"/>
  <c r="C453" i="4" s="1"/>
  <c r="B461" i="4"/>
  <c r="C461" i="4" s="1"/>
  <c r="B469" i="4"/>
  <c r="C469" i="4" s="1"/>
  <c r="B477" i="4"/>
  <c r="C477" i="4" s="1"/>
  <c r="B485" i="4"/>
  <c r="C485" i="4" s="1"/>
  <c r="B493" i="4"/>
  <c r="C493" i="4" s="1"/>
  <c r="B501" i="4"/>
  <c r="C501" i="4" s="1"/>
  <c r="B509" i="4"/>
  <c r="C509" i="4" s="1"/>
  <c r="B517" i="4"/>
  <c r="C517" i="4" s="1"/>
  <c r="B525" i="4"/>
  <c r="C525" i="4" s="1"/>
  <c r="B533" i="4"/>
  <c r="C533" i="4" s="1"/>
  <c r="B541" i="4"/>
  <c r="C541" i="4" s="1"/>
  <c r="B549" i="4"/>
  <c r="C549" i="4" s="1"/>
  <c r="B557" i="4"/>
  <c r="C557" i="4" s="1"/>
  <c r="B565" i="4"/>
  <c r="C565" i="4" s="1"/>
  <c r="B573" i="4"/>
  <c r="C573" i="4" s="1"/>
  <c r="B581" i="4"/>
  <c r="C581" i="4" s="1"/>
  <c r="B589" i="4"/>
  <c r="C589" i="4" s="1"/>
  <c r="B597" i="4"/>
  <c r="C597" i="4" s="1"/>
  <c r="B605" i="4"/>
  <c r="C605" i="4" s="1"/>
  <c r="D407" i="4"/>
  <c r="D415" i="4"/>
  <c r="D423" i="4"/>
  <c r="D431" i="4"/>
  <c r="D439" i="4"/>
  <c r="D447" i="4"/>
  <c r="D455" i="4"/>
  <c r="D463" i="4"/>
  <c r="D471" i="4"/>
  <c r="D479" i="4"/>
  <c r="D487" i="4"/>
  <c r="D495" i="4"/>
  <c r="D503" i="4"/>
  <c r="D511" i="4"/>
  <c r="D519" i="4"/>
  <c r="D527" i="4"/>
  <c r="D535" i="4"/>
  <c r="D543" i="4"/>
  <c r="D551" i="4"/>
  <c r="D559" i="4"/>
  <c r="D567" i="4"/>
  <c r="D575" i="4"/>
  <c r="D583" i="4"/>
  <c r="D591" i="4"/>
  <c r="D599" i="4"/>
  <c r="B406" i="4"/>
  <c r="C406" i="4" s="1"/>
  <c r="B414" i="4"/>
  <c r="C414" i="4" s="1"/>
  <c r="B422" i="4"/>
  <c r="C422" i="4" s="1"/>
  <c r="B430" i="4"/>
  <c r="C430" i="4" s="1"/>
  <c r="B438" i="4"/>
  <c r="C438" i="4" s="1"/>
  <c r="B446" i="4"/>
  <c r="C446" i="4" s="1"/>
  <c r="B454" i="4"/>
  <c r="C454" i="4" s="1"/>
  <c r="B462" i="4"/>
  <c r="C462" i="4" s="1"/>
  <c r="B470" i="4"/>
  <c r="C470" i="4" s="1"/>
  <c r="B478" i="4"/>
  <c r="C478" i="4" s="1"/>
  <c r="B486" i="4"/>
  <c r="C486" i="4" s="1"/>
  <c r="B494" i="4"/>
  <c r="C494" i="4" s="1"/>
  <c r="B502" i="4"/>
  <c r="C502" i="4" s="1"/>
  <c r="B510" i="4"/>
  <c r="C510" i="4" s="1"/>
  <c r="B518" i="4"/>
  <c r="C518" i="4" s="1"/>
  <c r="B526" i="4"/>
  <c r="C526" i="4" s="1"/>
  <c r="B534" i="4"/>
  <c r="C534" i="4" s="1"/>
  <c r="B542" i="4"/>
  <c r="C542" i="4" s="1"/>
  <c r="B550" i="4"/>
  <c r="C550" i="4" s="1"/>
  <c r="B558" i="4"/>
  <c r="C558" i="4" s="1"/>
  <c r="B566" i="4"/>
  <c r="C566" i="4" s="1"/>
  <c r="B574" i="4"/>
  <c r="C574" i="4" s="1"/>
  <c r="B582" i="4"/>
  <c r="C582" i="4" s="1"/>
  <c r="B590" i="4"/>
  <c r="C590" i="4" s="1"/>
  <c r="B598" i="4"/>
  <c r="C598" i="4" s="1"/>
  <c r="D408" i="4"/>
  <c r="D416" i="4"/>
  <c r="D424" i="4"/>
  <c r="D432" i="4"/>
  <c r="D440" i="4"/>
  <c r="D448" i="4"/>
  <c r="D456" i="4"/>
  <c r="D464" i="4"/>
  <c r="D472" i="4"/>
  <c r="D480" i="4"/>
  <c r="D488" i="4"/>
  <c r="D496" i="4"/>
  <c r="D504" i="4"/>
  <c r="D512" i="4"/>
  <c r="D520" i="4"/>
  <c r="D528" i="4"/>
  <c r="D536" i="4"/>
  <c r="D544" i="4"/>
  <c r="D552" i="4"/>
  <c r="D560" i="4"/>
  <c r="D568" i="4"/>
  <c r="D576" i="4"/>
  <c r="D584" i="4"/>
  <c r="D592" i="4"/>
  <c r="B407" i="4"/>
  <c r="C407" i="4" s="1"/>
  <c r="B415" i="4"/>
  <c r="C415" i="4" s="1"/>
  <c r="B423" i="4"/>
  <c r="C423" i="4" s="1"/>
  <c r="B431" i="4"/>
  <c r="C431" i="4" s="1"/>
  <c r="B439" i="4"/>
  <c r="C439" i="4" s="1"/>
  <c r="B447" i="4"/>
  <c r="C447" i="4" s="1"/>
  <c r="B455" i="4"/>
  <c r="C455" i="4" s="1"/>
  <c r="B463" i="4"/>
  <c r="C463" i="4" s="1"/>
  <c r="B471" i="4"/>
  <c r="C471" i="4" s="1"/>
  <c r="B479" i="4"/>
  <c r="C479" i="4" s="1"/>
  <c r="B487" i="4"/>
  <c r="C487" i="4" s="1"/>
  <c r="B495" i="4"/>
  <c r="C495" i="4" s="1"/>
  <c r="B503" i="4"/>
  <c r="C503" i="4" s="1"/>
  <c r="B511" i="4"/>
  <c r="C511" i="4" s="1"/>
  <c r="B519" i="4"/>
  <c r="C519" i="4" s="1"/>
  <c r="B527" i="4"/>
  <c r="C527" i="4" s="1"/>
  <c r="B535" i="4"/>
  <c r="C535" i="4" s="1"/>
  <c r="B543" i="4"/>
  <c r="C543" i="4" s="1"/>
  <c r="B551" i="4"/>
  <c r="C551" i="4" s="1"/>
  <c r="B559" i="4"/>
  <c r="C559" i="4" s="1"/>
  <c r="B567" i="4"/>
  <c r="C567" i="4" s="1"/>
  <c r="B575" i="4"/>
  <c r="C575" i="4" s="1"/>
  <c r="B583" i="4"/>
  <c r="C583" i="4" s="1"/>
  <c r="B591" i="4"/>
  <c r="C591" i="4" s="1"/>
  <c r="B599" i="4"/>
  <c r="C599" i="4" s="1"/>
  <c r="D409" i="4"/>
  <c r="D417" i="4"/>
  <c r="D425" i="4"/>
  <c r="D433" i="4"/>
  <c r="D441" i="4"/>
  <c r="D449" i="4"/>
  <c r="D457" i="4"/>
  <c r="D465" i="4"/>
  <c r="D473" i="4"/>
  <c r="D481" i="4"/>
  <c r="D489" i="4"/>
  <c r="D497" i="4"/>
  <c r="D505" i="4"/>
  <c r="D513" i="4"/>
  <c r="D521" i="4"/>
  <c r="D529" i="4"/>
  <c r="D537" i="4"/>
  <c r="D545" i="4"/>
  <c r="D553" i="4"/>
  <c r="D561" i="4"/>
  <c r="D569" i="4"/>
  <c r="D577" i="4"/>
  <c r="D585" i="4"/>
  <c r="D593" i="4"/>
  <c r="D601" i="4"/>
  <c r="B409" i="4"/>
  <c r="C409" i="4" s="1"/>
  <c r="B417" i="4"/>
  <c r="C417" i="4" s="1"/>
  <c r="B425" i="4"/>
  <c r="C425" i="4" s="1"/>
  <c r="B433" i="4"/>
  <c r="C433" i="4" s="1"/>
  <c r="B441" i="4"/>
  <c r="C441" i="4" s="1"/>
  <c r="B449" i="4"/>
  <c r="C449" i="4" s="1"/>
  <c r="B457" i="4"/>
  <c r="C457" i="4" s="1"/>
  <c r="B465" i="4"/>
  <c r="C465" i="4" s="1"/>
  <c r="B473" i="4"/>
  <c r="C473" i="4" s="1"/>
  <c r="B481" i="4"/>
  <c r="C481" i="4" s="1"/>
  <c r="B489" i="4"/>
  <c r="C489" i="4" s="1"/>
  <c r="B497" i="4"/>
  <c r="C497" i="4" s="1"/>
  <c r="B505" i="4"/>
  <c r="C505" i="4" s="1"/>
  <c r="B513" i="4"/>
  <c r="C513" i="4" s="1"/>
  <c r="B521" i="4"/>
  <c r="C521" i="4" s="1"/>
  <c r="B529" i="4"/>
  <c r="C529" i="4" s="1"/>
  <c r="B537" i="4"/>
  <c r="C537" i="4" s="1"/>
  <c r="B545" i="4"/>
  <c r="C545" i="4" s="1"/>
  <c r="B553" i="4"/>
  <c r="C553" i="4" s="1"/>
  <c r="B561" i="4"/>
  <c r="C561" i="4" s="1"/>
  <c r="B569" i="4"/>
  <c r="C569" i="4" s="1"/>
  <c r="B577" i="4"/>
  <c r="C577" i="4" s="1"/>
  <c r="B585" i="4"/>
  <c r="C585" i="4" s="1"/>
  <c r="B593" i="4"/>
  <c r="C593" i="4" s="1"/>
  <c r="B601" i="4"/>
  <c r="C601" i="4" s="1"/>
  <c r="D403" i="4"/>
  <c r="D411" i="4"/>
  <c r="D419" i="4"/>
  <c r="D427" i="4"/>
  <c r="D435" i="4"/>
  <c r="D443" i="4"/>
  <c r="B410" i="4"/>
  <c r="C410" i="4" s="1"/>
  <c r="B418" i="4"/>
  <c r="C418" i="4" s="1"/>
  <c r="B426" i="4"/>
  <c r="C426" i="4" s="1"/>
  <c r="B434" i="4"/>
  <c r="C434" i="4" s="1"/>
  <c r="B442" i="4"/>
  <c r="C442" i="4" s="1"/>
  <c r="B450" i="4"/>
  <c r="C450" i="4" s="1"/>
  <c r="B458" i="4"/>
  <c r="C458" i="4" s="1"/>
  <c r="B466" i="4"/>
  <c r="C466" i="4" s="1"/>
  <c r="B474" i="4"/>
  <c r="C474" i="4" s="1"/>
  <c r="B482" i="4"/>
  <c r="C482" i="4" s="1"/>
  <c r="B490" i="4"/>
  <c r="C490" i="4" s="1"/>
  <c r="B498" i="4"/>
  <c r="C498" i="4" s="1"/>
  <c r="B506" i="4"/>
  <c r="C506" i="4" s="1"/>
  <c r="B514" i="4"/>
  <c r="C514" i="4" s="1"/>
  <c r="B522" i="4"/>
  <c r="C522" i="4" s="1"/>
  <c r="B530" i="4"/>
  <c r="C530" i="4" s="1"/>
  <c r="B408" i="4"/>
  <c r="C408" i="4" s="1"/>
  <c r="B472" i="4"/>
  <c r="C472" i="4" s="1"/>
  <c r="B536" i="4"/>
  <c r="C536" i="4" s="1"/>
  <c r="B568" i="4"/>
  <c r="C568" i="4" s="1"/>
  <c r="B600" i="4"/>
  <c r="C600" i="4" s="1"/>
  <c r="D418" i="4"/>
  <c r="D450" i="4"/>
  <c r="D468" i="4"/>
  <c r="D491" i="4"/>
  <c r="D514" i="4"/>
  <c r="D532" i="4"/>
  <c r="D555" i="4"/>
  <c r="D578" i="4"/>
  <c r="D596" i="4"/>
  <c r="B416" i="4"/>
  <c r="C416" i="4" s="1"/>
  <c r="B480" i="4"/>
  <c r="C480" i="4" s="1"/>
  <c r="B538" i="4"/>
  <c r="C538" i="4" s="1"/>
  <c r="B570" i="4"/>
  <c r="C570" i="4" s="1"/>
  <c r="B602" i="4"/>
  <c r="C602" i="4" s="1"/>
  <c r="D420" i="4"/>
  <c r="D451" i="4"/>
  <c r="D474" i="4"/>
  <c r="D492" i="4"/>
  <c r="D515" i="4"/>
  <c r="D538" i="4"/>
  <c r="D556" i="4"/>
  <c r="D579" i="4"/>
  <c r="D600" i="4"/>
  <c r="B424" i="4"/>
  <c r="C424" i="4" s="1"/>
  <c r="B488" i="4"/>
  <c r="C488" i="4" s="1"/>
  <c r="B544" i="4"/>
  <c r="C544" i="4" s="1"/>
  <c r="B576" i="4"/>
  <c r="C576" i="4" s="1"/>
  <c r="D426" i="4"/>
  <c r="D452" i="4"/>
  <c r="D475" i="4"/>
  <c r="D498" i="4"/>
  <c r="D516" i="4"/>
  <c r="D539" i="4"/>
  <c r="D562" i="4"/>
  <c r="D580" i="4"/>
  <c r="D602" i="4"/>
  <c r="B432" i="4"/>
  <c r="C432" i="4" s="1"/>
  <c r="B496" i="4"/>
  <c r="C496" i="4" s="1"/>
  <c r="B546" i="4"/>
  <c r="C546" i="4" s="1"/>
  <c r="B578" i="4"/>
  <c r="C578" i="4" s="1"/>
  <c r="D428" i="4"/>
  <c r="D458" i="4"/>
  <c r="D476" i="4"/>
  <c r="D499" i="4"/>
  <c r="D522" i="4"/>
  <c r="D540" i="4"/>
  <c r="D563" i="4"/>
  <c r="D586" i="4"/>
  <c r="D603" i="4"/>
  <c r="B440" i="4"/>
  <c r="C440" i="4" s="1"/>
  <c r="B504" i="4"/>
  <c r="C504" i="4" s="1"/>
  <c r="B552" i="4"/>
  <c r="C552" i="4" s="1"/>
  <c r="B584" i="4"/>
  <c r="C584" i="4" s="1"/>
  <c r="D434" i="4"/>
  <c r="D459" i="4"/>
  <c r="D482" i="4"/>
  <c r="D500" i="4"/>
  <c r="D523" i="4"/>
  <c r="D546" i="4"/>
  <c r="D564" i="4"/>
  <c r="D587" i="4"/>
  <c r="D604" i="4"/>
  <c r="B448" i="4"/>
  <c r="C448" i="4" s="1"/>
  <c r="B512" i="4"/>
  <c r="C512" i="4" s="1"/>
  <c r="B554" i="4"/>
  <c r="C554" i="4" s="1"/>
  <c r="B586" i="4"/>
  <c r="C586" i="4" s="1"/>
  <c r="D404" i="4"/>
  <c r="D436" i="4"/>
  <c r="D460" i="4"/>
  <c r="D483" i="4"/>
  <c r="D506" i="4"/>
  <c r="D524" i="4"/>
  <c r="D547" i="4"/>
  <c r="D570" i="4"/>
  <c r="D588" i="4"/>
  <c r="B456" i="4"/>
  <c r="C456" i="4" s="1"/>
  <c r="B520" i="4"/>
  <c r="C520" i="4" s="1"/>
  <c r="B560" i="4"/>
  <c r="C560" i="4" s="1"/>
  <c r="B592" i="4"/>
  <c r="C592" i="4" s="1"/>
  <c r="D410" i="4"/>
  <c r="D442" i="4"/>
  <c r="D466" i="4"/>
  <c r="D484" i="4"/>
  <c r="D507" i="4"/>
  <c r="D530" i="4"/>
  <c r="D548" i="4"/>
  <c r="D571" i="4"/>
  <c r="D594" i="4"/>
  <c r="B464" i="4"/>
  <c r="C464" i="4" s="1"/>
  <c r="D554" i="4"/>
  <c r="B528" i="4"/>
  <c r="C528" i="4" s="1"/>
  <c r="D572" i="4"/>
  <c r="B562" i="4"/>
  <c r="C562" i="4" s="1"/>
  <c r="D412" i="4"/>
  <c r="D595" i="4"/>
  <c r="D531" i="4"/>
  <c r="B594" i="4"/>
  <c r="C594" i="4" s="1"/>
  <c r="D444" i="4"/>
  <c r="D467" i="4"/>
  <c r="D508" i="4"/>
  <c r="D490" i="4"/>
  <c r="D402" i="4"/>
  <c r="B402" i="4"/>
  <c r="C402" i="4" s="1"/>
  <c r="F2" i="1" l="1"/>
  <c r="M10" i="4" l="1"/>
  <c r="E402" i="4" l="1"/>
  <c r="H402" i="4" s="1"/>
  <c r="E410" i="4"/>
  <c r="H410" i="4" s="1"/>
  <c r="E418" i="4"/>
  <c r="H418" i="4" s="1"/>
  <c r="E426" i="4"/>
  <c r="H426" i="4" s="1"/>
  <c r="E434" i="4"/>
  <c r="H434" i="4" s="1"/>
  <c r="E442" i="4"/>
  <c r="H442" i="4" s="1"/>
  <c r="E450" i="4"/>
  <c r="H450" i="4" s="1"/>
  <c r="E403" i="4"/>
  <c r="H403" i="4" s="1"/>
  <c r="E411" i="4"/>
  <c r="H411" i="4" s="1"/>
  <c r="E419" i="4"/>
  <c r="H419" i="4" s="1"/>
  <c r="E427" i="4"/>
  <c r="H427" i="4" s="1"/>
  <c r="E435" i="4"/>
  <c r="H435" i="4" s="1"/>
  <c r="E443" i="4"/>
  <c r="H443" i="4" s="1"/>
  <c r="E451" i="4"/>
  <c r="H451" i="4" s="1"/>
  <c r="E459" i="4"/>
  <c r="H459" i="4" s="1"/>
  <c r="E467" i="4"/>
  <c r="H467" i="4" s="1"/>
  <c r="E404" i="4"/>
  <c r="H404" i="4" s="1"/>
  <c r="E412" i="4"/>
  <c r="H412" i="4" s="1"/>
  <c r="E420" i="4"/>
  <c r="H420" i="4" s="1"/>
  <c r="E428" i="4"/>
  <c r="H428" i="4" s="1"/>
  <c r="E436" i="4"/>
  <c r="H436" i="4" s="1"/>
  <c r="E444" i="4"/>
  <c r="H444" i="4" s="1"/>
  <c r="E452" i="4"/>
  <c r="H452" i="4" s="1"/>
  <c r="E406" i="4"/>
  <c r="H406" i="4" s="1"/>
  <c r="E414" i="4"/>
  <c r="H414" i="4" s="1"/>
  <c r="E422" i="4"/>
  <c r="H422" i="4" s="1"/>
  <c r="E430" i="4"/>
  <c r="H430" i="4" s="1"/>
  <c r="E438" i="4"/>
  <c r="H438" i="4" s="1"/>
  <c r="E446" i="4"/>
  <c r="H446" i="4" s="1"/>
  <c r="E454" i="4"/>
  <c r="H454" i="4" s="1"/>
  <c r="E462" i="4"/>
  <c r="H462" i="4" s="1"/>
  <c r="E470" i="4"/>
  <c r="H470" i="4" s="1"/>
  <c r="E409" i="4"/>
  <c r="H409" i="4" s="1"/>
  <c r="E425" i="4"/>
  <c r="H425" i="4" s="1"/>
  <c r="E441" i="4"/>
  <c r="H441" i="4" s="1"/>
  <c r="E457" i="4"/>
  <c r="H457" i="4" s="1"/>
  <c r="E468" i="4"/>
  <c r="H468" i="4" s="1"/>
  <c r="E477" i="4"/>
  <c r="H477" i="4" s="1"/>
  <c r="E485" i="4"/>
  <c r="H485" i="4" s="1"/>
  <c r="E493" i="4"/>
  <c r="H493" i="4" s="1"/>
  <c r="E501" i="4"/>
  <c r="H501" i="4" s="1"/>
  <c r="E509" i="4"/>
  <c r="H509" i="4" s="1"/>
  <c r="E517" i="4"/>
  <c r="H517" i="4" s="1"/>
  <c r="E525" i="4"/>
  <c r="H525" i="4" s="1"/>
  <c r="E533" i="4"/>
  <c r="H533" i="4" s="1"/>
  <c r="E541" i="4"/>
  <c r="H541" i="4" s="1"/>
  <c r="E549" i="4"/>
  <c r="H549" i="4" s="1"/>
  <c r="E557" i="4"/>
  <c r="H557" i="4" s="1"/>
  <c r="E565" i="4"/>
  <c r="H565" i="4" s="1"/>
  <c r="E573" i="4"/>
  <c r="H573" i="4" s="1"/>
  <c r="E581" i="4"/>
  <c r="H581" i="4" s="1"/>
  <c r="E589" i="4"/>
  <c r="H589" i="4" s="1"/>
  <c r="E597" i="4"/>
  <c r="H597" i="4" s="1"/>
  <c r="E605" i="4"/>
  <c r="H605" i="4" s="1"/>
  <c r="E413" i="4"/>
  <c r="H413" i="4" s="1"/>
  <c r="E429" i="4"/>
  <c r="H429" i="4" s="1"/>
  <c r="E445" i="4"/>
  <c r="H445" i="4" s="1"/>
  <c r="E458" i="4"/>
  <c r="H458" i="4" s="1"/>
  <c r="E469" i="4"/>
  <c r="H469" i="4" s="1"/>
  <c r="E478" i="4"/>
  <c r="H478" i="4" s="1"/>
  <c r="E486" i="4"/>
  <c r="H486" i="4" s="1"/>
  <c r="E494" i="4"/>
  <c r="H494" i="4" s="1"/>
  <c r="E502" i="4"/>
  <c r="H502" i="4" s="1"/>
  <c r="E510" i="4"/>
  <c r="H510" i="4" s="1"/>
  <c r="E518" i="4"/>
  <c r="H518" i="4" s="1"/>
  <c r="E526" i="4"/>
  <c r="H526" i="4" s="1"/>
  <c r="E534" i="4"/>
  <c r="H534" i="4" s="1"/>
  <c r="E542" i="4"/>
  <c r="H542" i="4" s="1"/>
  <c r="E550" i="4"/>
  <c r="H550" i="4" s="1"/>
  <c r="E558" i="4"/>
  <c r="H558" i="4" s="1"/>
  <c r="E566" i="4"/>
  <c r="H566" i="4" s="1"/>
  <c r="E574" i="4"/>
  <c r="H574" i="4" s="1"/>
  <c r="E582" i="4"/>
  <c r="H582" i="4" s="1"/>
  <c r="E590" i="4"/>
  <c r="H590" i="4" s="1"/>
  <c r="E598" i="4"/>
  <c r="H598" i="4" s="1"/>
  <c r="E415" i="4"/>
  <c r="H415" i="4" s="1"/>
  <c r="E431" i="4"/>
  <c r="H431" i="4" s="1"/>
  <c r="E447" i="4"/>
  <c r="H447" i="4" s="1"/>
  <c r="E460" i="4"/>
  <c r="H460" i="4" s="1"/>
  <c r="E471" i="4"/>
  <c r="H471" i="4" s="1"/>
  <c r="E479" i="4"/>
  <c r="H479" i="4" s="1"/>
  <c r="E487" i="4"/>
  <c r="H487" i="4" s="1"/>
  <c r="E495" i="4"/>
  <c r="H495" i="4" s="1"/>
  <c r="E503" i="4"/>
  <c r="H503" i="4" s="1"/>
  <c r="E511" i="4"/>
  <c r="H511" i="4" s="1"/>
  <c r="E519" i="4"/>
  <c r="H519" i="4" s="1"/>
  <c r="E527" i="4"/>
  <c r="H527" i="4" s="1"/>
  <c r="E535" i="4"/>
  <c r="H535" i="4" s="1"/>
  <c r="E543" i="4"/>
  <c r="H543" i="4" s="1"/>
  <c r="E551" i="4"/>
  <c r="H551" i="4" s="1"/>
  <c r="E559" i="4"/>
  <c r="H559" i="4" s="1"/>
  <c r="E567" i="4"/>
  <c r="H567" i="4" s="1"/>
  <c r="E575" i="4"/>
  <c r="H575" i="4" s="1"/>
  <c r="E583" i="4"/>
  <c r="H583" i="4" s="1"/>
  <c r="E591" i="4"/>
  <c r="H591" i="4" s="1"/>
  <c r="E599" i="4"/>
  <c r="H599" i="4" s="1"/>
  <c r="E416" i="4"/>
  <c r="H416" i="4" s="1"/>
  <c r="E432" i="4"/>
  <c r="H432" i="4" s="1"/>
  <c r="E448" i="4"/>
  <c r="H448" i="4" s="1"/>
  <c r="E461" i="4"/>
  <c r="H461" i="4" s="1"/>
  <c r="E472" i="4"/>
  <c r="H472" i="4" s="1"/>
  <c r="E480" i="4"/>
  <c r="H480" i="4" s="1"/>
  <c r="E488" i="4"/>
  <c r="H488" i="4" s="1"/>
  <c r="E496" i="4"/>
  <c r="H496" i="4" s="1"/>
  <c r="E504" i="4"/>
  <c r="H504" i="4" s="1"/>
  <c r="E512" i="4"/>
  <c r="H512" i="4" s="1"/>
  <c r="E520" i="4"/>
  <c r="H520" i="4" s="1"/>
  <c r="E528" i="4"/>
  <c r="H528" i="4" s="1"/>
  <c r="E536" i="4"/>
  <c r="H536" i="4" s="1"/>
  <c r="E544" i="4"/>
  <c r="H544" i="4" s="1"/>
  <c r="E552" i="4"/>
  <c r="H552" i="4" s="1"/>
  <c r="E560" i="4"/>
  <c r="H560" i="4" s="1"/>
  <c r="E568" i="4"/>
  <c r="H568" i="4" s="1"/>
  <c r="E576" i="4"/>
  <c r="H576" i="4" s="1"/>
  <c r="E584" i="4"/>
  <c r="H584" i="4" s="1"/>
  <c r="E592" i="4"/>
  <c r="H592" i="4" s="1"/>
  <c r="E600" i="4"/>
  <c r="H600" i="4" s="1"/>
  <c r="E417" i="4"/>
  <c r="H417" i="4" s="1"/>
  <c r="E433" i="4"/>
  <c r="H433" i="4" s="1"/>
  <c r="E449" i="4"/>
  <c r="H449" i="4" s="1"/>
  <c r="E463" i="4"/>
  <c r="H463" i="4" s="1"/>
  <c r="E473" i="4"/>
  <c r="H473" i="4" s="1"/>
  <c r="E481" i="4"/>
  <c r="H481" i="4" s="1"/>
  <c r="E489" i="4"/>
  <c r="H489" i="4" s="1"/>
  <c r="E497" i="4"/>
  <c r="H497" i="4" s="1"/>
  <c r="E505" i="4"/>
  <c r="H505" i="4" s="1"/>
  <c r="E513" i="4"/>
  <c r="H513" i="4" s="1"/>
  <c r="E521" i="4"/>
  <c r="H521" i="4" s="1"/>
  <c r="E529" i="4"/>
  <c r="H529" i="4" s="1"/>
  <c r="E537" i="4"/>
  <c r="H537" i="4" s="1"/>
  <c r="E545" i="4"/>
  <c r="H545" i="4" s="1"/>
  <c r="E553" i="4"/>
  <c r="H553" i="4" s="1"/>
  <c r="E561" i="4"/>
  <c r="H561" i="4" s="1"/>
  <c r="E569" i="4"/>
  <c r="H569" i="4" s="1"/>
  <c r="E577" i="4"/>
  <c r="H577" i="4" s="1"/>
  <c r="E585" i="4"/>
  <c r="H585" i="4" s="1"/>
  <c r="E593" i="4"/>
  <c r="H593" i="4" s="1"/>
  <c r="E601" i="4"/>
  <c r="H601" i="4" s="1"/>
  <c r="E405" i="4"/>
  <c r="H405" i="4" s="1"/>
  <c r="E421" i="4"/>
  <c r="H421" i="4" s="1"/>
  <c r="E437" i="4"/>
  <c r="H437" i="4" s="1"/>
  <c r="E453" i="4"/>
  <c r="H453" i="4" s="1"/>
  <c r="E464" i="4"/>
  <c r="H464" i="4" s="1"/>
  <c r="E474" i="4"/>
  <c r="H474" i="4" s="1"/>
  <c r="E482" i="4"/>
  <c r="H482" i="4" s="1"/>
  <c r="E490" i="4"/>
  <c r="H490" i="4" s="1"/>
  <c r="E498" i="4"/>
  <c r="H498" i="4" s="1"/>
  <c r="E506" i="4"/>
  <c r="H506" i="4" s="1"/>
  <c r="E514" i="4"/>
  <c r="H514" i="4" s="1"/>
  <c r="E522" i="4"/>
  <c r="H522" i="4" s="1"/>
  <c r="E530" i="4"/>
  <c r="H530" i="4" s="1"/>
  <c r="E538" i="4"/>
  <c r="H538" i="4" s="1"/>
  <c r="E546" i="4"/>
  <c r="H546" i="4" s="1"/>
  <c r="E554" i="4"/>
  <c r="H554" i="4" s="1"/>
  <c r="E562" i="4"/>
  <c r="H562" i="4" s="1"/>
  <c r="E570" i="4"/>
  <c r="H570" i="4" s="1"/>
  <c r="E578" i="4"/>
  <c r="H578" i="4" s="1"/>
  <c r="E586" i="4"/>
  <c r="H586" i="4" s="1"/>
  <c r="E594" i="4"/>
  <c r="H594" i="4" s="1"/>
  <c r="E602" i="4"/>
  <c r="H602" i="4" s="1"/>
  <c r="E407" i="4"/>
  <c r="H407" i="4" s="1"/>
  <c r="E423" i="4"/>
  <c r="H423" i="4" s="1"/>
  <c r="E439" i="4"/>
  <c r="H439" i="4" s="1"/>
  <c r="E455" i="4"/>
  <c r="H455" i="4" s="1"/>
  <c r="E465" i="4"/>
  <c r="H465" i="4" s="1"/>
  <c r="E475" i="4"/>
  <c r="H475" i="4" s="1"/>
  <c r="E483" i="4"/>
  <c r="H483" i="4" s="1"/>
  <c r="E491" i="4"/>
  <c r="H491" i="4" s="1"/>
  <c r="E499" i="4"/>
  <c r="H499" i="4" s="1"/>
  <c r="E507" i="4"/>
  <c r="H507" i="4" s="1"/>
  <c r="E515" i="4"/>
  <c r="H515" i="4" s="1"/>
  <c r="E523" i="4"/>
  <c r="H523" i="4" s="1"/>
  <c r="E531" i="4"/>
  <c r="H531" i="4" s="1"/>
  <c r="E539" i="4"/>
  <c r="H539" i="4" s="1"/>
  <c r="E547" i="4"/>
  <c r="H547" i="4" s="1"/>
  <c r="E555" i="4"/>
  <c r="H555" i="4" s="1"/>
  <c r="E563" i="4"/>
  <c r="H563" i="4" s="1"/>
  <c r="E571" i="4"/>
  <c r="H571" i="4" s="1"/>
  <c r="E579" i="4"/>
  <c r="H579" i="4" s="1"/>
  <c r="E587" i="4"/>
  <c r="H587" i="4" s="1"/>
  <c r="E595" i="4"/>
  <c r="H595" i="4" s="1"/>
  <c r="E603" i="4"/>
  <c r="H603" i="4" s="1"/>
  <c r="E476" i="4"/>
  <c r="H476" i="4" s="1"/>
  <c r="E540" i="4"/>
  <c r="H540" i="4" s="1"/>
  <c r="E604" i="4"/>
  <c r="H604" i="4" s="1"/>
  <c r="E484" i="4"/>
  <c r="H484" i="4" s="1"/>
  <c r="E548" i="4"/>
  <c r="H548" i="4" s="1"/>
  <c r="E456" i="4"/>
  <c r="H456" i="4" s="1"/>
  <c r="E532" i="4"/>
  <c r="H532" i="4" s="1"/>
  <c r="E492" i="4"/>
  <c r="H492" i="4" s="1"/>
  <c r="E556" i="4"/>
  <c r="H556" i="4" s="1"/>
  <c r="E588" i="4"/>
  <c r="H588" i="4" s="1"/>
  <c r="E408" i="4"/>
  <c r="H408" i="4" s="1"/>
  <c r="E500" i="4"/>
  <c r="H500" i="4" s="1"/>
  <c r="E564" i="4"/>
  <c r="H564" i="4" s="1"/>
  <c r="E524" i="4"/>
  <c r="H524" i="4" s="1"/>
  <c r="E596" i="4"/>
  <c r="H596" i="4" s="1"/>
  <c r="E424" i="4"/>
  <c r="H424" i="4" s="1"/>
  <c r="E508" i="4"/>
  <c r="H508" i="4" s="1"/>
  <c r="E572" i="4"/>
  <c r="H572" i="4" s="1"/>
  <c r="E440" i="4"/>
  <c r="H440" i="4" s="1"/>
  <c r="E516" i="4"/>
  <c r="H516" i="4" s="1"/>
  <c r="E580" i="4"/>
  <c r="H580" i="4" s="1"/>
  <c r="E466" i="4"/>
  <c r="H466" i="4" s="1"/>
  <c r="E323" i="4"/>
  <c r="E106" i="4"/>
  <c r="E280" i="4"/>
  <c r="E152" i="4"/>
  <c r="E365" i="4"/>
  <c r="E193" i="4"/>
  <c r="E138" i="4"/>
  <c r="E271" i="4"/>
  <c r="E303" i="4"/>
  <c r="E146" i="4"/>
  <c r="E248" i="4"/>
  <c r="E206" i="4"/>
  <c r="E156" i="4"/>
  <c r="E322" i="4"/>
  <c r="E170" i="4"/>
  <c r="E209" i="4"/>
  <c r="E179" i="4"/>
  <c r="E195" i="4"/>
  <c r="E285" i="4"/>
  <c r="E208" i="4"/>
  <c r="E313" i="4"/>
  <c r="E389" i="4"/>
  <c r="E257" i="4"/>
  <c r="E7" i="4"/>
  <c r="E19" i="4"/>
  <c r="E18" i="4"/>
  <c r="E32" i="4"/>
  <c r="E28" i="4"/>
  <c r="E84" i="4"/>
  <c r="E127" i="4"/>
  <c r="E175" i="4"/>
  <c r="E62" i="4"/>
  <c r="E119" i="4"/>
  <c r="E155" i="4"/>
  <c r="E327" i="4"/>
  <c r="E222" i="4"/>
  <c r="E168" i="4"/>
  <c r="E276" i="4"/>
  <c r="E120" i="4"/>
  <c r="E254" i="4"/>
  <c r="E377" i="4"/>
  <c r="E111" i="4"/>
  <c r="E231" i="4"/>
  <c r="E269" i="4"/>
  <c r="E90" i="4"/>
  <c r="E185" i="4"/>
  <c r="E233" i="4"/>
  <c r="E240" i="4"/>
  <c r="E251" i="4"/>
  <c r="E385" i="4"/>
  <c r="E307" i="4"/>
  <c r="E352" i="4"/>
  <c r="E212" i="4"/>
  <c r="E295" i="4"/>
  <c r="E399" i="4"/>
  <c r="E361" i="4"/>
  <c r="E149" i="4"/>
  <c r="E191" i="4"/>
  <c r="E115" i="4"/>
  <c r="E221" i="4"/>
  <c r="E157" i="4"/>
  <c r="E381" i="4"/>
  <c r="E223" i="4"/>
  <c r="E261" i="4"/>
  <c r="E284" i="4"/>
  <c r="E186" i="4"/>
  <c r="E250" i="4"/>
  <c r="E302" i="4"/>
  <c r="E150" i="4"/>
  <c r="E171" i="4"/>
  <c r="E344" i="4"/>
  <c r="E165" i="4"/>
  <c r="E8" i="4"/>
  <c r="E16" i="4"/>
  <c r="E24" i="4"/>
  <c r="E33" i="4"/>
  <c r="E45" i="4"/>
  <c r="E54" i="4"/>
  <c r="E64" i="4"/>
  <c r="E80" i="4"/>
  <c r="E60" i="4"/>
  <c r="E135" i="4"/>
  <c r="E42" i="4"/>
  <c r="E93" i="4"/>
  <c r="E225" i="4"/>
  <c r="E161" i="4"/>
  <c r="E278" i="4"/>
  <c r="E143" i="4"/>
  <c r="E200" i="4"/>
  <c r="E335" i="4"/>
  <c r="E162" i="4"/>
  <c r="E144" i="4"/>
  <c r="E167" i="4"/>
  <c r="E97" i="4"/>
  <c r="E142" i="4"/>
  <c r="E41" i="4"/>
  <c r="E324" i="4"/>
  <c r="E158" i="4"/>
  <c r="E163" i="4"/>
  <c r="E128" i="4"/>
  <c r="E89" i="4"/>
  <c r="E283" i="4"/>
  <c r="E141" i="4"/>
  <c r="E387" i="4"/>
  <c r="E356" i="4"/>
  <c r="E148" i="4"/>
  <c r="E395" i="4"/>
  <c r="E91" i="4"/>
  <c r="E304" i="4"/>
  <c r="E181" i="4"/>
  <c r="E362" i="4"/>
  <c r="E230" i="4"/>
  <c r="E376" i="4"/>
  <c r="E369" i="4"/>
  <c r="E372" i="4"/>
  <c r="E249" i="4"/>
  <c r="E264" i="4"/>
  <c r="E217" i="4"/>
  <c r="E176" i="4"/>
  <c r="E72" i="4"/>
  <c r="E288" i="4"/>
  <c r="E194" i="4"/>
  <c r="E10" i="4"/>
  <c r="E21" i="4"/>
  <c r="E37" i="4"/>
  <c r="E49" i="4"/>
  <c r="E126" i="4"/>
  <c r="E100" i="4"/>
  <c r="E274" i="4"/>
  <c r="E61" i="4"/>
  <c r="E237" i="4"/>
  <c r="E92" i="4"/>
  <c r="E77" i="4"/>
  <c r="E226" i="4"/>
  <c r="E173" i="4"/>
  <c r="E219" i="4"/>
  <c r="E125" i="4"/>
  <c r="E301" i="4"/>
  <c r="E234" i="4"/>
  <c r="E308" i="4"/>
  <c r="E275" i="4"/>
  <c r="E154" i="4"/>
  <c r="E201" i="4"/>
  <c r="E391" i="4"/>
  <c r="E189" i="4"/>
  <c r="E246" i="4"/>
  <c r="E118" i="4"/>
  <c r="E88" i="4"/>
  <c r="E380" i="4"/>
  <c r="E343" i="4"/>
  <c r="E232" i="4"/>
  <c r="E333" i="4"/>
  <c r="E75" i="4"/>
  <c r="E339" i="4"/>
  <c r="E337" i="4"/>
  <c r="E174" i="4"/>
  <c r="E371" i="4"/>
  <c r="E368" i="4"/>
  <c r="E291" i="4"/>
  <c r="E204" i="4"/>
  <c r="E317" i="4"/>
  <c r="E364" i="4"/>
  <c r="E340" i="4"/>
  <c r="E370" i="4"/>
  <c r="E287" i="4"/>
  <c r="E121" i="4"/>
  <c r="E190" i="4"/>
  <c r="E330" i="4"/>
  <c r="E117" i="4"/>
  <c r="E203" i="4"/>
  <c r="E207" i="4"/>
  <c r="E400" i="4"/>
  <c r="E9" i="4"/>
  <c r="E47" i="4"/>
  <c r="E17" i="4"/>
  <c r="E31" i="4"/>
  <c r="E71" i="4"/>
  <c r="E48" i="4"/>
  <c r="E56" i="4"/>
  <c r="E86" i="4"/>
  <c r="E68" i="4"/>
  <c r="E252" i="4"/>
  <c r="E113" i="4"/>
  <c r="E253" i="4"/>
  <c r="E242" i="4"/>
  <c r="E136" i="4"/>
  <c r="E224" i="4"/>
  <c r="E256" i="4"/>
  <c r="E105" i="4"/>
  <c r="E296" i="4"/>
  <c r="E96" i="4"/>
  <c r="E325" i="4"/>
  <c r="E164" i="4"/>
  <c r="E243" i="4"/>
  <c r="E70" i="4"/>
  <c r="E145" i="4"/>
  <c r="E378" i="4"/>
  <c r="E137" i="4"/>
  <c r="E374" i="4"/>
  <c r="E297" i="4"/>
  <c r="E57" i="4"/>
  <c r="E270" i="4"/>
  <c r="E241" i="4"/>
  <c r="E354" i="4"/>
  <c r="E82" i="4"/>
  <c r="E341" i="4"/>
  <c r="E147" i="4"/>
  <c r="E366" i="4"/>
  <c r="E244" i="4"/>
  <c r="E338" i="4"/>
  <c r="E65" i="4"/>
  <c r="E318" i="4"/>
  <c r="E273" i="4"/>
  <c r="E235" i="4"/>
  <c r="E388" i="4"/>
  <c r="E229" i="4"/>
  <c r="E345" i="4"/>
  <c r="E383" i="4"/>
  <c r="E396" i="4"/>
  <c r="E359" i="4"/>
  <c r="E153" i="4"/>
  <c r="E394" i="4"/>
  <c r="E13" i="4"/>
  <c r="E22" i="4"/>
  <c r="E53" i="4"/>
  <c r="E23" i="4"/>
  <c r="E39" i="4"/>
  <c r="E43" i="4"/>
  <c r="E73" i="4"/>
  <c r="E116" i="4"/>
  <c r="E69" i="4"/>
  <c r="E94" i="4"/>
  <c r="E214" i="4"/>
  <c r="E279" i="4"/>
  <c r="E81" i="4"/>
  <c r="E245" i="4"/>
  <c r="E122" i="4"/>
  <c r="E247" i="4"/>
  <c r="E292" i="4"/>
  <c r="E166" i="4"/>
  <c r="E178" i="4"/>
  <c r="E198" i="4"/>
  <c r="E358" i="4"/>
  <c r="E363" i="4"/>
  <c r="E215" i="4"/>
  <c r="E390" i="4"/>
  <c r="E83" i="4"/>
  <c r="E316" i="4"/>
  <c r="E349" i="4"/>
  <c r="E123" i="4"/>
  <c r="E238" i="4"/>
  <c r="E397" i="4"/>
  <c r="E98" i="4"/>
  <c r="E350" i="4"/>
  <c r="E367" i="4"/>
  <c r="E355" i="4"/>
  <c r="E197" i="4"/>
  <c r="E196" i="4"/>
  <c r="E379" i="4"/>
  <c r="E375" i="4"/>
  <c r="E332" i="4"/>
  <c r="E299" i="4"/>
  <c r="E272" i="4"/>
  <c r="E336" i="4"/>
  <c r="E342" i="4"/>
  <c r="E205" i="4"/>
  <c r="E401" i="4"/>
  <c r="E360" i="4"/>
  <c r="E392" i="4"/>
  <c r="E268" i="4"/>
  <c r="E184" i="4"/>
  <c r="E218" i="4"/>
  <c r="E14" i="4"/>
  <c r="E30" i="4"/>
  <c r="E34" i="4"/>
  <c r="E26" i="4"/>
  <c r="E25" i="4"/>
  <c r="E38" i="4"/>
  <c r="E187" i="4"/>
  <c r="E104" i="4"/>
  <c r="E282" i="4"/>
  <c r="E294" i="4"/>
  <c r="E99" i="4"/>
  <c r="E309" i="4"/>
  <c r="E67" i="4"/>
  <c r="E132" i="4"/>
  <c r="E95" i="4"/>
  <c r="E315" i="4"/>
  <c r="E326" i="4"/>
  <c r="E182" i="4"/>
  <c r="E220" i="4"/>
  <c r="E85" i="4"/>
  <c r="E74" i="4"/>
  <c r="E328" i="4"/>
  <c r="E76" i="4"/>
  <c r="E216" i="4"/>
  <c r="E140" i="4"/>
  <c r="E131" i="4"/>
  <c r="E40" i="4"/>
  <c r="E281" i="4"/>
  <c r="E353" i="4"/>
  <c r="E373" i="4"/>
  <c r="E263" i="4"/>
  <c r="E139" i="4"/>
  <c r="E290" i="4"/>
  <c r="E384" i="4"/>
  <c r="E289" i="4"/>
  <c r="E346" i="4"/>
  <c r="E334" i="4"/>
  <c r="E312" i="4"/>
  <c r="E108" i="4"/>
  <c r="E331" i="4"/>
  <c r="E78" i="4"/>
  <c r="E357" i="4"/>
  <c r="E211" i="4"/>
  <c r="E114" i="4"/>
  <c r="E130" i="4"/>
  <c r="E319" i="4"/>
  <c r="E192" i="4"/>
  <c r="E386" i="4"/>
  <c r="E59" i="4"/>
  <c r="E11" i="4"/>
  <c r="E20" i="4"/>
  <c r="E52" i="4"/>
  <c r="E55" i="4"/>
  <c r="E183" i="4"/>
  <c r="E110" i="4"/>
  <c r="E29" i="4"/>
  <c r="E27" i="4"/>
  <c r="E87" i="4"/>
  <c r="E107" i="4"/>
  <c r="E79" i="4"/>
  <c r="E348" i="4"/>
  <c r="E210" i="4"/>
  <c r="E133" i="4"/>
  <c r="E159" i="4"/>
  <c r="E124" i="4"/>
  <c r="E109" i="4"/>
  <c r="E305" i="4"/>
  <c r="E199" i="4"/>
  <c r="E172" i="4"/>
  <c r="E277" i="4"/>
  <c r="E35" i="4"/>
  <c r="E311" i="4"/>
  <c r="E112" i="4"/>
  <c r="E134" i="4"/>
  <c r="E51" i="4"/>
  <c r="E202" i="4"/>
  <c r="E66" i="4"/>
  <c r="E188" i="4"/>
  <c r="E262" i="4"/>
  <c r="E300" i="4"/>
  <c r="E177" i="4"/>
  <c r="E260" i="4"/>
  <c r="E310" i="4"/>
  <c r="E265" i="4"/>
  <c r="E351" i="4"/>
  <c r="E102" i="4"/>
  <c r="E320" i="4"/>
  <c r="E298" i="4"/>
  <c r="E306" i="4"/>
  <c r="E382" i="4"/>
  <c r="E213" i="4"/>
  <c r="E293" i="4"/>
  <c r="E314" i="4"/>
  <c r="E347" i="4"/>
  <c r="E236" i="4"/>
  <c r="E151" i="4"/>
  <c r="E101" i="4"/>
  <c r="E267" i="4"/>
  <c r="E393" i="4"/>
  <c r="E160" i="4" l="1"/>
  <c r="E329" i="4"/>
  <c r="E398" i="4"/>
  <c r="E259" i="4"/>
  <c r="E36" i="4"/>
  <c r="E321" i="4"/>
  <c r="E266" i="4"/>
  <c r="E255" i="4"/>
  <c r="E63" i="4"/>
  <c r="E50" i="4"/>
  <c r="E44" i="4"/>
  <c r="E46" i="4"/>
  <c r="E228" i="4"/>
  <c r="D346" i="4"/>
  <c r="E129" i="4"/>
  <c r="E169" i="4"/>
  <c r="E15" i="4"/>
  <c r="E227" i="4"/>
  <c r="E286" i="4"/>
  <c r="E6" i="4"/>
  <c r="E180" i="4"/>
  <c r="B258" i="4"/>
  <c r="E258" i="4"/>
  <c r="B255" i="4"/>
  <c r="E58" i="4"/>
  <c r="B24" i="4"/>
  <c r="E239" i="4"/>
  <c r="E103" i="4"/>
  <c r="B138" i="4"/>
  <c r="B28" i="4"/>
  <c r="B269" i="4"/>
  <c r="B162" i="4"/>
  <c r="C162" i="4" s="1"/>
  <c r="B395" i="4"/>
  <c r="B36" i="4"/>
  <c r="B237" i="4"/>
  <c r="B322" i="4"/>
  <c r="B352" i="4"/>
  <c r="B372" i="4"/>
  <c r="B56" i="4"/>
  <c r="B358" i="4"/>
  <c r="C358" i="4" s="1"/>
  <c r="B384" i="4"/>
  <c r="B267" i="4"/>
  <c r="D222" i="4"/>
  <c r="D163" i="4"/>
  <c r="D340" i="4"/>
  <c r="D39" i="4"/>
  <c r="B93" i="4"/>
  <c r="B88" i="4"/>
  <c r="C88" i="4" s="1"/>
  <c r="B318" i="4"/>
  <c r="B26" i="4"/>
  <c r="B305" i="4"/>
  <c r="D271" i="4"/>
  <c r="D302" i="4"/>
  <c r="D92" i="4"/>
  <c r="D145" i="4"/>
  <c r="B106" i="4"/>
  <c r="B295" i="4"/>
  <c r="B264" i="4"/>
  <c r="B68" i="4"/>
  <c r="B215" i="4"/>
  <c r="B346" i="4"/>
  <c r="B6" i="4"/>
  <c r="D276" i="4"/>
  <c r="D89" i="4"/>
  <c r="D287" i="4"/>
  <c r="D73" i="4"/>
  <c r="B179" i="4"/>
  <c r="B54" i="4"/>
  <c r="B154" i="4"/>
  <c r="B341" i="4"/>
  <c r="B268" i="4"/>
  <c r="B348" i="4"/>
  <c r="C348" i="4" s="1"/>
  <c r="D160" i="4"/>
  <c r="D223" i="4"/>
  <c r="D49" i="4"/>
  <c r="D296" i="4"/>
  <c r="B15" i="4"/>
  <c r="B254" i="4"/>
  <c r="B141" i="4"/>
  <c r="B190" i="4"/>
  <c r="C190" i="4" s="1"/>
  <c r="B69" i="4"/>
  <c r="B328" i="4"/>
  <c r="B102" i="4"/>
  <c r="D7" i="4"/>
  <c r="D278" i="4"/>
  <c r="D232" i="4"/>
  <c r="D388" i="4"/>
  <c r="B228" i="4"/>
  <c r="B284" i="4"/>
  <c r="B100" i="4"/>
  <c r="B325" i="4"/>
  <c r="B355" i="4"/>
  <c r="B192" i="4"/>
  <c r="D63" i="4"/>
  <c r="D251" i="4"/>
  <c r="D230" i="4"/>
  <c r="D31" i="4"/>
  <c r="D166" i="4"/>
  <c r="B18" i="4"/>
  <c r="B200" i="4"/>
  <c r="B75" i="4"/>
  <c r="B345" i="4"/>
  <c r="B104" i="4"/>
  <c r="B311" i="4"/>
  <c r="C311" i="4" s="1"/>
  <c r="D206" i="4"/>
  <c r="D8" i="4"/>
  <c r="D125" i="4"/>
  <c r="D57" i="4"/>
  <c r="B266" i="4"/>
  <c r="B307" i="4"/>
  <c r="B369" i="4"/>
  <c r="B48" i="4"/>
  <c r="B198" i="4"/>
  <c r="B290" i="4"/>
  <c r="B101" i="4"/>
  <c r="D327" i="4"/>
  <c r="D158" i="4"/>
  <c r="D364" i="4"/>
  <c r="D23" i="4"/>
  <c r="D74" i="4"/>
  <c r="D351" i="4"/>
  <c r="D132" i="4"/>
  <c r="D188" i="4"/>
  <c r="D76" i="4"/>
  <c r="D320" i="4"/>
  <c r="D139" i="4"/>
  <c r="D151" i="4"/>
  <c r="D290" i="4"/>
  <c r="D101" i="4"/>
  <c r="D357" i="4"/>
  <c r="D375" i="4"/>
  <c r="D20" i="4"/>
  <c r="D98" i="4"/>
  <c r="D114" i="4"/>
  <c r="B221" i="4"/>
  <c r="B10" i="4"/>
  <c r="B224" i="4"/>
  <c r="B238" i="4"/>
  <c r="B357" i="4"/>
  <c r="D258" i="4"/>
  <c r="D269" i="4"/>
  <c r="D395" i="4"/>
  <c r="D207" i="4"/>
  <c r="D81" i="4"/>
  <c r="B84" i="4"/>
  <c r="B144" i="4"/>
  <c r="B174" i="4"/>
  <c r="B359" i="4"/>
  <c r="B99" i="4"/>
  <c r="B51" i="4"/>
  <c r="D170" i="4"/>
  <c r="D33" i="4"/>
  <c r="D308" i="4"/>
  <c r="D354" i="4"/>
  <c r="B259" i="4"/>
  <c r="B381" i="4"/>
  <c r="B37" i="4"/>
  <c r="B105" i="4"/>
  <c r="B98" i="4"/>
  <c r="B114" i="4"/>
  <c r="D44" i="4"/>
  <c r="D185" i="4"/>
  <c r="D304" i="4"/>
  <c r="D9" i="4"/>
  <c r="D122" i="4"/>
  <c r="B257" i="4"/>
  <c r="B161" i="4"/>
  <c r="B343" i="4"/>
  <c r="C343" i="4" s="1"/>
  <c r="B235" i="4"/>
  <c r="B38" i="4"/>
  <c r="B172" i="4"/>
  <c r="D303" i="4"/>
  <c r="D171" i="4"/>
  <c r="D226" i="4"/>
  <c r="D137" i="4"/>
  <c r="B169" i="4"/>
  <c r="C169" i="4" s="1"/>
  <c r="B240" i="4"/>
  <c r="B362" i="4"/>
  <c r="B17" i="4"/>
  <c r="B292" i="4"/>
  <c r="B373" i="4"/>
  <c r="B347" i="4"/>
  <c r="D62" i="4"/>
  <c r="D142" i="4"/>
  <c r="D291" i="4"/>
  <c r="D13" i="4"/>
  <c r="B248" i="4"/>
  <c r="B165" i="4"/>
  <c r="B219" i="4"/>
  <c r="B297" i="4"/>
  <c r="B336" i="4"/>
  <c r="B110" i="4"/>
  <c r="C110" i="4" s="1"/>
  <c r="D323" i="4"/>
  <c r="D149" i="4"/>
  <c r="D72" i="4"/>
  <c r="D253" i="4"/>
  <c r="D238" i="4"/>
  <c r="B155" i="4"/>
  <c r="B324" i="4"/>
  <c r="B317" i="4"/>
  <c r="C317" i="4" s="1"/>
  <c r="B53" i="4"/>
  <c r="B315" i="4"/>
  <c r="B300" i="4"/>
  <c r="D285" i="4"/>
  <c r="D60" i="4"/>
  <c r="D189" i="4"/>
  <c r="D244" i="4"/>
  <c r="B50" i="4"/>
  <c r="C50" i="4" s="1"/>
  <c r="B115" i="4"/>
  <c r="B194" i="4"/>
  <c r="B136" i="4"/>
  <c r="B123" i="4"/>
  <c r="B78" i="4"/>
  <c r="D58" i="4"/>
  <c r="D231" i="4"/>
  <c r="D148" i="4"/>
  <c r="D203" i="4"/>
  <c r="D279" i="4"/>
  <c r="D353" i="4"/>
  <c r="D314" i="4"/>
  <c r="D328" i="4"/>
  <c r="D102" i="4"/>
  <c r="D263" i="4"/>
  <c r="D236" i="4"/>
  <c r="D331" i="4"/>
  <c r="D123" i="4"/>
  <c r="D78" i="4"/>
  <c r="D379" i="4"/>
  <c r="D11" i="4"/>
  <c r="D360" i="4"/>
  <c r="D107" i="4"/>
  <c r="D332" i="4"/>
  <c r="D52" i="4"/>
  <c r="B70" i="4"/>
  <c r="B379" i="4"/>
  <c r="B11" i="4"/>
  <c r="C11" i="4" s="1"/>
  <c r="D36" i="4"/>
  <c r="D352" i="4"/>
  <c r="D372" i="4"/>
  <c r="D56" i="4"/>
  <c r="D358" i="4"/>
  <c r="B168" i="4"/>
  <c r="B128" i="4"/>
  <c r="B370" i="4"/>
  <c r="C370" i="4" s="1"/>
  <c r="B43" i="4"/>
  <c r="B220" i="4"/>
  <c r="B310" i="4"/>
  <c r="D93" i="4"/>
  <c r="D88" i="4"/>
  <c r="D318" i="4"/>
  <c r="B398" i="4"/>
  <c r="B150" i="4"/>
  <c r="C150" i="4" s="1"/>
  <c r="B77" i="4"/>
  <c r="B378" i="4"/>
  <c r="B332" i="4"/>
  <c r="B52" i="4"/>
  <c r="C52" i="4" s="1"/>
  <c r="D106" i="4"/>
  <c r="D295" i="4"/>
  <c r="D264" i="4"/>
  <c r="D68" i="4"/>
  <c r="D390" i="4"/>
  <c r="B175" i="4"/>
  <c r="B97" i="4"/>
  <c r="B368" i="4"/>
  <c r="C368" i="4" s="1"/>
  <c r="B394" i="4"/>
  <c r="B67" i="4"/>
  <c r="B66" i="4"/>
  <c r="D179" i="4"/>
  <c r="D54" i="4"/>
  <c r="D154" i="4"/>
  <c r="D341" i="4"/>
  <c r="B129" i="4"/>
  <c r="C129" i="4" s="1"/>
  <c r="B361" i="4"/>
  <c r="B176" i="4"/>
  <c r="B113" i="4"/>
  <c r="B83" i="4"/>
  <c r="B312" i="4"/>
  <c r="D15" i="4"/>
  <c r="D254" i="4"/>
  <c r="D141" i="4"/>
  <c r="D190" i="4"/>
  <c r="D69" i="4"/>
  <c r="B80" i="4"/>
  <c r="B391" i="4"/>
  <c r="C391" i="4" s="1"/>
  <c r="B366" i="4"/>
  <c r="C366" i="4" s="1"/>
  <c r="B218" i="4"/>
  <c r="B133" i="4"/>
  <c r="D228" i="4"/>
  <c r="D284" i="4"/>
  <c r="D100" i="4"/>
  <c r="D325" i="4"/>
  <c r="B103" i="4"/>
  <c r="B111" i="4"/>
  <c r="B356" i="4"/>
  <c r="B117" i="4"/>
  <c r="B214" i="4"/>
  <c r="C214" i="4" s="1"/>
  <c r="B216" i="4"/>
  <c r="B298" i="4"/>
  <c r="D18" i="4"/>
  <c r="D200" i="4"/>
  <c r="D75" i="4"/>
  <c r="D345" i="4"/>
  <c r="B193" i="4"/>
  <c r="B250" i="4"/>
  <c r="B61" i="4"/>
  <c r="B243" i="4"/>
  <c r="B196" i="4"/>
  <c r="B59" i="4"/>
  <c r="D266" i="4"/>
  <c r="D307" i="4"/>
  <c r="D369" i="4"/>
  <c r="D48" i="4"/>
  <c r="D198" i="4"/>
  <c r="D334" i="4"/>
  <c r="D6" i="4"/>
  <c r="D373" i="4"/>
  <c r="D347" i="4"/>
  <c r="D108" i="4"/>
  <c r="D197" i="4"/>
  <c r="D386" i="4"/>
  <c r="D196" i="4"/>
  <c r="D59" i="4"/>
  <c r="D401" i="4"/>
  <c r="D87" i="4"/>
  <c r="D26" i="4"/>
  <c r="D305" i="4"/>
  <c r="D392" i="4"/>
  <c r="D79" i="4"/>
  <c r="B234" i="4"/>
  <c r="B241" i="4"/>
  <c r="B401" i="4"/>
  <c r="B87" i="4"/>
  <c r="D255" i="4"/>
  <c r="D221" i="4"/>
  <c r="D10" i="4"/>
  <c r="D224" i="4"/>
  <c r="B180" i="4"/>
  <c r="B90" i="4"/>
  <c r="B91" i="4"/>
  <c r="B400" i="4"/>
  <c r="C400" i="4" s="1"/>
  <c r="B245" i="4"/>
  <c r="C245" i="4" s="1"/>
  <c r="B40" i="4"/>
  <c r="B213" i="4"/>
  <c r="D84" i="4"/>
  <c r="D144" i="4"/>
  <c r="D174" i="4"/>
  <c r="D359" i="4"/>
  <c r="B209" i="4"/>
  <c r="C209" i="4" s="1"/>
  <c r="B45" i="4"/>
  <c r="C45" i="4" s="1"/>
  <c r="B275" i="4"/>
  <c r="B82" i="4"/>
  <c r="B392" i="4"/>
  <c r="C392" i="4" s="1"/>
  <c r="B79" i="4"/>
  <c r="D259" i="4"/>
  <c r="D381" i="4"/>
  <c r="D37" i="4"/>
  <c r="D105" i="4"/>
  <c r="B12" i="4"/>
  <c r="B120" i="4"/>
  <c r="B283" i="4"/>
  <c r="C283" i="4" s="1"/>
  <c r="B121" i="4"/>
  <c r="B116" i="4"/>
  <c r="B74" i="4"/>
  <c r="B351" i="4"/>
  <c r="C351" i="4" s="1"/>
  <c r="D257" i="4"/>
  <c r="D161" i="4"/>
  <c r="D343" i="4"/>
  <c r="D235" i="4"/>
  <c r="B152" i="4"/>
  <c r="B261" i="4"/>
  <c r="B126" i="4"/>
  <c r="B96" i="4"/>
  <c r="B367" i="4"/>
  <c r="B319" i="4"/>
  <c r="D169" i="4"/>
  <c r="D240" i="4"/>
  <c r="D362" i="4"/>
  <c r="D17" i="4"/>
  <c r="D292" i="4"/>
  <c r="B19" i="4"/>
  <c r="B143" i="4"/>
  <c r="C143" i="4" s="1"/>
  <c r="B333" i="4"/>
  <c r="B229" i="4"/>
  <c r="B187" i="4"/>
  <c r="B35" i="4"/>
  <c r="D248" i="4"/>
  <c r="D165" i="4"/>
  <c r="D219" i="4"/>
  <c r="D297" i="4"/>
  <c r="B239" i="4"/>
  <c r="B385" i="4"/>
  <c r="B376" i="4"/>
  <c r="C376" i="4" s="1"/>
  <c r="B71" i="4"/>
  <c r="B178" i="4"/>
  <c r="B139" i="4"/>
  <c r="B151" i="4"/>
  <c r="C151" i="4" s="1"/>
  <c r="D155" i="4"/>
  <c r="D324" i="4"/>
  <c r="D317" i="4"/>
  <c r="D53" i="4"/>
  <c r="B156" i="4"/>
  <c r="B16" i="4"/>
  <c r="B301" i="4"/>
  <c r="B270" i="4"/>
  <c r="C270" i="4" s="1"/>
  <c r="B205" i="4"/>
  <c r="C205" i="4" s="1"/>
  <c r="B27" i="4"/>
  <c r="D50" i="4"/>
  <c r="D115" i="4"/>
  <c r="D194" i="4"/>
  <c r="D136" i="4"/>
  <c r="D350" i="4"/>
  <c r="D130" i="4"/>
  <c r="D83" i="4"/>
  <c r="D312" i="4"/>
  <c r="D355" i="4"/>
  <c r="D192" i="4"/>
  <c r="D342" i="4"/>
  <c r="D29" i="4"/>
  <c r="D205" i="4"/>
  <c r="D27" i="4"/>
  <c r="D34" i="4"/>
  <c r="D109" i="4"/>
  <c r="D99" i="4"/>
  <c r="D51" i="4"/>
  <c r="D25" i="4"/>
  <c r="D199" i="4"/>
  <c r="E12" i="4"/>
  <c r="B313" i="4"/>
  <c r="C313" i="4" s="1"/>
  <c r="B42" i="4"/>
  <c r="B118" i="4"/>
  <c r="C118" i="4" s="1"/>
  <c r="B65" i="4"/>
  <c r="B34" i="4"/>
  <c r="C34" i="4" s="1"/>
  <c r="B109" i="4"/>
  <c r="D138" i="4"/>
  <c r="D237" i="4"/>
  <c r="D70" i="4"/>
  <c r="B329" i="4"/>
  <c r="C329" i="4" s="1"/>
  <c r="B212" i="4"/>
  <c r="B249" i="4"/>
  <c r="B86" i="4"/>
  <c r="C86" i="4" s="1"/>
  <c r="B363" i="4"/>
  <c r="B289" i="4"/>
  <c r="B393" i="4"/>
  <c r="D168" i="4"/>
  <c r="D128" i="4"/>
  <c r="D370" i="4"/>
  <c r="D43" i="4"/>
  <c r="B389" i="4"/>
  <c r="C389" i="4" s="1"/>
  <c r="B225" i="4"/>
  <c r="C225" i="4" s="1"/>
  <c r="B380" i="4"/>
  <c r="B273" i="4"/>
  <c r="B25" i="4"/>
  <c r="C25" i="4" s="1"/>
  <c r="B199" i="4"/>
  <c r="C199" i="4" s="1"/>
  <c r="D398" i="4"/>
  <c r="D150" i="4"/>
  <c r="D77" i="4"/>
  <c r="D378" i="4"/>
  <c r="B286" i="4"/>
  <c r="B233" i="4"/>
  <c r="B181" i="4"/>
  <c r="C181" i="4" s="1"/>
  <c r="B47" i="4"/>
  <c r="C47" i="4" s="1"/>
  <c r="B247" i="4"/>
  <c r="C247" i="4" s="1"/>
  <c r="B353" i="4"/>
  <c r="B314" i="4"/>
  <c r="C314" i="4" s="1"/>
  <c r="D175" i="4"/>
  <c r="D97" i="4"/>
  <c r="D368" i="4"/>
  <c r="D394" i="4"/>
  <c r="B146" i="4"/>
  <c r="C146" i="4" s="1"/>
  <c r="B344" i="4"/>
  <c r="B173" i="4"/>
  <c r="B374" i="4"/>
  <c r="C374" i="4" s="1"/>
  <c r="B272" i="4"/>
  <c r="C272" i="4" s="1"/>
  <c r="B183" i="4"/>
  <c r="D129" i="4"/>
  <c r="D361" i="4"/>
  <c r="D176" i="4"/>
  <c r="D113" i="4"/>
  <c r="D349" i="4"/>
  <c r="B119" i="4"/>
  <c r="C119" i="4" s="1"/>
  <c r="B41" i="4"/>
  <c r="C41" i="4" s="1"/>
  <c r="B204" i="4"/>
  <c r="B22" i="4"/>
  <c r="C22" i="4" s="1"/>
  <c r="B95" i="4"/>
  <c r="C95" i="4" s="1"/>
  <c r="B262" i="4"/>
  <c r="C262" i="4" s="1"/>
  <c r="D80" i="4"/>
  <c r="D391" i="4"/>
  <c r="D366" i="4"/>
  <c r="B280" i="4"/>
  <c r="C280" i="4" s="1"/>
  <c r="B191" i="4"/>
  <c r="B288" i="4"/>
  <c r="C288" i="4" s="1"/>
  <c r="B242" i="4"/>
  <c r="C242" i="4" s="1"/>
  <c r="B349" i="4"/>
  <c r="C349" i="4" s="1"/>
  <c r="B331" i="4"/>
  <c r="C331" i="4" s="1"/>
  <c r="H331" i="4" s="1"/>
  <c r="D103" i="4"/>
  <c r="D111" i="4"/>
  <c r="D356" i="4"/>
  <c r="D117" i="4"/>
  <c r="D214" i="4"/>
  <c r="B208" i="4"/>
  <c r="C208" i="4" s="1"/>
  <c r="B135" i="4"/>
  <c r="C135" i="4" s="1"/>
  <c r="B246" i="4"/>
  <c r="C246" i="4" s="1"/>
  <c r="B338" i="4"/>
  <c r="B30" i="4"/>
  <c r="C30" i="4" s="1"/>
  <c r="B124" i="4"/>
  <c r="D193" i="4"/>
  <c r="D250" i="4"/>
  <c r="D61" i="4"/>
  <c r="D243" i="4"/>
  <c r="D299" i="4"/>
  <c r="D55" i="4"/>
  <c r="D367" i="4"/>
  <c r="D319" i="4"/>
  <c r="D336" i="4"/>
  <c r="D110" i="4"/>
  <c r="D14" i="4"/>
  <c r="D159" i="4"/>
  <c r="D30" i="4"/>
  <c r="D124" i="4"/>
  <c r="D294" i="4"/>
  <c r="D134" i="4"/>
  <c r="D220" i="4"/>
  <c r="D310" i="4"/>
  <c r="D309" i="4"/>
  <c r="D202" i="4"/>
  <c r="B337" i="4"/>
  <c r="C337" i="4" s="1"/>
  <c r="B396" i="4"/>
  <c r="B294" i="4"/>
  <c r="C294" i="4" s="1"/>
  <c r="B134" i="4"/>
  <c r="D322" i="4"/>
  <c r="D24" i="4"/>
  <c r="D234" i="4"/>
  <c r="D241" i="4"/>
  <c r="B321" i="4"/>
  <c r="C321" i="4" s="1"/>
  <c r="B157" i="4"/>
  <c r="B21" i="4"/>
  <c r="C21" i="4" s="1"/>
  <c r="B256" i="4"/>
  <c r="C256" i="4" s="1"/>
  <c r="B397" i="4"/>
  <c r="B211" i="4"/>
  <c r="C211" i="4" s="1"/>
  <c r="D180" i="4"/>
  <c r="D90" i="4"/>
  <c r="D91" i="4"/>
  <c r="D400" i="4"/>
  <c r="D245" i="4"/>
  <c r="B127" i="4"/>
  <c r="B167" i="4"/>
  <c r="B371" i="4"/>
  <c r="C371" i="4" s="1"/>
  <c r="B153" i="4"/>
  <c r="B309" i="4"/>
  <c r="C309" i="4" s="1"/>
  <c r="B202" i="4"/>
  <c r="C202" i="4" s="1"/>
  <c r="D209" i="4"/>
  <c r="D45" i="4"/>
  <c r="D275" i="4"/>
  <c r="D82" i="4"/>
  <c r="B227" i="4"/>
  <c r="C227" i="4" s="1"/>
  <c r="B399" i="4"/>
  <c r="C399" i="4" s="1"/>
  <c r="B217" i="4"/>
  <c r="C217" i="4" s="1"/>
  <c r="B252" i="4"/>
  <c r="C252" i="4" s="1"/>
  <c r="B390" i="4"/>
  <c r="B334" i="4"/>
  <c r="C334" i="4" s="1"/>
  <c r="D12" i="4"/>
  <c r="D120" i="4"/>
  <c r="D283" i="4"/>
  <c r="D121" i="4"/>
  <c r="D116" i="4"/>
  <c r="B195" i="4"/>
  <c r="C195" i="4" s="1"/>
  <c r="B64" i="4"/>
  <c r="B201" i="4"/>
  <c r="C201" i="4" s="1"/>
  <c r="B147" i="4"/>
  <c r="B184" i="4"/>
  <c r="B210" i="4"/>
  <c r="C210" i="4" s="1"/>
  <c r="D152" i="4"/>
  <c r="D261" i="4"/>
  <c r="D126" i="4"/>
  <c r="D96" i="4"/>
  <c r="B46" i="4"/>
  <c r="C46" i="4" s="1"/>
  <c r="B377" i="4"/>
  <c r="C377" i="4" s="1"/>
  <c r="B387" i="4"/>
  <c r="C387" i="4" s="1"/>
  <c r="B330" i="4"/>
  <c r="C330" i="4" s="1"/>
  <c r="B94" i="4"/>
  <c r="C94" i="4" s="1"/>
  <c r="B76" i="4"/>
  <c r="C76" i="4" s="1"/>
  <c r="B320" i="4"/>
  <c r="C320" i="4" s="1"/>
  <c r="D19" i="4"/>
  <c r="D143" i="4"/>
  <c r="D333" i="4"/>
  <c r="D229" i="4"/>
  <c r="B365" i="4"/>
  <c r="C365" i="4" s="1"/>
  <c r="B186" i="4"/>
  <c r="C186" i="4" s="1"/>
  <c r="B274" i="4"/>
  <c r="C274" i="4" s="1"/>
  <c r="B164" i="4"/>
  <c r="C164" i="4" s="1"/>
  <c r="B197" i="4"/>
  <c r="B386" i="4"/>
  <c r="C386" i="4" s="1"/>
  <c r="H386" i="4" s="1"/>
  <c r="D239" i="4"/>
  <c r="D385" i="4"/>
  <c r="D376" i="4"/>
  <c r="D71" i="4"/>
  <c r="D178" i="4"/>
  <c r="B32" i="4"/>
  <c r="C32" i="4" s="1"/>
  <c r="B335" i="4"/>
  <c r="C335" i="4" s="1"/>
  <c r="B339" i="4"/>
  <c r="C339" i="4" s="1"/>
  <c r="B383" i="4"/>
  <c r="C383" i="4" s="1"/>
  <c r="B282" i="4"/>
  <c r="C282" i="4" s="1"/>
  <c r="B112" i="4"/>
  <c r="C112" i="4" s="1"/>
  <c r="D156" i="4"/>
  <c r="D16" i="4"/>
  <c r="D301" i="4"/>
  <c r="D270" i="4"/>
  <c r="D268" i="4"/>
  <c r="D348" i="4"/>
  <c r="D272" i="4"/>
  <c r="D183" i="4"/>
  <c r="D218" i="4"/>
  <c r="D133" i="4"/>
  <c r="D104" i="4"/>
  <c r="D311" i="4"/>
  <c r="D282" i="4"/>
  <c r="D112" i="4"/>
  <c r="D182" i="4"/>
  <c r="D260" i="4"/>
  <c r="D40" i="4"/>
  <c r="D213" i="4"/>
  <c r="D85" i="4"/>
  <c r="D265" i="4"/>
  <c r="B222" i="4"/>
  <c r="C222" i="4" s="1"/>
  <c r="B163" i="4"/>
  <c r="C163" i="4" s="1"/>
  <c r="B340" i="4"/>
  <c r="C340" i="4" s="1"/>
  <c r="B39" i="4"/>
  <c r="C39" i="4" s="1"/>
  <c r="B182" i="4"/>
  <c r="C182" i="4" s="1"/>
  <c r="B260" i="4"/>
  <c r="C260" i="4" s="1"/>
  <c r="D313" i="4"/>
  <c r="D42" i="4"/>
  <c r="D118" i="4"/>
  <c r="D65" i="4"/>
  <c r="B271" i="4"/>
  <c r="C271" i="4" s="1"/>
  <c r="B302" i="4"/>
  <c r="C302" i="4" s="1"/>
  <c r="B92" i="4"/>
  <c r="C92" i="4" s="1"/>
  <c r="H92" i="4" s="1"/>
  <c r="B145" i="4"/>
  <c r="C145" i="4" s="1"/>
  <c r="B375" i="4"/>
  <c r="C375" i="4" s="1"/>
  <c r="B20" i="4"/>
  <c r="D329" i="4"/>
  <c r="D212" i="4"/>
  <c r="D249" i="4"/>
  <c r="D86" i="4"/>
  <c r="D363" i="4"/>
  <c r="B276" i="4"/>
  <c r="C276" i="4" s="1"/>
  <c r="B89" i="4"/>
  <c r="C89" i="4" s="1"/>
  <c r="B287" i="4"/>
  <c r="B73" i="4"/>
  <c r="C73" i="4" s="1"/>
  <c r="B85" i="4"/>
  <c r="C85" i="4" s="1"/>
  <c r="B265" i="4"/>
  <c r="C265" i="4" s="1"/>
  <c r="D389" i="4"/>
  <c r="D225" i="4"/>
  <c r="D380" i="4"/>
  <c r="D273" i="4"/>
  <c r="B160" i="4"/>
  <c r="C160" i="4" s="1"/>
  <c r="B223" i="4"/>
  <c r="C223" i="4" s="1"/>
  <c r="B49" i="4"/>
  <c r="C49" i="4" s="1"/>
  <c r="B296" i="4"/>
  <c r="C296" i="4" s="1"/>
  <c r="B350" i="4"/>
  <c r="C350" i="4" s="1"/>
  <c r="H350" i="4" s="1"/>
  <c r="B130" i="4"/>
  <c r="C130" i="4" s="1"/>
  <c r="D286" i="4"/>
  <c r="D233" i="4"/>
  <c r="D181" i="4"/>
  <c r="D47" i="4"/>
  <c r="D247" i="4"/>
  <c r="B7" i="4"/>
  <c r="C7" i="4" s="1"/>
  <c r="B278" i="4"/>
  <c r="C278" i="4" s="1"/>
  <c r="B232" i="4"/>
  <c r="C232" i="4" s="1"/>
  <c r="B388" i="4"/>
  <c r="C388" i="4" s="1"/>
  <c r="B277" i="4"/>
  <c r="C277" i="4" s="1"/>
  <c r="D146" i="4"/>
  <c r="D344" i="4"/>
  <c r="D173" i="4"/>
  <c r="D374" i="4"/>
  <c r="B63" i="4"/>
  <c r="C63" i="4" s="1"/>
  <c r="B251" i="4"/>
  <c r="C251" i="4" s="1"/>
  <c r="B230" i="4"/>
  <c r="C230" i="4" s="1"/>
  <c r="B31" i="4"/>
  <c r="C31" i="4" s="1"/>
  <c r="H31" i="4" s="1"/>
  <c r="B166" i="4"/>
  <c r="C166" i="4" s="1"/>
  <c r="B263" i="4"/>
  <c r="C263" i="4" s="1"/>
  <c r="B236" i="4"/>
  <c r="C236" i="4" s="1"/>
  <c r="D119" i="4"/>
  <c r="D41" i="4"/>
  <c r="D204" i="4"/>
  <c r="D22" i="4"/>
  <c r="B206" i="4"/>
  <c r="C206" i="4" s="1"/>
  <c r="B8" i="4"/>
  <c r="C8" i="4" s="1"/>
  <c r="B125" i="4"/>
  <c r="C125" i="4" s="1"/>
  <c r="B57" i="4"/>
  <c r="C57" i="4" s="1"/>
  <c r="B342" i="4"/>
  <c r="C342" i="4" s="1"/>
  <c r="B29" i="4"/>
  <c r="C29" i="4" s="1"/>
  <c r="D280" i="4"/>
  <c r="D191" i="4"/>
  <c r="D288" i="4"/>
  <c r="D242" i="4"/>
  <c r="D397" i="4"/>
  <c r="B327" i="4"/>
  <c r="C327" i="4" s="1"/>
  <c r="B158" i="4"/>
  <c r="C158" i="4" s="1"/>
  <c r="B364" i="4"/>
  <c r="C364" i="4" s="1"/>
  <c r="B23" i="4"/>
  <c r="C23" i="4" s="1"/>
  <c r="B326" i="4"/>
  <c r="C326" i="4" s="1"/>
  <c r="B177" i="4"/>
  <c r="C177" i="4" s="1"/>
  <c r="D208" i="4"/>
  <c r="D135" i="4"/>
  <c r="D246" i="4"/>
  <c r="D338" i="4"/>
  <c r="D38" i="4"/>
  <c r="D172" i="4"/>
  <c r="D184" i="4"/>
  <c r="D210" i="4"/>
  <c r="D187" i="4"/>
  <c r="D35" i="4"/>
  <c r="D315" i="4"/>
  <c r="D300" i="4"/>
  <c r="D326" i="4"/>
  <c r="D177" i="4"/>
  <c r="D131" i="4"/>
  <c r="D382" i="4"/>
  <c r="D289" i="4"/>
  <c r="D393" i="4"/>
  <c r="D281" i="4"/>
  <c r="D293" i="4"/>
  <c r="B207" i="4"/>
  <c r="C207" i="4" s="1"/>
  <c r="H207" i="4" s="1"/>
  <c r="B81" i="4"/>
  <c r="C81" i="4" s="1"/>
  <c r="B131" i="4"/>
  <c r="C131" i="4" s="1"/>
  <c r="B382" i="4"/>
  <c r="C382" i="4" s="1"/>
  <c r="D28" i="4"/>
  <c r="D162" i="4"/>
  <c r="D337" i="4"/>
  <c r="D396" i="4"/>
  <c r="B170" i="4"/>
  <c r="C170" i="4" s="1"/>
  <c r="B33" i="4"/>
  <c r="C33" i="4" s="1"/>
  <c r="B308" i="4"/>
  <c r="C308" i="4" s="1"/>
  <c r="B354" i="4"/>
  <c r="C354" i="4" s="1"/>
  <c r="B360" i="4"/>
  <c r="C360" i="4" s="1"/>
  <c r="B107" i="4"/>
  <c r="C107" i="4" s="1"/>
  <c r="D321" i="4"/>
  <c r="D157" i="4"/>
  <c r="D21" i="4"/>
  <c r="D256" i="4"/>
  <c r="B44" i="4"/>
  <c r="C44" i="4" s="1"/>
  <c r="B185" i="4"/>
  <c r="C185" i="4" s="1"/>
  <c r="B304" i="4"/>
  <c r="C304" i="4" s="1"/>
  <c r="B9" i="4"/>
  <c r="C9" i="4" s="1"/>
  <c r="B122" i="4"/>
  <c r="C122" i="4" s="1"/>
  <c r="B281" i="4"/>
  <c r="C281" i="4" s="1"/>
  <c r="B293" i="4"/>
  <c r="C293" i="4" s="1"/>
  <c r="D127" i="4"/>
  <c r="D167" i="4"/>
  <c r="D371" i="4"/>
  <c r="D153" i="4"/>
  <c r="B303" i="4"/>
  <c r="C303" i="4" s="1"/>
  <c r="B171" i="4"/>
  <c r="C171" i="4" s="1"/>
  <c r="B226" i="4"/>
  <c r="C226" i="4" s="1"/>
  <c r="H226" i="4" s="1"/>
  <c r="B137" i="4"/>
  <c r="C137" i="4" s="1"/>
  <c r="B299" i="4"/>
  <c r="C299" i="4" s="1"/>
  <c r="B55" i="4"/>
  <c r="C55" i="4" s="1"/>
  <c r="D227" i="4"/>
  <c r="D399" i="4"/>
  <c r="D217" i="4"/>
  <c r="D252" i="4"/>
  <c r="D316" i="4"/>
  <c r="B62" i="4"/>
  <c r="C62" i="4" s="1"/>
  <c r="B142" i="4"/>
  <c r="C142" i="4" s="1"/>
  <c r="B291" i="4"/>
  <c r="C291" i="4" s="1"/>
  <c r="B13" i="4"/>
  <c r="C13" i="4" s="1"/>
  <c r="B132" i="4"/>
  <c r="C132" i="4" s="1"/>
  <c r="B188" i="4"/>
  <c r="C188" i="4" s="1"/>
  <c r="D195" i="4"/>
  <c r="D64" i="4"/>
  <c r="D201" i="4"/>
  <c r="D147" i="4"/>
  <c r="B323" i="4"/>
  <c r="C323" i="4" s="1"/>
  <c r="H323" i="4" s="1"/>
  <c r="B149" i="4"/>
  <c r="C149" i="4" s="1"/>
  <c r="B72" i="4"/>
  <c r="C72" i="4" s="1"/>
  <c r="B253" i="4"/>
  <c r="C253" i="4" s="1"/>
  <c r="B316" i="4"/>
  <c r="C316" i="4" s="1"/>
  <c r="B108" i="4"/>
  <c r="C108" i="4" s="1"/>
  <c r="H108" i="4" s="1"/>
  <c r="D46" i="4"/>
  <c r="D377" i="4"/>
  <c r="D387" i="4"/>
  <c r="D330" i="4"/>
  <c r="D94" i="4"/>
  <c r="B285" i="4"/>
  <c r="C285" i="4" s="1"/>
  <c r="H285" i="4" s="1"/>
  <c r="B60" i="4"/>
  <c r="C60" i="4" s="1"/>
  <c r="B189" i="4"/>
  <c r="C189" i="4" s="1"/>
  <c r="B244" i="4"/>
  <c r="C244" i="4" s="1"/>
  <c r="B14" i="4"/>
  <c r="C14" i="4" s="1"/>
  <c r="B159" i="4"/>
  <c r="C159" i="4" s="1"/>
  <c r="D365" i="4"/>
  <c r="D186" i="4"/>
  <c r="D274" i="4"/>
  <c r="D164" i="4"/>
  <c r="B58" i="4"/>
  <c r="C58" i="4" s="1"/>
  <c r="B231" i="4"/>
  <c r="C231" i="4" s="1"/>
  <c r="B148" i="4"/>
  <c r="C148" i="4" s="1"/>
  <c r="B203" i="4"/>
  <c r="C203" i="4" s="1"/>
  <c r="B279" i="4"/>
  <c r="C279" i="4" s="1"/>
  <c r="B140" i="4"/>
  <c r="C140" i="4" s="1"/>
  <c r="B306" i="4"/>
  <c r="C306" i="4" s="1"/>
  <c r="D32" i="4"/>
  <c r="D335" i="4"/>
  <c r="D339" i="4"/>
  <c r="D383" i="4"/>
  <c r="D67" i="4"/>
  <c r="D66" i="4"/>
  <c r="D277" i="4"/>
  <c r="D95" i="4"/>
  <c r="D262" i="4"/>
  <c r="D216" i="4"/>
  <c r="D298" i="4"/>
  <c r="D140" i="4"/>
  <c r="D306" i="4"/>
  <c r="D384" i="4"/>
  <c r="D267" i="4"/>
  <c r="D211" i="4"/>
  <c r="D215" i="4"/>
  <c r="C267" i="4"/>
  <c r="C257" i="4"/>
  <c r="C298" i="4"/>
  <c r="C82" i="4"/>
  <c r="C36" i="4"/>
  <c r="C336" i="4"/>
  <c r="H336" i="4" s="1"/>
  <c r="C61" i="4"/>
  <c r="C35" i="4"/>
  <c r="C133" i="4"/>
  <c r="C369" i="4"/>
  <c r="C102" i="4"/>
  <c r="C234" i="4"/>
  <c r="C259" i="4"/>
  <c r="C261" i="4"/>
  <c r="C51" i="4"/>
  <c r="C117" i="4"/>
  <c r="C176" i="4"/>
  <c r="C192" i="4"/>
  <c r="C325" i="4"/>
  <c r="H325" i="4" s="1"/>
  <c r="C116" i="4"/>
  <c r="C373" i="4"/>
  <c r="C56" i="4"/>
  <c r="C355" i="4"/>
  <c r="C100" i="4"/>
  <c r="C128" i="4"/>
  <c r="C84" i="4"/>
  <c r="C233" i="4"/>
  <c r="C353" i="4"/>
  <c r="C65" i="4"/>
  <c r="C19" i="4"/>
  <c r="C136" i="4"/>
  <c r="C197" i="4"/>
  <c r="C363" i="4"/>
  <c r="C361" i="4"/>
  <c r="C216" i="4"/>
  <c r="C120" i="4"/>
  <c r="C157" i="4"/>
  <c r="C333" i="4"/>
  <c r="C218" i="4"/>
  <c r="C215" i="4"/>
  <c r="C213" i="4"/>
  <c r="C79" i="4"/>
  <c r="C287" i="4"/>
  <c r="C255" i="4"/>
  <c r="C357" i="4"/>
  <c r="C153" i="4"/>
  <c r="C124" i="4"/>
  <c r="C54" i="4"/>
  <c r="C68" i="4"/>
  <c r="C254" i="4"/>
  <c r="C20" i="4"/>
  <c r="C243" i="4"/>
  <c r="C10" i="4"/>
  <c r="C172" i="4"/>
  <c r="C310" i="4"/>
  <c r="C127" i="4"/>
  <c r="C144" i="4"/>
  <c r="C322" i="4"/>
  <c r="C98" i="4"/>
  <c r="C292" i="4"/>
  <c r="C28" i="4"/>
  <c r="C141" i="4"/>
  <c r="C380" i="4"/>
  <c r="C70" i="4"/>
  <c r="C397" i="4"/>
  <c r="C238" i="4"/>
  <c r="C307" i="4"/>
  <c r="C318" i="4"/>
  <c r="C38" i="4"/>
  <c r="C249" i="4"/>
  <c r="C258" i="4"/>
  <c r="C401" i="4"/>
  <c r="C300" i="4"/>
  <c r="C372" i="4"/>
  <c r="C385" i="4"/>
  <c r="C27" i="4"/>
  <c r="C275" i="4"/>
  <c r="C83" i="4"/>
  <c r="C167" i="4"/>
  <c r="C99" i="4"/>
  <c r="C198" i="4"/>
  <c r="C237" i="4"/>
  <c r="C183" i="4"/>
  <c r="C48" i="4"/>
  <c r="C268" i="4"/>
  <c r="C71" i="4"/>
  <c r="C200" i="4"/>
  <c r="C305" i="4"/>
  <c r="C24" i="4"/>
  <c r="C147" i="4"/>
  <c r="C395" i="4"/>
  <c r="C18" i="4"/>
  <c r="C346" i="4"/>
  <c r="C106" i="4"/>
  <c r="C78" i="4"/>
  <c r="C90" i="4"/>
  <c r="C156" i="4"/>
  <c r="C178" i="4"/>
  <c r="C174" i="4"/>
  <c r="C297" i="4"/>
  <c r="C286" i="4"/>
  <c r="C168" i="4"/>
  <c r="C114" i="4"/>
  <c r="C378" i="4"/>
  <c r="C224" i="4"/>
  <c r="C212" i="4"/>
  <c r="C155" i="4"/>
  <c r="C109" i="4"/>
  <c r="C180" i="4"/>
  <c r="C394" i="4"/>
  <c r="C235" i="4"/>
  <c r="C341" i="4"/>
  <c r="C228" i="4"/>
  <c r="C96" i="4"/>
  <c r="C69" i="4"/>
  <c r="C290" i="4"/>
  <c r="C173" i="4"/>
  <c r="C241" i="4"/>
  <c r="C42" i="4"/>
  <c r="C67" i="4"/>
  <c r="C332" i="4"/>
  <c r="C319" i="4"/>
  <c r="C74" i="4"/>
  <c r="C345" i="4"/>
  <c r="C184" i="4"/>
  <c r="C121" i="4"/>
  <c r="C390" i="4"/>
  <c r="C15" i="4"/>
  <c r="C40" i="4"/>
  <c r="C161" i="4"/>
  <c r="C396" i="4"/>
  <c r="C64" i="4"/>
  <c r="C250" i="4"/>
  <c r="C101" i="4"/>
  <c r="C315" i="4"/>
  <c r="C26" i="4"/>
  <c r="C393" i="4"/>
  <c r="C17" i="4"/>
  <c r="C66" i="4"/>
  <c r="C240" i="4"/>
  <c r="C301" i="4"/>
  <c r="C59" i="4"/>
  <c r="C344" i="4"/>
  <c r="C165" i="4"/>
  <c r="C6" i="4"/>
  <c r="C154" i="4"/>
  <c r="C220" i="4"/>
  <c r="C398" i="4"/>
  <c r="C204" i="4"/>
  <c r="C113" i="4"/>
  <c r="C381" i="4"/>
  <c r="C328" i="4"/>
  <c r="C219" i="4"/>
  <c r="C93" i="4"/>
  <c r="C97" i="4"/>
  <c r="H97" i="4" s="1"/>
  <c r="C91" i="4"/>
  <c r="C16" i="4"/>
  <c r="C266" i="4"/>
  <c r="C384" i="4"/>
  <c r="C12" i="4"/>
  <c r="C356" i="4"/>
  <c r="H356" i="4" s="1"/>
  <c r="C312" i="4"/>
  <c r="C80" i="4"/>
  <c r="C105" i="4"/>
  <c r="C367" i="4"/>
  <c r="C324" i="4"/>
  <c r="C175" i="4"/>
  <c r="C103" i="4"/>
  <c r="C179" i="4"/>
  <c r="C229" i="4"/>
  <c r="C126" i="4"/>
  <c r="C104" i="4"/>
  <c r="C284" i="4"/>
  <c r="C194" i="4"/>
  <c r="C359" i="4"/>
  <c r="C139" i="4"/>
  <c r="C138" i="4"/>
  <c r="C347" i="4"/>
  <c r="C196" i="4"/>
  <c r="C111" i="4"/>
  <c r="C87" i="4"/>
  <c r="C193" i="4"/>
  <c r="C239" i="4"/>
  <c r="C37" i="4"/>
  <c r="C221" i="4"/>
  <c r="C264" i="4"/>
  <c r="C269" i="4"/>
  <c r="C248" i="4"/>
  <c r="H248" i="4" s="1"/>
  <c r="C123" i="4"/>
  <c r="C77" i="4"/>
  <c r="C352" i="4"/>
  <c r="C191" i="4"/>
  <c r="C187" i="4"/>
  <c r="C152" i="4"/>
  <c r="C43" i="4"/>
  <c r="C134" i="4"/>
  <c r="H134" i="4" s="1"/>
  <c r="C273" i="4"/>
  <c r="C289" i="4"/>
  <c r="C338" i="4"/>
  <c r="C379" i="4"/>
  <c r="C53" i="4"/>
  <c r="C115" i="4"/>
  <c r="C75" i="4"/>
  <c r="C362" i="4"/>
  <c r="C295" i="4"/>
  <c r="H199" i="4" l="1"/>
  <c r="H261" i="4"/>
  <c r="H81" i="4"/>
  <c r="M6" i="4"/>
  <c r="G402" i="4" s="1"/>
  <c r="H358" i="4"/>
  <c r="H229" i="4"/>
  <c r="H219" i="4"/>
  <c r="H312" i="4"/>
  <c r="H214" i="4"/>
  <c r="H348" i="4"/>
  <c r="H143" i="4"/>
  <c r="H77" i="4"/>
  <c r="H47" i="4"/>
  <c r="H35" i="4"/>
  <c r="H153" i="4"/>
  <c r="H133" i="4"/>
  <c r="H41" i="4"/>
  <c r="H326" i="4"/>
  <c r="H239" i="4"/>
  <c r="H30" i="4"/>
  <c r="H246" i="4"/>
  <c r="H365" i="4"/>
  <c r="H377" i="4"/>
  <c r="H384" i="4"/>
  <c r="H329" i="4"/>
  <c r="H372" i="4"/>
  <c r="H94" i="4"/>
  <c r="H264" i="4"/>
  <c r="H152" i="4"/>
  <c r="H138" i="4"/>
  <c r="H197" i="4"/>
  <c r="H136" i="4"/>
  <c r="H127" i="4"/>
  <c r="H16" i="4"/>
  <c r="H339" i="4"/>
  <c r="H139" i="4"/>
  <c r="H355" i="4"/>
  <c r="H154" i="4"/>
  <c r="H187" i="4"/>
  <c r="H171" i="4"/>
  <c r="H284" i="4"/>
  <c r="H166" i="4"/>
  <c r="H183" i="4"/>
  <c r="H288" i="4"/>
  <c r="H43" i="4"/>
  <c r="H137" i="4"/>
  <c r="H33" i="4"/>
  <c r="H8" i="4"/>
  <c r="H57" i="4"/>
  <c r="H343" i="4"/>
  <c r="H221" i="4"/>
  <c r="H52" i="4"/>
  <c r="H320" i="4"/>
  <c r="H73" i="4"/>
  <c r="H130" i="4"/>
  <c r="H104" i="4"/>
  <c r="H274" i="4"/>
  <c r="H56" i="4"/>
  <c r="H186" i="4"/>
  <c r="H245" i="4"/>
  <c r="H83" i="4"/>
  <c r="H381" i="4"/>
  <c r="H6" i="4"/>
  <c r="H266" i="4"/>
  <c r="H117" i="4"/>
  <c r="H399" i="4"/>
  <c r="H126" i="4"/>
  <c r="H296" i="4"/>
  <c r="H196" i="4"/>
  <c r="H191" i="4"/>
  <c r="H383" i="4"/>
  <c r="H218" i="4"/>
  <c r="H206" i="4"/>
  <c r="H87" i="4"/>
  <c r="H142" i="4"/>
  <c r="H222" i="4"/>
  <c r="H25" i="4"/>
  <c r="H260" i="4"/>
  <c r="H38" i="4"/>
  <c r="H12" i="4"/>
  <c r="H327" i="4"/>
  <c r="H203" i="4"/>
  <c r="H398" i="4"/>
  <c r="H314" i="4"/>
  <c r="H91" i="4"/>
  <c r="H305" i="4"/>
  <c r="H256" i="4"/>
  <c r="H123" i="4"/>
  <c r="H337" i="4"/>
  <c r="H146" i="4"/>
  <c r="H125" i="4"/>
  <c r="H357" i="4"/>
  <c r="H311" i="4"/>
  <c r="H316" i="4"/>
  <c r="H367" i="4"/>
  <c r="H371" i="4"/>
  <c r="H193" i="4"/>
  <c r="H253" i="4"/>
  <c r="H103" i="4"/>
  <c r="H149" i="4"/>
  <c r="H309" i="4"/>
  <c r="H50" i="4"/>
  <c r="H289" i="4"/>
  <c r="H59" i="4"/>
  <c r="H55" i="4"/>
  <c r="H273" i="4"/>
  <c r="H113" i="4"/>
  <c r="H280" i="4"/>
  <c r="H269" i="4"/>
  <c r="H194" i="4"/>
  <c r="H164" i="4"/>
  <c r="H225" i="4"/>
  <c r="H93" i="4"/>
  <c r="H175" i="4"/>
  <c r="H160" i="4"/>
  <c r="H40" i="4"/>
  <c r="H317" i="4"/>
  <c r="H347" i="4"/>
  <c r="H158" i="4"/>
  <c r="H308" i="4"/>
  <c r="H374" i="4"/>
  <c r="H297" i="4"/>
  <c r="H304" i="4"/>
  <c r="H277" i="4"/>
  <c r="H37" i="4"/>
  <c r="H306" i="4"/>
  <c r="H201" i="4"/>
  <c r="H204" i="4"/>
  <c r="H359" i="4"/>
  <c r="H220" i="4"/>
  <c r="H352" i="4"/>
  <c r="H328" i="4"/>
  <c r="H80" i="4"/>
  <c r="H195" i="4"/>
  <c r="H58" i="4"/>
  <c r="H321" i="4"/>
  <c r="H228" i="4"/>
  <c r="H231" i="4"/>
  <c r="H272" i="4"/>
  <c r="H351" i="4"/>
  <c r="H369" i="4"/>
  <c r="H90" i="4"/>
  <c r="H169" i="4"/>
  <c r="H11" i="4"/>
  <c r="H213" i="4"/>
  <c r="H100" i="4"/>
  <c r="H361" i="4"/>
  <c r="H375" i="4"/>
  <c r="H190" i="4"/>
  <c r="M8" i="4"/>
  <c r="H333" i="4"/>
  <c r="H9" i="4"/>
  <c r="H349" i="4"/>
  <c r="H380" i="4"/>
  <c r="H346" i="4"/>
  <c r="H48" i="4"/>
  <c r="H360" i="4"/>
  <c r="H270" i="4"/>
  <c r="H111" i="4"/>
  <c r="H34" i="4"/>
  <c r="H51" i="4"/>
  <c r="H182" i="4"/>
  <c r="H234" i="4"/>
  <c r="H101" i="4"/>
  <c r="H211" i="4"/>
  <c r="H292" i="4"/>
  <c r="H120" i="4"/>
  <c r="H243" i="4"/>
  <c r="H173" i="4"/>
  <c r="H24" i="4"/>
  <c r="H10" i="4"/>
  <c r="H62" i="4"/>
  <c r="H370" i="4"/>
  <c r="H167" i="4"/>
  <c r="H295" i="4"/>
  <c r="H393" i="4"/>
  <c r="H388" i="4"/>
  <c r="H390" i="4"/>
  <c r="H354" i="4"/>
  <c r="H32" i="4"/>
  <c r="H185" i="4"/>
  <c r="H135" i="4"/>
  <c r="H14" i="4"/>
  <c r="H106" i="4"/>
  <c r="H22" i="4"/>
  <c r="H223" i="4"/>
  <c r="H19" i="4"/>
  <c r="H233" i="4"/>
  <c r="H121" i="4"/>
  <c r="H275" i="4"/>
  <c r="H368" i="4"/>
  <c r="H177" i="4"/>
  <c r="H163" i="4"/>
  <c r="H28" i="4"/>
  <c r="H23" i="4"/>
  <c r="H385" i="4"/>
  <c r="H128" i="4"/>
  <c r="H254" i="4"/>
  <c r="H335" i="4"/>
  <c r="H397" i="4"/>
  <c r="H344" i="4"/>
  <c r="H341" i="4"/>
  <c r="H150" i="4"/>
  <c r="H60" i="4"/>
  <c r="H244" i="4"/>
  <c r="H157" i="4"/>
  <c r="H176" i="4"/>
  <c r="H282" i="4"/>
  <c r="H78" i="4"/>
  <c r="H144" i="4"/>
  <c r="H281" i="4"/>
  <c r="H300" i="4"/>
  <c r="H85" i="4"/>
  <c r="H298" i="4"/>
  <c r="H345" i="4"/>
  <c r="H257" i="4"/>
  <c r="H44" i="4"/>
  <c r="H147" i="4"/>
  <c r="H39" i="4"/>
  <c r="H75" i="4"/>
  <c r="H332" i="4"/>
  <c r="H340" i="4"/>
  <c r="H74" i="4"/>
  <c r="H124" i="4"/>
  <c r="H42" i="4"/>
  <c r="H45" i="4"/>
  <c r="H373" i="4"/>
  <c r="H263" i="4"/>
  <c r="H71" i="4"/>
  <c r="H395" i="4"/>
  <c r="H322" i="4"/>
  <c r="H259" i="4"/>
  <c r="H364" i="4"/>
  <c r="H170" i="4"/>
  <c r="H18" i="4"/>
  <c r="H192" i="4"/>
  <c r="H392" i="4"/>
  <c r="H141" i="4"/>
  <c r="H394" i="4"/>
  <c r="H36" i="4"/>
  <c r="H307" i="4"/>
  <c r="H15" i="4"/>
  <c r="H118" i="4"/>
  <c r="H290" i="4"/>
  <c r="H66" i="4"/>
  <c r="H382" i="4"/>
  <c r="H240" i="4"/>
  <c r="H112" i="4"/>
  <c r="H303" i="4"/>
  <c r="H178" i="4"/>
  <c r="H174" i="4"/>
  <c r="H115" i="4"/>
  <c r="H291" i="4"/>
  <c r="H363" i="4"/>
  <c r="H114" i="4"/>
  <c r="H70" i="4"/>
  <c r="H265" i="4"/>
  <c r="H27" i="4"/>
  <c r="H172" i="4"/>
  <c r="H268" i="4"/>
  <c r="H65" i="4"/>
  <c r="H105" i="4"/>
  <c r="H255" i="4"/>
  <c r="H215" i="4"/>
  <c r="H168" i="4"/>
  <c r="H232" i="4"/>
  <c r="H247" i="4"/>
  <c r="H376" i="4"/>
  <c r="H315" i="4"/>
  <c r="H156" i="4"/>
  <c r="H17" i="4"/>
  <c r="H102" i="4"/>
  <c r="H96" i="4"/>
  <c r="H217" i="4"/>
  <c r="H20" i="4"/>
  <c r="H180" i="4"/>
  <c r="H79" i="4"/>
  <c r="H227" i="4"/>
  <c r="H238" i="4"/>
  <c r="H338" i="4"/>
  <c r="H302" i="4"/>
  <c r="H286" i="4"/>
  <c r="H205" i="4"/>
  <c r="H241" i="4"/>
  <c r="H26" i="4"/>
  <c r="H200" i="4"/>
  <c r="H181" i="4"/>
  <c r="H301" i="4"/>
  <c r="H209" i="4"/>
  <c r="H391" i="4"/>
  <c r="H162" i="4"/>
  <c r="H7" i="4"/>
  <c r="H140" i="4"/>
  <c r="H216" i="4"/>
  <c r="H99" i="4"/>
  <c r="H184" i="4"/>
  <c r="H72" i="4"/>
  <c r="H188" i="4"/>
  <c r="H131" i="4"/>
  <c r="H76" i="4"/>
  <c r="H82" i="4"/>
  <c r="H212" i="4"/>
  <c r="H283" i="4"/>
  <c r="H294" i="4"/>
  <c r="H362" i="4"/>
  <c r="H299" i="4"/>
  <c r="H109" i="4"/>
  <c r="H63" i="4"/>
  <c r="H330" i="4"/>
  <c r="H155" i="4"/>
  <c r="H69" i="4"/>
  <c r="H119" i="4"/>
  <c r="H151" i="4"/>
  <c r="H389" i="4"/>
  <c r="H252" i="4"/>
  <c r="H161" i="4"/>
  <c r="H319" i="4"/>
  <c r="H400" i="4"/>
  <c r="H237" i="4"/>
  <c r="H230" i="4"/>
  <c r="H387" i="4"/>
  <c r="H262" i="4"/>
  <c r="H250" i="4"/>
  <c r="H95" i="4"/>
  <c r="H249" i="4"/>
  <c r="H396" i="4"/>
  <c r="H310" i="4"/>
  <c r="H61" i="4"/>
  <c r="H189" i="4"/>
  <c r="H67" i="4"/>
  <c r="H116" i="4"/>
  <c r="H98" i="4"/>
  <c r="H165" i="4"/>
  <c r="H122" i="4"/>
  <c r="H208" i="4"/>
  <c r="H202" i="4"/>
  <c r="H242" i="4"/>
  <c r="H110" i="4"/>
  <c r="H258" i="4"/>
  <c r="H401" i="4"/>
  <c r="H276" i="4"/>
  <c r="H89" i="4"/>
  <c r="H129" i="4"/>
  <c r="H53" i="4"/>
  <c r="H84" i="4"/>
  <c r="H293" i="4"/>
  <c r="H159" i="4"/>
  <c r="H251" i="4"/>
  <c r="H64" i="4"/>
  <c r="H267" i="4"/>
  <c r="H13" i="4"/>
  <c r="H342" i="4"/>
  <c r="H279" i="4"/>
  <c r="H278" i="4"/>
  <c r="H318" i="4"/>
  <c r="H378" i="4"/>
  <c r="H334" i="4"/>
  <c r="H224" i="4"/>
  <c r="H198" i="4"/>
  <c r="H107" i="4"/>
  <c r="H86" i="4"/>
  <c r="H54" i="4"/>
  <c r="H46" i="4"/>
  <c r="H235" i="4"/>
  <c r="H88" i="4"/>
  <c r="H353" i="4"/>
  <c r="H210" i="4"/>
  <c r="H287" i="4"/>
  <c r="H29" i="4"/>
  <c r="H145" i="4"/>
  <c r="H366" i="4"/>
  <c r="H236" i="4"/>
  <c r="H68" i="4"/>
  <c r="H21" i="4"/>
  <c r="H313" i="4"/>
  <c r="H379" i="4"/>
  <c r="H49" i="4"/>
  <c r="H132" i="4"/>
  <c r="H271" i="4"/>
  <c r="H148" i="4"/>
  <c r="H179" i="4"/>
  <c r="H324" i="4"/>
  <c r="G308" i="4" l="1"/>
  <c r="F553" i="4"/>
  <c r="F492" i="4"/>
  <c r="F496" i="4"/>
  <c r="F481" i="4"/>
  <c r="F566" i="4"/>
  <c r="F451" i="4"/>
  <c r="F418" i="4"/>
  <c r="F409" i="4"/>
  <c r="F494" i="4"/>
  <c r="F604" i="4"/>
  <c r="F410" i="4"/>
  <c r="F415" i="4"/>
  <c r="F509" i="4"/>
  <c r="F407" i="4"/>
  <c r="F501" i="4"/>
  <c r="F522" i="4"/>
  <c r="F527" i="4"/>
  <c r="F514" i="4"/>
  <c r="F519" i="4"/>
  <c r="F512" i="4"/>
  <c r="F454" i="4"/>
  <c r="F564" i="4"/>
  <c r="F523" i="4"/>
  <c r="F480" i="4"/>
  <c r="F414" i="4"/>
  <c r="F555" i="4"/>
  <c r="F568" i="4"/>
  <c r="F567" i="4"/>
  <c r="F405" i="4"/>
  <c r="F495" i="4"/>
  <c r="F589" i="4"/>
  <c r="F570" i="4"/>
  <c r="F423" i="4"/>
  <c r="F422" i="4"/>
  <c r="F464" i="4"/>
  <c r="F534" i="4"/>
  <c r="F489" i="4"/>
  <c r="F574" i="4"/>
  <c r="F428" i="4"/>
  <c r="F560" i="4"/>
  <c r="F417" i="4"/>
  <c r="F502" i="4"/>
  <c r="F584" i="4"/>
  <c r="F601" i="4"/>
  <c r="F430" i="4"/>
  <c r="F540" i="4"/>
  <c r="F593" i="4"/>
  <c r="F445" i="4"/>
  <c r="F563" i="4"/>
  <c r="F504" i="4"/>
  <c r="F585" i="4"/>
  <c r="F599" i="4"/>
  <c r="F437" i="4"/>
  <c r="F544" i="4"/>
  <c r="F458" i="4"/>
  <c r="F449" i="4"/>
  <c r="F463" i="4"/>
  <c r="F557" i="4"/>
  <c r="F450" i="4"/>
  <c r="F455" i="4"/>
  <c r="F572" i="4"/>
  <c r="F561" i="4"/>
  <c r="F500" i="4"/>
  <c r="F404" i="4"/>
  <c r="F427" i="4"/>
  <c r="F546" i="4"/>
  <c r="F498" i="4"/>
  <c r="F503" i="4"/>
  <c r="F597" i="4"/>
  <c r="F459" i="4"/>
  <c r="F426" i="4"/>
  <c r="F431" i="4"/>
  <c r="F525" i="4"/>
  <c r="F548" i="4"/>
  <c r="F453" i="4"/>
  <c r="F571" i="4"/>
  <c r="F552" i="4"/>
  <c r="F468" i="4"/>
  <c r="F521" i="4"/>
  <c r="F460" i="4"/>
  <c r="F491" i="4"/>
  <c r="F470" i="4"/>
  <c r="F580" i="4"/>
  <c r="F440" i="4"/>
  <c r="F488" i="4"/>
  <c r="F462" i="4"/>
  <c r="F485" i="4"/>
  <c r="F603" i="4"/>
  <c r="F586" i="4"/>
  <c r="F600" i="4"/>
  <c r="F575" i="4"/>
  <c r="F413" i="4"/>
  <c r="F531" i="4"/>
  <c r="F507" i="4"/>
  <c r="F516" i="4"/>
  <c r="F592" i="4"/>
  <c r="F425" i="4"/>
  <c r="F510" i="4"/>
  <c r="F602" i="4"/>
  <c r="F438" i="4"/>
  <c r="F579" i="4"/>
  <c r="F562" i="4"/>
  <c r="F472" i="4"/>
  <c r="F537" i="4"/>
  <c r="F476" i="4"/>
  <c r="F408" i="4"/>
  <c r="F529" i="4"/>
  <c r="F543" i="4"/>
  <c r="F499" i="4"/>
  <c r="F528" i="4"/>
  <c r="F530" i="4"/>
  <c r="F535" i="4"/>
  <c r="F493" i="4"/>
  <c r="F508" i="4"/>
  <c r="F578" i="4"/>
  <c r="F497" i="4"/>
  <c r="F582" i="4"/>
  <c r="F436" i="4"/>
  <c r="F550" i="4"/>
  <c r="F457" i="4"/>
  <c r="F416" i="4"/>
  <c r="F406" i="4"/>
  <c r="F434" i="4"/>
  <c r="F439" i="4"/>
  <c r="F533" i="4"/>
  <c r="F594" i="4"/>
  <c r="F461" i="4"/>
  <c r="F484" i="4"/>
  <c r="F432" i="4"/>
  <c r="F551" i="4"/>
  <c r="F542" i="4"/>
  <c r="F446" i="4"/>
  <c r="F556" i="4"/>
  <c r="F545" i="4"/>
  <c r="F515" i="4"/>
  <c r="F520" i="4"/>
  <c r="F482" i="4"/>
  <c r="F473" i="4"/>
  <c r="F558" i="4"/>
  <c r="F412" i="4"/>
  <c r="F474" i="4"/>
  <c r="F465" i="4"/>
  <c r="F479" i="4"/>
  <c r="F573" i="4"/>
  <c r="F435" i="4"/>
  <c r="F576" i="4"/>
  <c r="F466" i="4"/>
  <c r="F471" i="4"/>
  <c r="F565" i="4"/>
  <c r="F577" i="4"/>
  <c r="F591" i="4"/>
  <c r="F429" i="4"/>
  <c r="F583" i="4"/>
  <c r="F444" i="4"/>
  <c r="F433" i="4"/>
  <c r="F518" i="4"/>
  <c r="F517" i="4"/>
  <c r="F532" i="4"/>
  <c r="F448" i="4"/>
  <c r="F469" i="4"/>
  <c r="F587" i="4"/>
  <c r="F536" i="4"/>
  <c r="F559" i="4"/>
  <c r="F420" i="4"/>
  <c r="F487" i="4"/>
  <c r="F581" i="4"/>
  <c r="F443" i="4"/>
  <c r="F456" i="4"/>
  <c r="F486" i="4"/>
  <c r="F596" i="4"/>
  <c r="F478" i="4"/>
  <c r="F588" i="4"/>
  <c r="F513" i="4"/>
  <c r="F598" i="4"/>
  <c r="F452" i="4"/>
  <c r="F483" i="4"/>
  <c r="F505" i="4"/>
  <c r="F590" i="4"/>
  <c r="F475" i="4"/>
  <c r="F424" i="4"/>
  <c r="F442" i="4"/>
  <c r="F447" i="4"/>
  <c r="F541" i="4"/>
  <c r="F403" i="4"/>
  <c r="F490" i="4"/>
  <c r="F538" i="4"/>
  <c r="F524" i="4"/>
  <c r="F547" i="4"/>
  <c r="F506" i="4"/>
  <c r="F605" i="4"/>
  <c r="F477" i="4"/>
  <c r="F526" i="4"/>
  <c r="F569" i="4"/>
  <c r="F441" i="4"/>
  <c r="F419" i="4"/>
  <c r="F411" i="4"/>
  <c r="F511" i="4"/>
  <c r="F549" i="4"/>
  <c r="F421" i="4"/>
  <c r="F467" i="4"/>
  <c r="F554" i="4"/>
  <c r="F539" i="4"/>
  <c r="F595" i="4"/>
  <c r="G554" i="4"/>
  <c r="G555" i="4"/>
  <c r="G433" i="4"/>
  <c r="G504" i="4"/>
  <c r="G583" i="4"/>
  <c r="G412" i="4"/>
  <c r="G447" i="4"/>
  <c r="G534" i="4"/>
  <c r="G460" i="4"/>
  <c r="G556" i="4"/>
  <c r="G557" i="4"/>
  <c r="G538" i="4"/>
  <c r="G601" i="4"/>
  <c r="G485" i="4"/>
  <c r="G444" i="4"/>
  <c r="G404" i="4"/>
  <c r="G515" i="4"/>
  <c r="G443" i="4"/>
  <c r="G529" i="4"/>
  <c r="G413" i="4"/>
  <c r="G458" i="4"/>
  <c r="G479" i="4"/>
  <c r="G566" i="4"/>
  <c r="G603" i="4"/>
  <c r="G407" i="4"/>
  <c r="G494" i="4"/>
  <c r="G589" i="4"/>
  <c r="G569" i="4"/>
  <c r="G453" i="4"/>
  <c r="G570" i="4"/>
  <c r="G421" i="4"/>
  <c r="G502" i="4"/>
  <c r="G442" i="4"/>
  <c r="G459" i="4"/>
  <c r="G440" i="4"/>
  <c r="G519" i="4"/>
  <c r="G548" i="4"/>
  <c r="G470" i="4"/>
  <c r="G565" i="4"/>
  <c r="G587" i="4"/>
  <c r="G436" i="4"/>
  <c r="G562" i="4"/>
  <c r="G595" i="4"/>
  <c r="G563" i="4"/>
  <c r="G455" i="4"/>
  <c r="G475" i="4"/>
  <c r="G406" i="4"/>
  <c r="G501" i="4"/>
  <c r="G466" i="4"/>
  <c r="G545" i="4"/>
  <c r="G429" i="4"/>
  <c r="G490" i="4"/>
  <c r="G564" i="4"/>
  <c r="G473" i="4"/>
  <c r="G544" i="4"/>
  <c r="G536" i="4"/>
  <c r="G438" i="4"/>
  <c r="G533" i="4"/>
  <c r="G539" i="4"/>
  <c r="G461" i="4"/>
  <c r="G482" i="4"/>
  <c r="G578" i="4"/>
  <c r="G441" i="4"/>
  <c r="G512" i="4"/>
  <c r="G591" i="4"/>
  <c r="G499" i="4"/>
  <c r="G423" i="4"/>
  <c r="G457" i="4"/>
  <c r="G571" i="4"/>
  <c r="G542" i="4"/>
  <c r="G579" i="4"/>
  <c r="G437" i="4"/>
  <c r="G547" i="4"/>
  <c r="G514" i="4"/>
  <c r="G481" i="4"/>
  <c r="G552" i="4"/>
  <c r="G530" i="4"/>
  <c r="G491" i="4"/>
  <c r="G409" i="4"/>
  <c r="G480" i="4"/>
  <c r="G559" i="4"/>
  <c r="G467" i="4"/>
  <c r="G468" i="4"/>
  <c r="G472" i="4"/>
  <c r="G551" i="4"/>
  <c r="G585" i="4"/>
  <c r="G469" i="4"/>
  <c r="G577" i="4"/>
  <c r="G586" i="4"/>
  <c r="G448" i="4"/>
  <c r="G527" i="4"/>
  <c r="G518" i="4"/>
  <c r="G605" i="4"/>
  <c r="G528" i="4"/>
  <c r="G478" i="4"/>
  <c r="G573" i="4"/>
  <c r="G483" i="4"/>
  <c r="G553" i="4"/>
  <c r="G522" i="4"/>
  <c r="G417" i="4"/>
  <c r="G488" i="4"/>
  <c r="G567" i="4"/>
  <c r="G508" i="4"/>
  <c r="G416" i="4"/>
  <c r="G495" i="4"/>
  <c r="G582" i="4"/>
  <c r="G476" i="4"/>
  <c r="G408" i="4"/>
  <c r="G487" i="4"/>
  <c r="G574" i="4"/>
  <c r="G492" i="4"/>
  <c r="G435" i="4"/>
  <c r="G521" i="4"/>
  <c r="G592" i="4"/>
  <c r="G405" i="4"/>
  <c r="G427" i="4"/>
  <c r="G513" i="4"/>
  <c r="G584" i="4"/>
  <c r="G463" i="4"/>
  <c r="G414" i="4"/>
  <c r="G572" i="4"/>
  <c r="G510" i="4"/>
  <c r="G498" i="4"/>
  <c r="G509" i="4"/>
  <c r="G604" i="4"/>
  <c r="G403" i="4"/>
  <c r="G489" i="4"/>
  <c r="G560" i="4"/>
  <c r="G424" i="4"/>
  <c r="G503" i="4"/>
  <c r="G590" i="4"/>
  <c r="G431" i="4"/>
  <c r="G580" i="4"/>
  <c r="G506" i="4"/>
  <c r="G600" i="4"/>
  <c r="G561" i="4"/>
  <c r="G445" i="4"/>
  <c r="G434" i="4"/>
  <c r="G532" i="4"/>
  <c r="G425" i="4"/>
  <c r="G496" i="4"/>
  <c r="G575" i="4"/>
  <c r="G439" i="4"/>
  <c r="G526" i="4"/>
  <c r="G507" i="4"/>
  <c r="G602" i="4"/>
  <c r="G454" i="4"/>
  <c r="G484" i="4"/>
  <c r="G446" i="4"/>
  <c r="G541" i="4"/>
  <c r="G464" i="4"/>
  <c r="G596" i="4"/>
  <c r="G456" i="4"/>
  <c r="G535" i="4"/>
  <c r="G410" i="4"/>
  <c r="G516" i="4"/>
  <c r="G486" i="4"/>
  <c r="G581" i="4"/>
  <c r="G415" i="4"/>
  <c r="G420" i="4"/>
  <c r="G411" i="4"/>
  <c r="G497" i="4"/>
  <c r="G568" i="4"/>
  <c r="G594" i="4"/>
  <c r="G540" i="4"/>
  <c r="G432" i="4"/>
  <c r="G511" i="4"/>
  <c r="G598" i="4"/>
  <c r="G452" i="4"/>
  <c r="G462" i="4"/>
  <c r="G426" i="4"/>
  <c r="G549" i="4"/>
  <c r="G588" i="4"/>
  <c r="G593" i="4"/>
  <c r="G477" i="4"/>
  <c r="G523" i="4"/>
  <c r="G450" i="4"/>
  <c r="G543" i="4"/>
  <c r="G500" i="4"/>
  <c r="G418" i="4"/>
  <c r="G471" i="4"/>
  <c r="G558" i="4"/>
  <c r="G524" i="4"/>
  <c r="G422" i="4"/>
  <c r="G517" i="4"/>
  <c r="G493" i="4"/>
  <c r="G537" i="4"/>
  <c r="G546" i="4"/>
  <c r="G465" i="4"/>
  <c r="G449" i="4"/>
  <c r="G419" i="4"/>
  <c r="G550" i="4"/>
  <c r="G505" i="4"/>
  <c r="G599" i="4"/>
  <c r="G451" i="4"/>
  <c r="G525" i="4"/>
  <c r="G474" i="4"/>
  <c r="G576" i="4"/>
  <c r="G520" i="4"/>
  <c r="G428" i="4"/>
  <c r="G531" i="4"/>
  <c r="G597" i="4"/>
  <c r="G430" i="4"/>
  <c r="F124" i="4"/>
  <c r="F402" i="4"/>
  <c r="F321" i="4"/>
  <c r="F291" i="4"/>
  <c r="F76" i="4"/>
  <c r="F234" i="4"/>
  <c r="F127" i="4"/>
  <c r="F179" i="4"/>
  <c r="F47" i="4"/>
  <c r="F79" i="4"/>
  <c r="F49" i="4"/>
  <c r="F188" i="4"/>
  <c r="F200" i="4"/>
  <c r="F382" i="4"/>
  <c r="F148" i="4"/>
  <c r="F335" i="4"/>
  <c r="F166" i="4"/>
  <c r="F357" i="4"/>
  <c r="F272" i="4"/>
  <c r="F51" i="4"/>
  <c r="F70" i="4"/>
  <c r="F336" i="4"/>
  <c r="F135" i="4"/>
  <c r="F360" i="4"/>
  <c r="F355" i="4"/>
  <c r="F318" i="4"/>
  <c r="F305" i="4"/>
  <c r="F181" i="4"/>
  <c r="F159" i="4"/>
  <c r="F54" i="4"/>
  <c r="F303" i="4"/>
  <c r="F18" i="4"/>
  <c r="F140" i="4"/>
  <c r="F142" i="4"/>
  <c r="F20" i="4"/>
  <c r="F340" i="4"/>
  <c r="F233" i="4"/>
  <c r="F119" i="4"/>
  <c r="F276" i="4"/>
  <c r="F278" i="4"/>
  <c r="F363" i="4"/>
  <c r="F254" i="4"/>
  <c r="F342" i="4"/>
  <c r="F82" i="4"/>
  <c r="F377" i="4"/>
  <c r="F45" i="4"/>
  <c r="F10" i="4"/>
  <c r="F258" i="4"/>
  <c r="F274" i="4"/>
  <c r="F210" i="4"/>
  <c r="F389" i="4"/>
  <c r="F324" i="4"/>
  <c r="F132" i="4"/>
  <c r="F199" i="4"/>
  <c r="F117" i="4"/>
  <c r="F13" i="4"/>
  <c r="F145" i="4"/>
  <c r="F85" i="4"/>
  <c r="F361" i="4"/>
  <c r="F162" i="4"/>
  <c r="F379" i="4"/>
  <c r="F373" i="4"/>
  <c r="F271" i="4"/>
  <c r="F313" i="4"/>
  <c r="F36" i="4"/>
  <c r="F108" i="4"/>
  <c r="F209" i="4"/>
  <c r="F370" i="4"/>
  <c r="F29" i="4"/>
  <c r="F125" i="4"/>
  <c r="F61" i="4"/>
  <c r="F102" i="4"/>
  <c r="F216" i="4"/>
  <c r="F322" i="4"/>
  <c r="F218" i="4"/>
  <c r="F83" i="4"/>
  <c r="F178" i="4"/>
  <c r="F141" i="4"/>
  <c r="F43" i="4"/>
  <c r="F302" i="4"/>
  <c r="F71" i="4"/>
  <c r="F177" i="4"/>
  <c r="F35" i="4"/>
  <c r="F198" i="4"/>
  <c r="F397" i="4"/>
  <c r="F48" i="4"/>
  <c r="F285" i="4"/>
  <c r="F261" i="4"/>
  <c r="F267" i="4"/>
  <c r="F153" i="4"/>
  <c r="F222" i="4"/>
  <c r="F401" i="4"/>
  <c r="F150" i="4"/>
  <c r="F217" i="4"/>
  <c r="F190" i="4"/>
  <c r="G251" i="4"/>
  <c r="G133" i="4"/>
  <c r="G338" i="4"/>
  <c r="G195" i="4"/>
  <c r="G297" i="4"/>
  <c r="G232" i="4"/>
  <c r="G267" i="4"/>
  <c r="G47" i="4"/>
  <c r="G107" i="4"/>
  <c r="G150" i="4"/>
  <c r="G377" i="4"/>
  <c r="G125" i="4"/>
  <c r="G129" i="4"/>
  <c r="G27" i="4"/>
  <c r="G180" i="4"/>
  <c r="G372" i="4"/>
  <c r="G357" i="4"/>
  <c r="G376" i="4"/>
  <c r="F257" i="4"/>
  <c r="G184" i="4"/>
  <c r="G210" i="4"/>
  <c r="G370" i="4"/>
  <c r="G293" i="4"/>
  <c r="G365" i="4"/>
  <c r="G255" i="4"/>
  <c r="G165" i="4"/>
  <c r="G15" i="4"/>
  <c r="G70" i="4"/>
  <c r="G21" i="4"/>
  <c r="G183" i="4"/>
  <c r="G110" i="4"/>
  <c r="G74" i="4"/>
  <c r="G136" i="4"/>
  <c r="F98" i="4"/>
  <c r="G63" i="4"/>
  <c r="G127" i="4"/>
  <c r="G252" i="4"/>
  <c r="G270" i="4"/>
  <c r="G42" i="4"/>
  <c r="G215" i="4"/>
  <c r="G355" i="4"/>
  <c r="G389" i="4"/>
  <c r="G379" i="4"/>
  <c r="G9" i="4"/>
  <c r="G101" i="4"/>
  <c r="G118" i="4"/>
  <c r="G396" i="4"/>
  <c r="G181" i="4"/>
  <c r="G368" i="4"/>
  <c r="G17" i="4"/>
  <c r="G208" i="4"/>
  <c r="G114" i="4"/>
  <c r="F130" i="4"/>
  <c r="G168" i="4"/>
  <c r="G65" i="4"/>
  <c r="G340" i="4"/>
  <c r="G117" i="4"/>
  <c r="G131" i="4"/>
  <c r="G226" i="4"/>
  <c r="G98" i="4"/>
  <c r="G132" i="4"/>
  <c r="G236" i="4"/>
  <c r="G202" i="4"/>
  <c r="G246" i="4"/>
  <c r="G382" i="4"/>
  <c r="G342" i="4"/>
  <c r="G142" i="4"/>
  <c r="G209" i="4"/>
  <c r="G310" i="4"/>
  <c r="G326" i="4"/>
  <c r="G22" i="4"/>
  <c r="G301" i="4"/>
  <c r="G262" i="4"/>
  <c r="G79" i="4"/>
  <c r="F100" i="4"/>
  <c r="F25" i="4"/>
  <c r="F147" i="4"/>
  <c r="F283" i="4"/>
  <c r="G188" i="4"/>
  <c r="G401" i="4"/>
  <c r="G185" i="4"/>
  <c r="G99" i="4"/>
  <c r="G33" i="4"/>
  <c r="G222" i="4"/>
  <c r="G335" i="4"/>
  <c r="G349" i="4"/>
  <c r="M17" i="4"/>
  <c r="N17" i="4" s="1"/>
  <c r="G234" i="4"/>
  <c r="G170" i="4"/>
  <c r="G23" i="4"/>
  <c r="G331" i="4"/>
  <c r="G135" i="4"/>
  <c r="G278" i="4"/>
  <c r="F143" i="4"/>
  <c r="G49" i="4"/>
  <c r="G102" i="4"/>
  <c r="F136" i="4"/>
  <c r="F144" i="4"/>
  <c r="G163" i="4"/>
  <c r="F279" i="4"/>
  <c r="G186" i="4"/>
  <c r="G213" i="4"/>
  <c r="G302" i="4"/>
  <c r="G119" i="4"/>
  <c r="G395" i="4"/>
  <c r="G46" i="4"/>
  <c r="G397" i="4"/>
  <c r="G115" i="4"/>
  <c r="G329" i="4"/>
  <c r="G298" i="4"/>
  <c r="G300" i="4"/>
  <c r="G375" i="4"/>
  <c r="G85" i="4"/>
  <c r="G124" i="4"/>
  <c r="G230" i="4"/>
  <c r="F120" i="4"/>
  <c r="F7" i="4"/>
  <c r="F353" i="4"/>
  <c r="F170" i="4"/>
  <c r="F65" i="4"/>
  <c r="M14" i="4"/>
  <c r="N14" i="4" s="1"/>
  <c r="G350" i="4"/>
  <c r="F392" i="4"/>
  <c r="G299" i="4"/>
  <c r="F157" i="4"/>
  <c r="G155" i="4"/>
  <c r="G25" i="4"/>
  <c r="F131" i="4"/>
  <c r="F95" i="4"/>
  <c r="F38" i="4"/>
  <c r="F366" i="4"/>
  <c r="G64" i="4"/>
  <c r="G353" i="4"/>
  <c r="F14" i="4"/>
  <c r="F129" i="4"/>
  <c r="F249" i="4"/>
  <c r="F298" i="4"/>
  <c r="F287" i="4"/>
  <c r="G173" i="4"/>
  <c r="G32" i="4"/>
  <c r="G336" i="4"/>
  <c r="G13" i="4"/>
  <c r="G56" i="4"/>
  <c r="F294" i="4"/>
  <c r="F300" i="4"/>
  <c r="G108" i="4"/>
  <c r="F246" i="4"/>
  <c r="F226" i="4"/>
  <c r="F172" i="4"/>
  <c r="F372" i="4"/>
  <c r="F329" i="4"/>
  <c r="F46" i="4"/>
  <c r="F30" i="4"/>
  <c r="G283" i="4"/>
  <c r="F167" i="4"/>
  <c r="G166" i="4"/>
  <c r="F244" i="4"/>
  <c r="F365" i="4"/>
  <c r="F27" i="4"/>
  <c r="F176" i="4"/>
  <c r="G112" i="4"/>
  <c r="G242" i="4"/>
  <c r="G205" i="4"/>
  <c r="F349" i="4"/>
  <c r="F259" i="4"/>
  <c r="F214" i="4"/>
  <c r="F39" i="4"/>
  <c r="F197" i="4"/>
  <c r="F72" i="4"/>
  <c r="G322" i="4"/>
  <c r="G344" i="4"/>
  <c r="G130" i="4"/>
  <c r="G391" i="4"/>
  <c r="G29" i="4"/>
  <c r="G28" i="4"/>
  <c r="G332" i="4"/>
  <c r="G351" i="4"/>
  <c r="G122" i="4"/>
  <c r="F354" i="4"/>
  <c r="G235" i="4"/>
  <c r="F133" i="4"/>
  <c r="F31" i="4"/>
  <c r="F255" i="4"/>
  <c r="G86" i="4"/>
  <c r="F23" i="4"/>
  <c r="G162" i="4"/>
  <c r="F247" i="4"/>
  <c r="F344" i="4"/>
  <c r="G371" i="4"/>
  <c r="G367" i="4"/>
  <c r="F346" i="4"/>
  <c r="F235" i="4"/>
  <c r="F288" i="4"/>
  <c r="G158" i="4"/>
  <c r="G312" i="4"/>
  <c r="G280" i="4"/>
  <c r="F282" i="4"/>
  <c r="F44" i="4"/>
  <c r="G309" i="4"/>
  <c r="F103" i="4"/>
  <c r="G50" i="4"/>
  <c r="G369" i="4"/>
  <c r="F208" i="4"/>
  <c r="F66" i="4"/>
  <c r="F16" i="4"/>
  <c r="G206" i="4"/>
  <c r="F221" i="4"/>
  <c r="G87" i="4"/>
  <c r="F251" i="4"/>
  <c r="F240" i="4"/>
  <c r="F266" i="4"/>
  <c r="G328" i="4"/>
  <c r="F37" i="4"/>
  <c r="F227" i="4"/>
  <c r="F223" i="4"/>
  <c r="F180" i="4"/>
  <c r="F154" i="4"/>
  <c r="G264" i="4"/>
  <c r="G16" i="4"/>
  <c r="F158" i="4"/>
  <c r="G140" i="4"/>
  <c r="F394" i="4"/>
  <c r="G358" i="4"/>
  <c r="G248" i="4"/>
  <c r="F308" i="4"/>
  <c r="G269" i="4"/>
  <c r="F163" i="4"/>
  <c r="F332" i="4"/>
  <c r="F57" i="4"/>
  <c r="G152" i="4"/>
  <c r="F399" i="4"/>
  <c r="G69" i="4"/>
  <c r="G55" i="4"/>
  <c r="G14" i="4"/>
  <c r="G244" i="4"/>
  <c r="G109" i="4"/>
  <c r="G305" i="4"/>
  <c r="G59" i="4"/>
  <c r="G61" i="4"/>
  <c r="G11" i="4"/>
  <c r="G30" i="4"/>
  <c r="G281" i="4"/>
  <c r="F243" i="4"/>
  <c r="G228" i="4"/>
  <c r="F351" i="4"/>
  <c r="G327" i="4"/>
  <c r="F369" i="4"/>
  <c r="G144" i="4"/>
  <c r="G62" i="4"/>
  <c r="F56" i="4"/>
  <c r="F34" i="4"/>
  <c r="F292" i="4"/>
  <c r="F385" i="4"/>
  <c r="F58" i="4"/>
  <c r="F195" i="4"/>
  <c r="G207" i="4"/>
  <c r="G194" i="4"/>
  <c r="F201" i="4"/>
  <c r="F262" i="4"/>
  <c r="F63" i="4"/>
  <c r="F256" i="4"/>
  <c r="F194" i="4"/>
  <c r="F348" i="4"/>
  <c r="G95" i="4"/>
  <c r="F211" i="4"/>
  <c r="G91" i="4"/>
  <c r="G137" i="4"/>
  <c r="F62" i="4"/>
  <c r="G290" i="4"/>
  <c r="F245" i="4"/>
  <c r="G138" i="4"/>
  <c r="G179" i="4"/>
  <c r="F78" i="4"/>
  <c r="G364" i="4"/>
  <c r="G219" i="4"/>
  <c r="G73" i="4"/>
  <c r="F126" i="4"/>
  <c r="F264" i="4"/>
  <c r="G249" i="4"/>
  <c r="F90" i="4"/>
  <c r="F265" i="4"/>
  <c r="G204" i="4"/>
  <c r="F296" i="4"/>
  <c r="F24" i="4"/>
  <c r="F228" i="4"/>
  <c r="F113" i="4"/>
  <c r="G306" i="4"/>
  <c r="G347" i="4"/>
  <c r="F174" i="4"/>
  <c r="F122" i="4"/>
  <c r="F320" i="4"/>
  <c r="G384" i="4"/>
  <c r="G154" i="4"/>
  <c r="F134" i="4"/>
  <c r="G388" i="4"/>
  <c r="G45" i="4"/>
  <c r="G200" i="4"/>
  <c r="G172" i="4"/>
  <c r="G141" i="4"/>
  <c r="G40" i="4"/>
  <c r="G294" i="4"/>
  <c r="G258" i="4"/>
  <c r="G231" i="4"/>
  <c r="G279" i="4"/>
  <c r="F386" i="4"/>
  <c r="F28" i="4"/>
  <c r="F237" i="4"/>
  <c r="G35" i="4"/>
  <c r="G373" i="4"/>
  <c r="G307" i="4"/>
  <c r="G276" i="4"/>
  <c r="F333" i="4"/>
  <c r="F310" i="4"/>
  <c r="G169" i="4"/>
  <c r="G192" i="4"/>
  <c r="G83" i="4"/>
  <c r="G72" i="4"/>
  <c r="G386" i="4"/>
  <c r="G176" i="4"/>
  <c r="F84" i="4"/>
  <c r="F388" i="4"/>
  <c r="F275" i="4"/>
  <c r="F96" i="4"/>
  <c r="F398" i="4"/>
  <c r="G381" i="4"/>
  <c r="G217" i="4"/>
  <c r="F241" i="4"/>
  <c r="F381" i="4"/>
  <c r="F73" i="4"/>
  <c r="F139" i="4"/>
  <c r="G383" i="4"/>
  <c r="G20" i="4"/>
  <c r="F17" i="4"/>
  <c r="G229" i="4"/>
  <c r="G77" i="4"/>
  <c r="F203" i="4"/>
  <c r="G7" i="4"/>
  <c r="F341" i="4"/>
  <c r="G201" i="4"/>
  <c r="G6" i="4"/>
  <c r="F138" i="4"/>
  <c r="F77" i="4"/>
  <c r="F286" i="4"/>
  <c r="F189" i="4"/>
  <c r="F6" i="4"/>
  <c r="F284" i="4"/>
  <c r="F191" i="4"/>
  <c r="F281" i="4"/>
  <c r="F252" i="4"/>
  <c r="F67" i="4"/>
  <c r="G123" i="4"/>
  <c r="G196" i="4"/>
  <c r="F347" i="4"/>
  <c r="G161" i="4"/>
  <c r="F395" i="4"/>
  <c r="F290" i="4"/>
  <c r="F80" i="4"/>
  <c r="G296" i="4"/>
  <c r="F152" i="4"/>
  <c r="F202" i="4"/>
  <c r="F64" i="4"/>
  <c r="G348" i="4"/>
  <c r="G92" i="4"/>
  <c r="F206" i="4"/>
  <c r="G216" i="4"/>
  <c r="G105" i="4"/>
  <c r="G19" i="4"/>
  <c r="G153" i="4"/>
  <c r="G174" i="4"/>
  <c r="G212" i="4"/>
  <c r="G38" i="4"/>
  <c r="G145" i="4"/>
  <c r="G272" i="4"/>
  <c r="G128" i="4"/>
  <c r="G274" i="4"/>
  <c r="G24" i="4"/>
  <c r="G44" i="4"/>
  <c r="G345" i="4"/>
  <c r="G227" i="4"/>
  <c r="G100" i="4"/>
  <c r="G341" i="4"/>
  <c r="F400" i="4"/>
  <c r="G385" i="4"/>
  <c r="G247" i="4"/>
  <c r="G259" i="4"/>
  <c r="G116" i="4"/>
  <c r="G53" i="4"/>
  <c r="G88" i="4"/>
  <c r="G71" i="4"/>
  <c r="G285" i="4"/>
  <c r="G218" i="4"/>
  <c r="F325" i="4"/>
  <c r="F215" i="4"/>
  <c r="F293" i="4"/>
  <c r="G76" i="4"/>
  <c r="F311" i="4"/>
  <c r="G68" i="4"/>
  <c r="G147" i="4"/>
  <c r="G52" i="4"/>
  <c r="G254" i="4"/>
  <c r="F19" i="4"/>
  <c r="G238" i="4"/>
  <c r="G319" i="4"/>
  <c r="G282" i="4"/>
  <c r="F173" i="4"/>
  <c r="G12" i="4"/>
  <c r="F339" i="4"/>
  <c r="F111" i="4"/>
  <c r="F330" i="4"/>
  <c r="F168" i="4"/>
  <c r="F86" i="4"/>
  <c r="F367" i="4"/>
  <c r="F81" i="4"/>
  <c r="F137" i="4"/>
  <c r="G78" i="4"/>
  <c r="G323" i="4"/>
  <c r="G399" i="4"/>
  <c r="F104" i="4"/>
  <c r="F364" i="4"/>
  <c r="F69" i="4"/>
  <c r="G284" i="4"/>
  <c r="G374" i="4"/>
  <c r="G191" i="4"/>
  <c r="G37" i="4"/>
  <c r="F114" i="4"/>
  <c r="F42" i="4"/>
  <c r="F358" i="4"/>
  <c r="G337" i="4"/>
  <c r="F359" i="4"/>
  <c r="F187" i="4"/>
  <c r="F185" i="4"/>
  <c r="G295" i="4"/>
  <c r="G167" i="4"/>
  <c r="F171" i="4"/>
  <c r="G266" i="4"/>
  <c r="F273" i="4"/>
  <c r="F106" i="4"/>
  <c r="F334" i="4"/>
  <c r="G193" i="4"/>
  <c r="F160" i="4"/>
  <c r="G288" i="4"/>
  <c r="G93" i="4"/>
  <c r="F393" i="4"/>
  <c r="F207" i="4"/>
  <c r="F323" i="4"/>
  <c r="F239" i="4"/>
  <c r="F289" i="4"/>
  <c r="M16" i="4"/>
  <c r="N16" i="4" s="1"/>
  <c r="G325" i="4"/>
  <c r="G265" i="4"/>
  <c r="G58" i="4"/>
  <c r="G177" i="4"/>
  <c r="G31" i="4"/>
  <c r="G159" i="4"/>
  <c r="G378" i="4"/>
  <c r="F326" i="4"/>
  <c r="G106" i="4"/>
  <c r="F22" i="4"/>
  <c r="F116" i="4"/>
  <c r="F387" i="4"/>
  <c r="G90" i="4"/>
  <c r="G67" i="4"/>
  <c r="F149" i="4"/>
  <c r="G334" i="4"/>
  <c r="F350" i="4"/>
  <c r="F238" i="4"/>
  <c r="F183" i="4"/>
  <c r="F263" i="4"/>
  <c r="F319" i="4"/>
  <c r="F306" i="4"/>
  <c r="G256" i="4"/>
  <c r="F193" i="4"/>
  <c r="G257" i="4"/>
  <c r="G390" i="4"/>
  <c r="F390" i="4"/>
  <c r="F280" i="4"/>
  <c r="G94" i="4"/>
  <c r="G96" i="4"/>
  <c r="F232" i="4"/>
  <c r="F204" i="4"/>
  <c r="F356" i="4"/>
  <c r="G203" i="4"/>
  <c r="G291" i="4"/>
  <c r="F107" i="4"/>
  <c r="F277" i="4"/>
  <c r="G343" i="4"/>
  <c r="G321" i="4"/>
  <c r="F345" i="4"/>
  <c r="F328" i="4"/>
  <c r="F312" i="4"/>
  <c r="F8" i="4"/>
  <c r="G18" i="4"/>
  <c r="F362" i="4"/>
  <c r="F378" i="4"/>
  <c r="F161" i="4"/>
  <c r="F97" i="4"/>
  <c r="F196" i="4"/>
  <c r="F338" i="4"/>
  <c r="G89" i="4"/>
  <c r="F184" i="4"/>
  <c r="G41" i="4"/>
  <c r="F371" i="4"/>
  <c r="G392" i="4"/>
  <c r="F231" i="4"/>
  <c r="F12" i="4"/>
  <c r="G273" i="4"/>
  <c r="F115" i="4"/>
  <c r="F68" i="4"/>
  <c r="F186" i="4"/>
  <c r="F268" i="4"/>
  <c r="G237" i="4"/>
  <c r="G121" i="4"/>
  <c r="F331" i="4"/>
  <c r="F151" i="4"/>
  <c r="G189" i="4"/>
  <c r="F99" i="4"/>
  <c r="G143" i="4"/>
  <c r="G51" i="4"/>
  <c r="G250" i="4"/>
  <c r="G157" i="4"/>
  <c r="G393" i="4"/>
  <c r="G261" i="4"/>
  <c r="F307" i="4"/>
  <c r="G151" i="4"/>
  <c r="F368" i="4"/>
  <c r="F121" i="4"/>
  <c r="G225" i="4"/>
  <c r="G113" i="4"/>
  <c r="G314" i="4"/>
  <c r="G182" i="4"/>
  <c r="F224" i="4"/>
  <c r="F101" i="4"/>
  <c r="G352" i="4"/>
  <c r="F175" i="4"/>
  <c r="G160" i="4"/>
  <c r="F110" i="4"/>
  <c r="G171" i="4"/>
  <c r="F146" i="4"/>
  <c r="F343" i="4"/>
  <c r="F337" i="4"/>
  <c r="F297" i="4"/>
  <c r="F60" i="4"/>
  <c r="F316" i="4"/>
  <c r="G57" i="4"/>
  <c r="F87" i="4"/>
  <c r="G126" i="4"/>
  <c r="G104" i="4"/>
  <c r="G139" i="4"/>
  <c r="G400" i="4"/>
  <c r="G360" i="4"/>
  <c r="F112" i="4"/>
  <c r="F32" i="4"/>
  <c r="G146" i="4"/>
  <c r="F225" i="4"/>
  <c r="G84" i="4"/>
  <c r="F205" i="4"/>
  <c r="F396" i="4"/>
  <c r="G260" i="4"/>
  <c r="F50" i="4"/>
  <c r="G134" i="4"/>
  <c r="G220" i="4"/>
  <c r="G120" i="4"/>
  <c r="G359" i="4"/>
  <c r="F94" i="4"/>
  <c r="F248" i="4"/>
  <c r="F391" i="4"/>
  <c r="M15" i="4"/>
  <c r="N15" i="4" s="1"/>
  <c r="G214" i="4"/>
  <c r="G199" i="4"/>
  <c r="G240" i="4"/>
  <c r="G66" i="4"/>
  <c r="G224" i="4"/>
  <c r="G366" i="4"/>
  <c r="G60" i="4"/>
  <c r="G10" i="4"/>
  <c r="G363" i="4"/>
  <c r="G263" i="4"/>
  <c r="G313" i="4"/>
  <c r="G317" i="4"/>
  <c r="F192" i="4"/>
  <c r="F33" i="4"/>
  <c r="F11" i="4"/>
  <c r="F52" i="4"/>
  <c r="G156" i="4"/>
  <c r="G178" i="4"/>
  <c r="G111" i="4"/>
  <c r="G243" i="4"/>
  <c r="G361" i="4"/>
  <c r="G354" i="4"/>
  <c r="F128" i="4"/>
  <c r="F376" i="4"/>
  <c r="F380" i="4"/>
  <c r="F375" i="4"/>
  <c r="G241" i="4"/>
  <c r="F327" i="4"/>
  <c r="G286" i="4"/>
  <c r="F118" i="4"/>
  <c r="G198" i="4"/>
  <c r="F21" i="4"/>
  <c r="F156" i="4"/>
  <c r="F250" i="4"/>
  <c r="F91" i="4"/>
  <c r="G316" i="4"/>
  <c r="F123" i="4"/>
  <c r="G346" i="4"/>
  <c r="F55" i="4"/>
  <c r="F242" i="4"/>
  <c r="G320" i="4"/>
  <c r="G8" i="4"/>
  <c r="F9" i="4"/>
  <c r="F219" i="4"/>
  <c r="G398" i="4"/>
  <c r="G164" i="4"/>
  <c r="F270" i="4"/>
  <c r="F15" i="4"/>
  <c r="G175" i="4"/>
  <c r="F164" i="4"/>
  <c r="G239" i="4"/>
  <c r="G233" i="4"/>
  <c r="F317" i="4"/>
  <c r="F40" i="4"/>
  <c r="F93" i="4"/>
  <c r="G268" i="4"/>
  <c r="F182" i="4"/>
  <c r="F212" i="4"/>
  <c r="F301" i="4"/>
  <c r="G43" i="4"/>
  <c r="G245" i="4"/>
  <c r="F269" i="4"/>
  <c r="G387" i="4"/>
  <c r="G26" i="4"/>
  <c r="F26" i="4"/>
  <c r="F41" i="4"/>
  <c r="G253" i="4"/>
  <c r="G339" i="4"/>
  <c r="G36" i="4"/>
  <c r="G287" i="4"/>
  <c r="F220" i="4"/>
  <c r="F304" i="4"/>
  <c r="G277" i="4"/>
  <c r="G211" i="4"/>
  <c r="G315" i="4"/>
  <c r="G149" i="4"/>
  <c r="G190" i="4"/>
  <c r="G75" i="4"/>
  <c r="G54" i="4"/>
  <c r="G223" i="4"/>
  <c r="G330" i="4"/>
  <c r="G394" i="4"/>
  <c r="G275" i="4"/>
  <c r="G380" i="4"/>
  <c r="G48" i="4"/>
  <c r="G311" i="4"/>
  <c r="G197" i="4"/>
  <c r="G39" i="4"/>
  <c r="F213" i="4"/>
  <c r="G82" i="4"/>
  <c r="F236" i="4"/>
  <c r="F88" i="4"/>
  <c r="F253" i="4"/>
  <c r="F260" i="4"/>
  <c r="G304" i="4"/>
  <c r="F295" i="4"/>
  <c r="F109" i="4"/>
  <c r="F165" i="4"/>
  <c r="F314" i="4"/>
  <c r="F229" i="4"/>
  <c r="G187" i="4"/>
  <c r="F75" i="4"/>
  <c r="F74" i="4"/>
  <c r="G356" i="4"/>
  <c r="G103" i="4"/>
  <c r="G318" i="4"/>
  <c r="G333" i="4"/>
  <c r="F315" i="4"/>
  <c r="G148" i="4"/>
  <c r="G324" i="4"/>
  <c r="G362" i="4"/>
  <c r="F230" i="4"/>
  <c r="F169" i="4"/>
  <c r="G289" i="4"/>
  <c r="G80" i="4"/>
  <c r="F383" i="4"/>
  <c r="F299" i="4"/>
  <c r="F155" i="4"/>
  <c r="F92" i="4"/>
  <c r="F384" i="4"/>
  <c r="G81" i="4"/>
  <c r="F309" i="4"/>
  <c r="G303" i="4"/>
  <c r="G34" i="4"/>
  <c r="F59" i="4"/>
  <c r="G97" i="4"/>
  <c r="F374" i="4"/>
  <c r="F352" i="4"/>
  <c r="F53" i="4"/>
  <c r="F89" i="4"/>
  <c r="G221" i="4"/>
  <c r="F105" i="4"/>
  <c r="G271" i="4"/>
  <c r="G292" i="4"/>
</calcChain>
</file>

<file path=xl/sharedStrings.xml><?xml version="1.0" encoding="utf-8"?>
<sst xmlns="http://schemas.openxmlformats.org/spreadsheetml/2006/main" count="50" uniqueCount="44">
  <si>
    <t>CustomerID</t>
  </si>
  <si>
    <t>Transaction Date</t>
  </si>
  <si>
    <t>Recency</t>
  </si>
  <si>
    <t>Transaction ID</t>
  </si>
  <si>
    <t>Date of Last Transaction</t>
  </si>
  <si>
    <t>Frequency</t>
  </si>
  <si>
    <t>Monetary</t>
  </si>
  <si>
    <t>Transaction Amount</t>
  </si>
  <si>
    <t>Customer Value</t>
  </si>
  <si>
    <t>Weights</t>
  </si>
  <si>
    <t>Metrics</t>
  </si>
  <si>
    <t>Average Frequency</t>
  </si>
  <si>
    <t>Average Recency</t>
  </si>
  <si>
    <t>Recency (months)</t>
  </si>
  <si>
    <t>Percentile</t>
  </si>
  <si>
    <t>Value</t>
  </si>
  <si>
    <t>Count</t>
  </si>
  <si>
    <t>Cutoff</t>
  </si>
  <si>
    <t>Value Color</t>
  </si>
  <si>
    <t>Customer Value Summary</t>
  </si>
  <si>
    <t>Most Valued</t>
  </si>
  <si>
    <t>Valued</t>
  </si>
  <si>
    <t>More Valued</t>
  </si>
  <si>
    <t>Gamma Distribution</t>
  </si>
  <si>
    <t>Enter Shape k</t>
  </si>
  <si>
    <t>Enter Scale Theta</t>
  </si>
  <si>
    <t>None</t>
  </si>
  <si>
    <r>
      <rPr>
        <i/>
        <sz val="11"/>
        <color theme="1"/>
        <rFont val="Calibri"/>
        <family val="2"/>
        <scheme val="minor"/>
      </rPr>
      <t>Monetary</t>
    </r>
    <r>
      <rPr>
        <sz val="11"/>
        <color theme="1"/>
        <rFont val="Calibri"/>
        <family val="2"/>
        <scheme val="minor"/>
      </rPr>
      <t xml:space="preserve"> is calculated as the maximum transaction amount by the customer divided by the average transaction amount</t>
    </r>
  </si>
  <si>
    <r>
      <rPr>
        <i/>
        <sz val="11"/>
        <color theme="1"/>
        <rFont val="Calibri"/>
        <family val="2"/>
        <scheme val="minor"/>
      </rPr>
      <t>Recency</t>
    </r>
    <r>
      <rPr>
        <sz val="11"/>
        <color theme="1"/>
        <rFont val="Calibri"/>
        <family val="2"/>
        <scheme val="minor"/>
      </rPr>
      <t xml:space="preserve"> is the number of months since the last transaction</t>
    </r>
  </si>
  <si>
    <r>
      <rPr>
        <i/>
        <sz val="11"/>
        <color theme="1"/>
        <rFont val="Calibri"/>
        <family val="2"/>
        <scheme val="minor"/>
      </rPr>
      <t>Frequency</t>
    </r>
    <r>
      <rPr>
        <sz val="11"/>
        <color theme="1"/>
        <rFont val="Calibri"/>
        <family val="2"/>
        <scheme val="minor"/>
      </rPr>
      <t xml:space="preserve"> is the number of distinct times a transaction was placed</t>
    </r>
  </si>
  <si>
    <t>Customer segmentation into valued, more valued, and most valued customers using a slight variation of the MRF method</t>
  </si>
  <si>
    <t>Average Transaction</t>
  </si>
  <si>
    <t>CustomerID Distribution</t>
  </si>
  <si>
    <t>Rounded Gamma Distribution</t>
  </si>
  <si>
    <t>Transaction Amount Distribution</t>
  </si>
  <si>
    <t>Old CustomerID</t>
  </si>
  <si>
    <t>Frequency (#transactions)</t>
  </si>
  <si>
    <t>Notes: Old CustomerID included to see probability distribution</t>
  </si>
  <si>
    <t>CustomerID is used to randomize order of Old CustomerID so that first few numbers after 400 aren't always the customers with highest value</t>
  </si>
  <si>
    <t>Enter Number of Transactions</t>
  </si>
  <si>
    <t>Random Numbers</t>
  </si>
  <si>
    <t>Formula Reference 1</t>
  </si>
  <si>
    <t>Number of Customers</t>
  </si>
  <si>
    <t xml:space="preserve">Simulated Transactions Data Using 600 Distinct Customers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</si>
</sst>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/>
    <xf numFmtId="14" fontId="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7" xfId="0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4" xfId="0" applyBorder="1"/>
    <xf numFmtId="0" fontId="0" fillId="0" borderId="6" xfId="0" applyBorder="1"/>
    <xf numFmtId="0" fontId="1" fillId="0" borderId="1" xfId="0" applyFont="1" applyBorder="1"/>
    <xf numFmtId="0" fontId="0" fillId="0" borderId="3" xfId="0" applyBorder="1"/>
    <xf numFmtId="0" fontId="1" fillId="0" borderId="6" xfId="0" applyFont="1" applyBorder="1"/>
    <xf numFmtId="0" fontId="0" fillId="0" borderId="8" xfId="0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0" xfId="0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22">
    <dxf>
      <fill>
        <patternFill>
          <bgColor theme="9" tint="0.39994506668294322"/>
        </patternFill>
      </fill>
    </dxf>
    <dxf>
      <fill>
        <patternFill>
          <fgColor theme="7" tint="-0.24994659260841701"/>
          <bgColor theme="6" tint="-0.24994659260841701"/>
        </patternFill>
      </fill>
    </dxf>
    <dxf>
      <fill>
        <patternFill>
          <bgColor theme="7" tint="-0.2499465926084170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numFmt numFmtId="19" formatCode="m/d/yyyy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Transaction Amounts 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Transaction Amounts Histogram</a:t>
          </a:r>
        </a:p>
      </cx:txPr>
    </cx:title>
    <cx:plotArea>
      <cx:plotAreaRegion>
        <cx:series layoutId="clusteredColumn" uniqueId="{BA38871A-BCA9-4ECD-86FC-5115C03EE61F}">
          <cx:tx>
            <cx:txData>
              <cx:f>_xlchart.v1.2</cx:f>
              <cx:v>Transaction Amount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Old CustomerID Histrogram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Old CustomerID Histrogram</a:t>
          </a:r>
        </a:p>
      </cx:txPr>
    </cx:title>
    <cx:plotArea>
      <cx:plotAreaRegion>
        <cx:series layoutId="clusteredColumn" uniqueId="{183CCA4C-E64C-4AB1-9FB9-A0F8131054CF}" formatIdx="0">
          <cx:tx>
            <cx:txData>
              <cx:f>_xlchart.v1.0</cx:f>
              <cx:v>Old CustomerID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525780</xdr:colOff>
      <xdr:row>14</xdr:row>
      <xdr:rowOff>15240</xdr:rowOff>
    </xdr:from>
    <xdr:to>
      <xdr:col>10</xdr:col>
      <xdr:colOff>381000</xdr:colOff>
      <xdr:row>26</xdr:row>
      <xdr:rowOff>60960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56220" y="2644140"/>
              <a:ext cx="3200400" cy="2240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594360</xdr:colOff>
      <xdr:row>14</xdr:row>
      <xdr:rowOff>22860</xdr:rowOff>
    </xdr:from>
    <xdr:to>
      <xdr:col>14</xdr:col>
      <xdr:colOff>457200</xdr:colOff>
      <xdr:row>26</xdr:row>
      <xdr:rowOff>60960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69980" y="2651760"/>
              <a:ext cx="3444240" cy="22326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281940</xdr:colOff>
          <xdr:row>5</xdr:row>
          <xdr:rowOff>160020</xdr:rowOff>
        </xdr:from>
        <xdr:to>
          <xdr:col>12</xdr:col>
          <xdr:colOff>304800</xdr:colOff>
          <xdr:row>9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Other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320040</xdr:colOff>
          <xdr:row>10</xdr:row>
          <xdr:rowOff>83820</xdr:rowOff>
        </xdr:from>
        <xdr:to>
          <xdr:col>12</xdr:col>
          <xdr:colOff>312420</xdr:colOff>
          <xdr:row>13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61981F6-47E9-4FFE-A61D-93B1EC18C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Transactions ID, Random Numbers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CFAC9B-C663-4A11-AB1A-09736197E21B}" name="Transactions" displayName="Transactions" ref="A1:F4000" totalsRowShown="0">
  <sortState xmlns:xlrd2="http://schemas.microsoft.com/office/spreadsheetml/2017/richdata2" ref="A2:F2669">
    <sortCondition ref="C1:C2669"/>
  </sortState>
  <tableColumns count="6">
    <tableColumn id="5" xr3:uid="{B4A0FAA8-F4F1-44C9-ACA5-41B5B8C3D697}" name="Transaction ID"/>
    <tableColumn id="7" xr3:uid="{1B8B0AAE-F93D-4FF5-832F-C96C778CD143}" name="Random Numbers" dataDxfId="21">
      <calculatedColumnFormula>RAND()</calculatedColumnFormula>
    </tableColumn>
    <tableColumn id="1" xr3:uid="{2B6B7DD7-EE2B-4A67-A199-D99E5A24EE3D}" name="Old CustomerID" dataDxfId="20" totalsRowDxfId="19"/>
    <tableColumn id="6" xr3:uid="{AB78FFC9-1AB3-4148-89DA-406A8BD309CD}" name="CustomerID" dataDxfId="18" totalsRowDxfId="17">
      <calculatedColumnFormula>VLOOKUP(SMALL($B$2:$B$601,C2),$B$2:$C$601,2,FALSE)</calculatedColumnFormula>
    </tableColumn>
    <tableColumn id="2" xr3:uid="{049DFE00-203B-4ACF-BD32-BE89B7D13493}" name="Transaction Date" dataDxfId="16" totalsRowDxfId="15">
      <calculatedColumnFormula>RANDBETWEEN("1/1/17","2/1/19")</calculatedColumnFormula>
    </tableColumn>
    <tableColumn id="3" xr3:uid="{9B3FBA3C-390E-41DE-BB54-EF10FAF31FB2}" name="Transaction Amount" dataDxfId="14" totalsRowDxfId="13">
      <calculatedColumnFormula>_xlfn.GAMMA.INV(RAND(),$J$6,$J$7)*100+3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6249BF-2431-4260-88AD-E5B917AECAC6}" name="Table2" displayName="Table2" ref="A5:H605" totalsRowShown="0" headerRowDxfId="12" dataDxfId="11">
  <autoFilter ref="A5:H605" xr:uid="{252802D1-6AC3-4F83-9627-E3C2F06A8ED9}"/>
  <sortState xmlns:xlrd2="http://schemas.microsoft.com/office/spreadsheetml/2017/richdata2" ref="A6:H401">
    <sortCondition descending="1" ref="H5:H401"/>
  </sortState>
  <tableColumns count="8">
    <tableColumn id="1" xr3:uid="{060FFEFE-BE72-46F8-8155-93B39D9F2788}" name="CustomerID" dataDxfId="10"/>
    <tableColumn id="2" xr3:uid="{0F5F91E0-A522-4EB7-82F9-1EB2EB727035}" name="Date of Last Transaction" dataDxfId="9">
      <calculatedColumnFormula>_xlfn.MAXIFS(Transactions[Transaction Date], Transactions[CustomerID],A6)</calculatedColumnFormula>
    </tableColumn>
    <tableColumn id="3" xr3:uid="{151FB733-8A16-4313-BDF4-884D14BFF93D}" name="Recency (months)" dataDxfId="8">
      <calculatedColumnFormula>(MAX(DATEDIF(B6,"03/01/2019","ym"),1))</calculatedColumnFormula>
    </tableColumn>
    <tableColumn id="4" xr3:uid="{4D3D9DC3-FF8E-4812-97FF-3179BAD3D8BD}" name="Frequency (#transactions)" dataDxfId="7">
      <calculatedColumnFormula>COUNTIF(Transactions[CustomerID],"="&amp;A6)</calculatedColumnFormula>
    </tableColumn>
    <tableColumn id="5" xr3:uid="{34BF0EC2-705F-4242-9BCB-DC0953DBB8A2}" name="Monetary" dataDxfId="6">
      <calculatedColumnFormula>_xlfn.MAXIFS(Transactions[Transaction Amount], Transactions[CustomerID],A6)/'Customer Profiles'!$M$10</calculatedColumnFormula>
    </tableColumn>
    <tableColumn id="6" xr3:uid="{1942F193-806F-447E-AF10-C4EB59781363}" name="Recency" dataDxfId="5">
      <calculatedColumnFormula>ROUND(C6/$M$8,2)</calculatedColumnFormula>
    </tableColumn>
    <tableColumn id="7" xr3:uid="{36FA8477-BC27-4F47-B1C4-7601056DA980}" name="Frequency" dataDxfId="4">
      <calculatedColumnFormula>ROUND(D6/$M$6,2)</calculatedColumnFormula>
    </tableColumn>
    <tableColumn id="8" xr3:uid="{0033F463-9AF5-4788-9D3D-9567522E2462}" name="Customer Value" dataDxfId="3">
      <calculatedColumnFormula>ROUND(C6*$K$6+D6*$K$7+E6*$K$8,2)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0F221-C983-4997-8141-1280DF97EC8E}">
  <sheetPr codeName="Sheet2"/>
  <dimension ref="A1:P4000"/>
  <sheetViews>
    <sheetView tabSelected="1" workbookViewId="0">
      <selection activeCell="C2" sqref="C2:C3"/>
    </sheetView>
  </sheetViews>
  <sheetFormatPr defaultRowHeight="14.4"/>
  <cols>
    <col min="1" max="2" width="16.88671875" customWidth="1"/>
    <col min="3" max="4" width="15.33203125" style="1" customWidth="1"/>
    <col min="5" max="5" width="19.6640625" style="2" bestFit="1" customWidth="1"/>
    <col min="6" max="6" width="22.77734375" style="6" bestFit="1" customWidth="1"/>
    <col min="8" max="8" width="7" bestFit="1" customWidth="1"/>
    <col min="9" max="9" width="18.77734375" bestFit="1" customWidth="1"/>
    <col min="10" max="10" width="14.109375" customWidth="1"/>
    <col min="12" max="12" width="26.44140625" bestFit="1" customWidth="1"/>
    <col min="13" max="13" width="8" bestFit="1" customWidth="1"/>
  </cols>
  <sheetData>
    <row r="1" spans="1:16" ht="17.399999999999999">
      <c r="A1" s="3" t="s">
        <v>3</v>
      </c>
      <c r="B1" s="3" t="s">
        <v>40</v>
      </c>
      <c r="C1" s="3" t="s">
        <v>35</v>
      </c>
      <c r="D1" s="3" t="s">
        <v>0</v>
      </c>
      <c r="E1" s="4" t="s">
        <v>1</v>
      </c>
      <c r="F1" s="5" t="s">
        <v>7</v>
      </c>
      <c r="H1" s="26" t="s">
        <v>43</v>
      </c>
      <c r="I1" s="26"/>
      <c r="J1" s="26"/>
      <c r="K1" s="26"/>
      <c r="L1" s="26"/>
      <c r="M1" s="26"/>
    </row>
    <row r="2" spans="1:16" ht="14.4" customHeight="1">
      <c r="A2" s="1">
        <v>9121300</v>
      </c>
      <c r="B2" s="1">
        <f t="shared" ref="B2:B65" ca="1" si="0">RAND()</f>
        <v>0.10855827215908809</v>
      </c>
      <c r="C2" s="1">
        <v>1</v>
      </c>
      <c r="D2" s="1">
        <f ca="1">VLOOKUP(SMALL($B$2:$B$601,C2),$B$2:$C$601,2,FALSE)</f>
        <v>474</v>
      </c>
      <c r="E2" s="2">
        <f ca="1">RANDBETWEEN("1/1/17","2/1/19")</f>
        <v>43186</v>
      </c>
      <c r="F2" s="6">
        <f ca="1">_xlfn.GAMMA.INV(RAND(),$J$6,$J$7)*100+3</f>
        <v>87.420768489877673</v>
      </c>
      <c r="H2" s="27" t="s">
        <v>37</v>
      </c>
      <c r="I2" s="27"/>
      <c r="J2" s="27"/>
      <c r="K2" s="27"/>
      <c r="L2" s="27"/>
      <c r="M2" s="27"/>
      <c r="N2" s="27"/>
      <c r="O2" s="27"/>
      <c r="P2" s="27"/>
    </row>
    <row r="3" spans="1:16">
      <c r="A3" s="1">
        <v>9121303</v>
      </c>
      <c r="B3" s="1">
        <f t="shared" ca="1" si="0"/>
        <v>0.39316618226173494</v>
      </c>
      <c r="C3" s="1">
        <v>2</v>
      </c>
      <c r="D3" s="1">
        <f t="shared" ref="D3:D66" ca="1" si="1">VLOOKUP(SMALL($B$2:$B$601,C3),$B$2:$C$601,2,FALSE)</f>
        <v>30</v>
      </c>
      <c r="E3" s="2">
        <f t="shared" ref="E3:E66" ca="1" si="2">RANDBETWEEN("1/1/17","2/1/19")</f>
        <v>43135</v>
      </c>
      <c r="F3" s="6">
        <f t="shared" ref="F3:F66" ca="1" si="3">_xlfn.GAMMA.INV(RAND(),$J$6,$J$7)*100+3</f>
        <v>31.810409694347648</v>
      </c>
      <c r="H3" s="27" t="s">
        <v>38</v>
      </c>
      <c r="I3" s="27"/>
      <c r="J3" s="27"/>
      <c r="K3" s="27"/>
      <c r="L3" s="28"/>
      <c r="M3" s="27"/>
      <c r="N3" s="27"/>
      <c r="O3" s="27"/>
      <c r="P3" s="27"/>
    </row>
    <row r="4" spans="1:16" ht="15.6">
      <c r="A4" s="1">
        <v>9121306</v>
      </c>
      <c r="B4" s="1">
        <f t="shared" ca="1" si="0"/>
        <v>0.48803023229976106</v>
      </c>
      <c r="C4" s="1">
        <v>3</v>
      </c>
      <c r="D4" s="1">
        <f t="shared" ca="1" si="1"/>
        <v>263</v>
      </c>
      <c r="E4" s="2">
        <f t="shared" ca="1" si="2"/>
        <v>43257</v>
      </c>
      <c r="F4" s="6">
        <f t="shared" ca="1" si="3"/>
        <v>6.498998072897038</v>
      </c>
      <c r="I4" s="37" t="s">
        <v>34</v>
      </c>
      <c r="J4" s="38"/>
      <c r="L4" s="31" t="s">
        <v>39</v>
      </c>
      <c r="M4" s="32">
        <v>4000</v>
      </c>
    </row>
    <row r="5" spans="1:16">
      <c r="A5" s="1">
        <v>9121309</v>
      </c>
      <c r="B5" s="1">
        <f t="shared" ca="1" si="0"/>
        <v>0.98906751100388823</v>
      </c>
      <c r="C5" s="1">
        <v>4</v>
      </c>
      <c r="D5" s="1">
        <f t="shared" ca="1" si="1"/>
        <v>493</v>
      </c>
      <c r="E5" s="2">
        <f t="shared" ca="1" si="2"/>
        <v>42846</v>
      </c>
      <c r="F5" s="6">
        <f t="shared" ca="1" si="3"/>
        <v>11.493584547754622</v>
      </c>
      <c r="I5" s="35" t="s">
        <v>23</v>
      </c>
      <c r="J5" s="36"/>
      <c r="L5" s="33" t="s">
        <v>42</v>
      </c>
      <c r="M5" s="34">
        <v>600</v>
      </c>
    </row>
    <row r="6" spans="1:16">
      <c r="A6" s="1">
        <v>9121312</v>
      </c>
      <c r="B6" s="1">
        <f t="shared" ca="1" si="0"/>
        <v>0.32314210808637267</v>
      </c>
      <c r="C6" s="1">
        <v>5</v>
      </c>
      <c r="D6" s="1">
        <f t="shared" ca="1" si="1"/>
        <v>363</v>
      </c>
      <c r="E6" s="2">
        <f t="shared" ca="1" si="2"/>
        <v>43115</v>
      </c>
      <c r="F6" s="6">
        <f t="shared" ca="1" si="3"/>
        <v>67.883060675507039</v>
      </c>
      <c r="I6" s="29" t="s">
        <v>24</v>
      </c>
      <c r="J6" s="14">
        <v>0.5</v>
      </c>
    </row>
    <row r="7" spans="1:16">
      <c r="A7" s="1">
        <v>9121315</v>
      </c>
      <c r="B7" s="1">
        <f t="shared" ca="1" si="0"/>
        <v>0.72731769656396572</v>
      </c>
      <c r="C7" s="1">
        <v>6</v>
      </c>
      <c r="D7" s="1">
        <f t="shared" ca="1" si="1"/>
        <v>208</v>
      </c>
      <c r="E7" s="2">
        <f t="shared" ca="1" si="2"/>
        <v>43210</v>
      </c>
      <c r="F7" s="6">
        <f t="shared" ca="1" si="3"/>
        <v>3.4341728611600857</v>
      </c>
      <c r="I7" s="30" t="s">
        <v>25</v>
      </c>
      <c r="J7" s="19">
        <v>1</v>
      </c>
    </row>
    <row r="8" spans="1:16">
      <c r="A8" s="1">
        <v>9121318</v>
      </c>
      <c r="B8" s="1">
        <f t="shared" ca="1" si="0"/>
        <v>0.68077636867450042</v>
      </c>
      <c r="C8" s="1">
        <v>7</v>
      </c>
      <c r="D8" s="1">
        <f t="shared" ca="1" si="1"/>
        <v>138</v>
      </c>
      <c r="E8" s="2">
        <f t="shared" ca="1" si="2"/>
        <v>43004</v>
      </c>
      <c r="F8" s="6">
        <f t="shared" ca="1" si="3"/>
        <v>66.580754423595891</v>
      </c>
    </row>
    <row r="9" spans="1:16" ht="15.6">
      <c r="A9" s="1">
        <v>9121321</v>
      </c>
      <c r="B9" s="1">
        <f t="shared" ca="1" si="0"/>
        <v>0.52084198154156092</v>
      </c>
      <c r="C9" s="1">
        <v>8</v>
      </c>
      <c r="D9" s="1">
        <f t="shared" ca="1" si="1"/>
        <v>456</v>
      </c>
      <c r="E9" s="2">
        <f t="shared" ca="1" si="2"/>
        <v>42989</v>
      </c>
      <c r="F9" s="6">
        <f t="shared" ca="1" si="3"/>
        <v>81.658224234521569</v>
      </c>
      <c r="I9" s="37" t="s">
        <v>32</v>
      </c>
      <c r="J9" s="38"/>
    </row>
    <row r="10" spans="1:16">
      <c r="A10" s="1">
        <v>9121324</v>
      </c>
      <c r="B10" s="1">
        <f t="shared" ca="1" si="0"/>
        <v>0.73594223712689677</v>
      </c>
      <c r="C10" s="1">
        <v>9</v>
      </c>
      <c r="D10" s="1">
        <f t="shared" ca="1" si="1"/>
        <v>278</v>
      </c>
      <c r="E10" s="2">
        <f t="shared" ca="1" si="2"/>
        <v>43263</v>
      </c>
      <c r="F10" s="6">
        <f t="shared" ca="1" si="3"/>
        <v>13.781456418007611</v>
      </c>
      <c r="I10" s="35" t="s">
        <v>33</v>
      </c>
      <c r="J10" s="36"/>
    </row>
    <row r="11" spans="1:16">
      <c r="A11" s="1">
        <v>9121327</v>
      </c>
      <c r="B11" s="1">
        <f t="shared" ca="1" si="0"/>
        <v>0.42469492160730393</v>
      </c>
      <c r="C11" s="1">
        <v>10</v>
      </c>
      <c r="D11" s="1">
        <f t="shared" ca="1" si="1"/>
        <v>236</v>
      </c>
      <c r="E11" s="2">
        <f t="shared" ca="1" si="2"/>
        <v>42761</v>
      </c>
      <c r="F11" s="6">
        <f t="shared" ca="1" si="3"/>
        <v>62.72778417648982</v>
      </c>
      <c r="I11" s="29" t="s">
        <v>24</v>
      </c>
      <c r="J11" s="14">
        <v>0.5</v>
      </c>
    </row>
    <row r="12" spans="1:16">
      <c r="A12" s="1">
        <v>9121330</v>
      </c>
      <c r="B12" s="1">
        <f t="shared" ca="1" si="0"/>
        <v>0.73428695271694377</v>
      </c>
      <c r="C12" s="1">
        <v>11</v>
      </c>
      <c r="D12" s="1">
        <f t="shared" ca="1" si="1"/>
        <v>437</v>
      </c>
      <c r="E12" s="2">
        <f t="shared" ca="1" si="2"/>
        <v>43114</v>
      </c>
      <c r="F12" s="6">
        <f t="shared" ca="1" si="3"/>
        <v>184.51104710782718</v>
      </c>
      <c r="I12" s="30" t="s">
        <v>25</v>
      </c>
      <c r="J12" s="19">
        <v>1</v>
      </c>
    </row>
    <row r="13" spans="1:16">
      <c r="A13" s="1">
        <v>9121333</v>
      </c>
      <c r="B13" s="1">
        <f t="shared" ca="1" si="0"/>
        <v>0.27382797465681663</v>
      </c>
      <c r="C13" s="1">
        <v>12</v>
      </c>
      <c r="D13" s="1">
        <f t="shared" ca="1" si="1"/>
        <v>292</v>
      </c>
      <c r="E13" s="2">
        <f t="shared" ca="1" si="2"/>
        <v>43227</v>
      </c>
      <c r="F13" s="6">
        <f t="shared" ca="1" si="3"/>
        <v>225.0043121236848</v>
      </c>
    </row>
    <row r="14" spans="1:16">
      <c r="A14" s="1">
        <v>9121336</v>
      </c>
      <c r="B14" s="1">
        <f t="shared" ca="1" si="0"/>
        <v>0.86604758010479477</v>
      </c>
      <c r="C14" s="1">
        <v>13</v>
      </c>
      <c r="D14" s="1">
        <f t="shared" ca="1" si="1"/>
        <v>80</v>
      </c>
      <c r="E14" s="2">
        <f t="shared" ca="1" si="2"/>
        <v>43193</v>
      </c>
      <c r="F14" s="6">
        <f t="shared" ca="1" si="3"/>
        <v>4.2306282781049696</v>
      </c>
    </row>
    <row r="15" spans="1:16">
      <c r="A15" s="1">
        <v>9121339</v>
      </c>
      <c r="B15" s="1">
        <f t="shared" ca="1" si="0"/>
        <v>0.6868188337711234</v>
      </c>
      <c r="C15" s="1">
        <v>14</v>
      </c>
      <c r="D15" s="1">
        <f t="shared" ca="1" si="1"/>
        <v>576</v>
      </c>
      <c r="E15" s="2">
        <f t="shared" ca="1" si="2"/>
        <v>42903</v>
      </c>
      <c r="F15" s="6">
        <f t="shared" ca="1" si="3"/>
        <v>116.66444651737145</v>
      </c>
    </row>
    <row r="16" spans="1:16">
      <c r="A16" s="1">
        <v>9121342</v>
      </c>
      <c r="B16" s="1">
        <f t="shared" ca="1" si="0"/>
        <v>0.35463302295203791</v>
      </c>
      <c r="C16" s="1">
        <v>15</v>
      </c>
      <c r="D16" s="1">
        <f t="shared" ca="1" si="1"/>
        <v>284</v>
      </c>
      <c r="E16" s="2">
        <f t="shared" ca="1" si="2"/>
        <v>43035</v>
      </c>
      <c r="F16" s="6">
        <f t="shared" ca="1" si="3"/>
        <v>52.457648126181695</v>
      </c>
    </row>
    <row r="17" spans="1:10">
      <c r="A17" s="1">
        <v>9121345</v>
      </c>
      <c r="B17" s="1">
        <f t="shared" ca="1" si="0"/>
        <v>0.60064568524968309</v>
      </c>
      <c r="C17" s="1">
        <v>16</v>
      </c>
      <c r="D17" s="1">
        <f t="shared" ca="1" si="1"/>
        <v>465</v>
      </c>
      <c r="E17" s="2">
        <f t="shared" ca="1" si="2"/>
        <v>43043</v>
      </c>
      <c r="F17" s="6">
        <f t="shared" ca="1" si="3"/>
        <v>3.0057172635790352</v>
      </c>
    </row>
    <row r="18" spans="1:10">
      <c r="A18" s="1">
        <v>9121348</v>
      </c>
      <c r="B18" s="1">
        <f t="shared" ca="1" si="0"/>
        <v>0.27301255476908992</v>
      </c>
      <c r="C18" s="1">
        <v>17</v>
      </c>
      <c r="D18" s="1">
        <f t="shared" ca="1" si="1"/>
        <v>165</v>
      </c>
      <c r="E18" s="2">
        <f t="shared" ca="1" si="2"/>
        <v>42923</v>
      </c>
      <c r="F18" s="6">
        <f t="shared" ca="1" si="3"/>
        <v>10.50899667232833</v>
      </c>
    </row>
    <row r="19" spans="1:10">
      <c r="A19" s="1">
        <v>9121351</v>
      </c>
      <c r="B19" s="1">
        <f t="shared" ca="1" si="0"/>
        <v>0.97811543263542233</v>
      </c>
      <c r="C19" s="1">
        <v>18</v>
      </c>
      <c r="D19" s="1">
        <f t="shared" ca="1" si="1"/>
        <v>511</v>
      </c>
      <c r="E19" s="2">
        <f t="shared" ca="1" si="2"/>
        <v>43265</v>
      </c>
      <c r="F19" s="6">
        <f t="shared" ca="1" si="3"/>
        <v>3.1014197548810105</v>
      </c>
    </row>
    <row r="20" spans="1:10">
      <c r="A20" s="1">
        <v>9121354</v>
      </c>
      <c r="B20" s="1">
        <f t="shared" ca="1" si="0"/>
        <v>0.1050163176466572</v>
      </c>
      <c r="C20" s="1">
        <v>19</v>
      </c>
      <c r="D20" s="1">
        <f t="shared" ca="1" si="1"/>
        <v>42</v>
      </c>
      <c r="E20" s="2">
        <f t="shared" ca="1" si="2"/>
        <v>43392</v>
      </c>
      <c r="F20" s="6">
        <f t="shared" ca="1" si="3"/>
        <v>44.55200029943024</v>
      </c>
    </row>
    <row r="21" spans="1:10">
      <c r="A21" s="1">
        <v>9121357</v>
      </c>
      <c r="B21" s="1">
        <f t="shared" ca="1" si="0"/>
        <v>0.96722836598401851</v>
      </c>
      <c r="C21" s="1">
        <v>20</v>
      </c>
      <c r="D21" s="1">
        <f t="shared" ca="1" si="1"/>
        <v>444</v>
      </c>
      <c r="E21" s="2">
        <f t="shared" ca="1" si="2"/>
        <v>42899</v>
      </c>
      <c r="F21" s="6">
        <f t="shared" ca="1" si="3"/>
        <v>4.3497420670391573</v>
      </c>
    </row>
    <row r="22" spans="1:10">
      <c r="A22" s="1">
        <v>9121360</v>
      </c>
      <c r="B22" s="1">
        <f t="shared" ca="1" si="0"/>
        <v>0.98339484181906978</v>
      </c>
      <c r="C22" s="1">
        <v>21</v>
      </c>
      <c r="D22" s="1">
        <f t="shared" ca="1" si="1"/>
        <v>566</v>
      </c>
      <c r="E22" s="2">
        <f t="shared" ca="1" si="2"/>
        <v>42924</v>
      </c>
      <c r="F22" s="6">
        <f t="shared" ca="1" si="3"/>
        <v>22.045346721695374</v>
      </c>
    </row>
    <row r="23" spans="1:10">
      <c r="A23" s="1">
        <v>9121363</v>
      </c>
      <c r="B23" s="1">
        <f t="shared" ca="1" si="0"/>
        <v>0.92621265770706074</v>
      </c>
      <c r="C23" s="1">
        <v>22</v>
      </c>
      <c r="D23" s="1">
        <f t="shared" ca="1" si="1"/>
        <v>413</v>
      </c>
      <c r="E23" s="2">
        <f t="shared" ca="1" si="2"/>
        <v>43037</v>
      </c>
      <c r="F23" s="6">
        <f t="shared" ca="1" si="3"/>
        <v>121.57230946476271</v>
      </c>
    </row>
    <row r="24" spans="1:10">
      <c r="A24" s="1">
        <v>9121366</v>
      </c>
      <c r="B24" s="1">
        <f t="shared" ca="1" si="0"/>
        <v>0.52844294926343249</v>
      </c>
      <c r="C24" s="1">
        <v>23</v>
      </c>
      <c r="D24" s="1">
        <f t="shared" ca="1" si="1"/>
        <v>516</v>
      </c>
      <c r="E24" s="2">
        <f t="shared" ca="1" si="2"/>
        <v>42867</v>
      </c>
      <c r="F24" s="6">
        <f t="shared" ca="1" si="3"/>
        <v>21.580039086662907</v>
      </c>
    </row>
    <row r="25" spans="1:10">
      <c r="A25" s="1">
        <v>9121369</v>
      </c>
      <c r="B25" s="1">
        <f t="shared" ca="1" si="0"/>
        <v>0.10391474648278343</v>
      </c>
      <c r="C25" s="1">
        <v>24</v>
      </c>
      <c r="D25" s="1">
        <f t="shared" ca="1" si="1"/>
        <v>334</v>
      </c>
      <c r="E25" s="2">
        <f t="shared" ca="1" si="2"/>
        <v>43089</v>
      </c>
      <c r="F25" s="6">
        <f t="shared" ca="1" si="3"/>
        <v>12.162127116437942</v>
      </c>
    </row>
    <row r="26" spans="1:10">
      <c r="A26" s="1">
        <v>9121372</v>
      </c>
      <c r="B26" s="1">
        <f t="shared" ca="1" si="0"/>
        <v>0.33301886011879889</v>
      </c>
      <c r="C26" s="1">
        <v>25</v>
      </c>
      <c r="D26" s="1">
        <f t="shared" ca="1" si="1"/>
        <v>257</v>
      </c>
      <c r="E26" s="2">
        <f t="shared" ca="1" si="2"/>
        <v>42762</v>
      </c>
      <c r="F26" s="6">
        <f t="shared" ca="1" si="3"/>
        <v>3.0000178997202167</v>
      </c>
    </row>
    <row r="27" spans="1:10">
      <c r="A27" s="1">
        <v>9121375</v>
      </c>
      <c r="B27" s="1">
        <f t="shared" ca="1" si="0"/>
        <v>8.9203758879934147E-2</v>
      </c>
      <c r="C27" s="1">
        <v>26</v>
      </c>
      <c r="D27" s="1">
        <f t="shared" ca="1" si="1"/>
        <v>88</v>
      </c>
      <c r="E27" s="2">
        <f t="shared" ca="1" si="2"/>
        <v>42978</v>
      </c>
      <c r="F27" s="6">
        <f t="shared" ca="1" si="3"/>
        <v>10.075270508209982</v>
      </c>
    </row>
    <row r="28" spans="1:10">
      <c r="A28" s="1">
        <v>9121378</v>
      </c>
      <c r="B28" s="1">
        <f t="shared" ca="1" si="0"/>
        <v>0.8396513591592859</v>
      </c>
      <c r="C28" s="1">
        <v>27</v>
      </c>
      <c r="D28" s="1">
        <f t="shared" ca="1" si="1"/>
        <v>398</v>
      </c>
      <c r="E28" s="2">
        <f t="shared" ca="1" si="2"/>
        <v>43247</v>
      </c>
      <c r="F28" s="6">
        <f t="shared" ca="1" si="3"/>
        <v>88.327150320780504</v>
      </c>
      <c r="I28" t="s">
        <v>41</v>
      </c>
      <c r="J28">
        <f ca="1">ROUND(_xlfn.GAMMA.INV(RAND(),$J$11,$J$12)*100,0)+1</f>
        <v>6</v>
      </c>
    </row>
    <row r="29" spans="1:10">
      <c r="A29" s="1">
        <v>9121381</v>
      </c>
      <c r="B29" s="1">
        <f t="shared" ca="1" si="0"/>
        <v>0.6436482978760637</v>
      </c>
      <c r="C29" s="1">
        <v>28</v>
      </c>
      <c r="D29" s="1">
        <f t="shared" ca="1" si="1"/>
        <v>401</v>
      </c>
      <c r="E29" s="2">
        <f t="shared" ca="1" si="2"/>
        <v>43265</v>
      </c>
      <c r="F29" s="6">
        <f t="shared" ca="1" si="3"/>
        <v>25.341882576861362</v>
      </c>
    </row>
    <row r="30" spans="1:10">
      <c r="A30" s="1">
        <v>9121384</v>
      </c>
      <c r="B30" s="1">
        <f t="shared" ca="1" si="0"/>
        <v>0.62642768337915467</v>
      </c>
      <c r="C30" s="1">
        <v>29</v>
      </c>
      <c r="D30" s="1">
        <f t="shared" ca="1" si="1"/>
        <v>514</v>
      </c>
      <c r="E30" s="2">
        <f t="shared" ca="1" si="2"/>
        <v>42924</v>
      </c>
      <c r="F30" s="6">
        <f t="shared" ca="1" si="3"/>
        <v>99.744561624763179</v>
      </c>
    </row>
    <row r="31" spans="1:10">
      <c r="A31" s="1">
        <v>9121387</v>
      </c>
      <c r="B31" s="1">
        <f t="shared" ca="1" si="0"/>
        <v>3.6617073628097963E-3</v>
      </c>
      <c r="C31" s="1">
        <v>30</v>
      </c>
      <c r="D31" s="1">
        <f t="shared" ca="1" si="1"/>
        <v>53</v>
      </c>
      <c r="E31" s="2">
        <f t="shared" ca="1" si="2"/>
        <v>43199</v>
      </c>
      <c r="F31" s="6">
        <f t="shared" ca="1" si="3"/>
        <v>10.120288446353495</v>
      </c>
    </row>
    <row r="32" spans="1:10">
      <c r="A32" s="1">
        <v>9121390</v>
      </c>
      <c r="B32" s="1">
        <f t="shared" ca="1" si="0"/>
        <v>0.33696787644245974</v>
      </c>
      <c r="C32" s="1">
        <v>31</v>
      </c>
      <c r="D32" s="1">
        <f t="shared" ca="1" si="1"/>
        <v>535</v>
      </c>
      <c r="E32" s="2">
        <f t="shared" ca="1" si="2"/>
        <v>43065</v>
      </c>
      <c r="F32" s="6">
        <f t="shared" ca="1" si="3"/>
        <v>9.3244931493909977</v>
      </c>
    </row>
    <row r="33" spans="1:6">
      <c r="A33" s="1">
        <v>9121393</v>
      </c>
      <c r="B33" s="1">
        <f t="shared" ca="1" si="0"/>
        <v>0.23784508626693135</v>
      </c>
      <c r="C33" s="1">
        <v>32</v>
      </c>
      <c r="D33" s="1">
        <f t="shared" ca="1" si="1"/>
        <v>497</v>
      </c>
      <c r="E33" s="2">
        <f t="shared" ca="1" si="2"/>
        <v>43304</v>
      </c>
      <c r="F33" s="6">
        <f t="shared" ca="1" si="3"/>
        <v>19.141997439041276</v>
      </c>
    </row>
    <row r="34" spans="1:6">
      <c r="A34" s="1">
        <v>9121396</v>
      </c>
      <c r="B34" s="1">
        <f t="shared" ca="1" si="0"/>
        <v>0.22116688034850951</v>
      </c>
      <c r="C34" s="1">
        <v>33</v>
      </c>
      <c r="D34" s="1">
        <f t="shared" ca="1" si="1"/>
        <v>501</v>
      </c>
      <c r="E34" s="2">
        <f t="shared" ca="1" si="2"/>
        <v>43043</v>
      </c>
      <c r="F34" s="6">
        <f t="shared" ca="1" si="3"/>
        <v>121.75119780795318</v>
      </c>
    </row>
    <row r="35" spans="1:6">
      <c r="A35" s="1">
        <v>9121399</v>
      </c>
      <c r="B35" s="1">
        <f t="shared" ca="1" si="0"/>
        <v>0.88209145365084252</v>
      </c>
      <c r="C35" s="1">
        <v>34</v>
      </c>
      <c r="D35" s="1">
        <f t="shared" ca="1" si="1"/>
        <v>503</v>
      </c>
      <c r="E35" s="2">
        <f t="shared" ca="1" si="2"/>
        <v>43366</v>
      </c>
      <c r="F35" s="6">
        <f t="shared" ca="1" si="3"/>
        <v>37.120139646002237</v>
      </c>
    </row>
    <row r="36" spans="1:6">
      <c r="A36" s="1">
        <v>9121402</v>
      </c>
      <c r="B36" s="1">
        <f t="shared" ca="1" si="0"/>
        <v>0.64133493296389288</v>
      </c>
      <c r="C36" s="1">
        <v>35</v>
      </c>
      <c r="D36" s="1">
        <f t="shared" ca="1" si="1"/>
        <v>423</v>
      </c>
      <c r="E36" s="2">
        <f t="shared" ca="1" si="2"/>
        <v>43435</v>
      </c>
      <c r="F36" s="6">
        <f t="shared" ca="1" si="3"/>
        <v>8.8643349074047268</v>
      </c>
    </row>
    <row r="37" spans="1:6">
      <c r="A37" s="1">
        <v>9121405</v>
      </c>
      <c r="B37" s="1">
        <f t="shared" ca="1" si="0"/>
        <v>7.7868567115707887E-2</v>
      </c>
      <c r="C37" s="1">
        <v>36</v>
      </c>
      <c r="D37" s="1">
        <f t="shared" ca="1" si="1"/>
        <v>529</v>
      </c>
      <c r="E37" s="2">
        <f t="shared" ca="1" si="2"/>
        <v>43385</v>
      </c>
      <c r="F37" s="6">
        <f t="shared" ca="1" si="3"/>
        <v>34.502244482700604</v>
      </c>
    </row>
    <row r="38" spans="1:6">
      <c r="A38" s="1">
        <v>9121408</v>
      </c>
      <c r="B38" s="1">
        <f t="shared" ca="1" si="0"/>
        <v>7.6491933123402411E-2</v>
      </c>
      <c r="C38" s="1">
        <v>37</v>
      </c>
      <c r="D38" s="1">
        <f t="shared" ca="1" si="1"/>
        <v>517</v>
      </c>
      <c r="E38" s="2">
        <f t="shared" ca="1" si="2"/>
        <v>43496</v>
      </c>
      <c r="F38" s="6">
        <f t="shared" ca="1" si="3"/>
        <v>20.466156373235677</v>
      </c>
    </row>
    <row r="39" spans="1:6">
      <c r="A39" s="1">
        <v>9121411</v>
      </c>
      <c r="B39" s="1">
        <f t="shared" ca="1" si="0"/>
        <v>0.52990347249651049</v>
      </c>
      <c r="C39" s="1">
        <v>38</v>
      </c>
      <c r="D39" s="1">
        <f t="shared" ca="1" si="1"/>
        <v>400</v>
      </c>
      <c r="E39" s="2">
        <f t="shared" ca="1" si="2"/>
        <v>42745</v>
      </c>
      <c r="F39" s="6">
        <f t="shared" ca="1" si="3"/>
        <v>11.447241593244216</v>
      </c>
    </row>
    <row r="40" spans="1:6">
      <c r="A40" s="1">
        <v>9121414</v>
      </c>
      <c r="B40" s="1">
        <f t="shared" ca="1" si="0"/>
        <v>0.85042397120215296</v>
      </c>
      <c r="C40" s="1">
        <v>39</v>
      </c>
      <c r="D40" s="1">
        <f t="shared" ca="1" si="1"/>
        <v>402</v>
      </c>
      <c r="E40" s="2">
        <f t="shared" ca="1" si="2"/>
        <v>43014</v>
      </c>
      <c r="F40" s="6">
        <f t="shared" ca="1" si="3"/>
        <v>14.735359304196766</v>
      </c>
    </row>
    <row r="41" spans="1:6">
      <c r="A41" s="1">
        <v>9121417</v>
      </c>
      <c r="B41" s="1">
        <f t="shared" ca="1" si="0"/>
        <v>0.57392231442652253</v>
      </c>
      <c r="C41" s="1">
        <v>40</v>
      </c>
      <c r="D41" s="1">
        <f t="shared" ca="1" si="1"/>
        <v>426</v>
      </c>
      <c r="E41" s="2">
        <f t="shared" ca="1" si="2"/>
        <v>43156</v>
      </c>
      <c r="F41" s="6">
        <f t="shared" ca="1" si="3"/>
        <v>79.163695597160185</v>
      </c>
    </row>
    <row r="42" spans="1:6">
      <c r="A42" s="1">
        <v>9121420</v>
      </c>
      <c r="B42" s="1">
        <f t="shared" ca="1" si="0"/>
        <v>0.43828266574087293</v>
      </c>
      <c r="C42" s="1">
        <v>41</v>
      </c>
      <c r="D42" s="1">
        <f t="shared" ca="1" si="1"/>
        <v>37</v>
      </c>
      <c r="E42" s="2">
        <f t="shared" ca="1" si="2"/>
        <v>42789</v>
      </c>
      <c r="F42" s="6">
        <f t="shared" ca="1" si="3"/>
        <v>189.56282427309822</v>
      </c>
    </row>
    <row r="43" spans="1:6">
      <c r="A43" s="1">
        <v>9121423</v>
      </c>
      <c r="B43" s="1">
        <f t="shared" ca="1" si="0"/>
        <v>3.8606764048172648E-2</v>
      </c>
      <c r="C43" s="1">
        <v>42</v>
      </c>
      <c r="D43" s="1">
        <f t="shared" ca="1" si="1"/>
        <v>36</v>
      </c>
      <c r="E43" s="2">
        <f t="shared" ca="1" si="2"/>
        <v>42826</v>
      </c>
      <c r="F43" s="6">
        <f t="shared" ca="1" si="3"/>
        <v>69.634840522674864</v>
      </c>
    </row>
    <row r="44" spans="1:6">
      <c r="A44" s="1">
        <v>9121426</v>
      </c>
      <c r="B44" s="1">
        <f t="shared" ca="1" si="0"/>
        <v>0.64595011314180839</v>
      </c>
      <c r="C44" s="1">
        <v>43</v>
      </c>
      <c r="D44" s="1">
        <f t="shared" ca="1" si="1"/>
        <v>73</v>
      </c>
      <c r="E44" s="2">
        <f t="shared" ca="1" si="2"/>
        <v>43215</v>
      </c>
      <c r="F44" s="6">
        <f t="shared" ca="1" si="3"/>
        <v>3.0027425860909003</v>
      </c>
    </row>
    <row r="45" spans="1:6">
      <c r="A45" s="1">
        <v>9121429</v>
      </c>
      <c r="B45" s="1">
        <f t="shared" ca="1" si="0"/>
        <v>0.96342496640841335</v>
      </c>
      <c r="C45" s="1">
        <v>44</v>
      </c>
      <c r="D45" s="1">
        <f t="shared" ca="1" si="1"/>
        <v>427</v>
      </c>
      <c r="E45" s="2">
        <f t="shared" ca="1" si="2"/>
        <v>42747</v>
      </c>
      <c r="F45" s="6">
        <f t="shared" ca="1" si="3"/>
        <v>8.7848383322054246</v>
      </c>
    </row>
    <row r="46" spans="1:6">
      <c r="A46" s="1">
        <v>9121432</v>
      </c>
      <c r="B46" s="1">
        <f t="shared" ca="1" si="0"/>
        <v>0.89193646669027904</v>
      </c>
      <c r="C46" s="1">
        <v>45</v>
      </c>
      <c r="D46" s="1">
        <f t="shared" ca="1" si="1"/>
        <v>482</v>
      </c>
      <c r="E46" s="2">
        <f t="shared" ca="1" si="2"/>
        <v>43178</v>
      </c>
      <c r="F46" s="6">
        <f t="shared" ca="1" si="3"/>
        <v>15.798911761077781</v>
      </c>
    </row>
    <row r="47" spans="1:6">
      <c r="A47" s="1">
        <v>9121435</v>
      </c>
      <c r="B47" s="1">
        <f t="shared" ca="1" si="0"/>
        <v>0.57604056147228422</v>
      </c>
      <c r="C47" s="1">
        <v>46</v>
      </c>
      <c r="D47" s="1">
        <f t="shared" ca="1" si="1"/>
        <v>192</v>
      </c>
      <c r="E47" s="2">
        <f t="shared" ca="1" si="2"/>
        <v>43363</v>
      </c>
      <c r="F47" s="6">
        <f t="shared" ca="1" si="3"/>
        <v>51.209876753855177</v>
      </c>
    </row>
    <row r="48" spans="1:6">
      <c r="A48" s="1">
        <v>9121438</v>
      </c>
      <c r="B48" s="1">
        <f t="shared" ca="1" si="0"/>
        <v>0.13858126698717788</v>
      </c>
      <c r="C48" s="1">
        <v>47</v>
      </c>
      <c r="D48" s="1">
        <f t="shared" ca="1" si="1"/>
        <v>515</v>
      </c>
      <c r="E48" s="2">
        <f t="shared" ca="1" si="2"/>
        <v>43142</v>
      </c>
      <c r="F48" s="6">
        <f t="shared" ca="1" si="3"/>
        <v>9.6354998232419895</v>
      </c>
    </row>
    <row r="49" spans="1:6">
      <c r="A49" s="1">
        <v>9121441</v>
      </c>
      <c r="B49" s="1">
        <f t="shared" ca="1" si="0"/>
        <v>0.43437378867151177</v>
      </c>
      <c r="C49" s="1">
        <v>48</v>
      </c>
      <c r="D49" s="1">
        <f t="shared" ca="1" si="1"/>
        <v>424</v>
      </c>
      <c r="E49" s="2">
        <f t="shared" ca="1" si="2"/>
        <v>43088</v>
      </c>
      <c r="F49" s="6">
        <f t="shared" ca="1" si="3"/>
        <v>182.23949885418313</v>
      </c>
    </row>
    <row r="50" spans="1:6">
      <c r="A50" s="1">
        <v>9121444</v>
      </c>
      <c r="B50" s="1">
        <f t="shared" ca="1" si="0"/>
        <v>0.24342337981667872</v>
      </c>
      <c r="C50" s="1">
        <v>49</v>
      </c>
      <c r="D50" s="1">
        <f t="shared" ca="1" si="1"/>
        <v>26</v>
      </c>
      <c r="E50" s="2">
        <f t="shared" ca="1" si="2"/>
        <v>43044</v>
      </c>
      <c r="F50" s="6">
        <f t="shared" ca="1" si="3"/>
        <v>25.158182949186081</v>
      </c>
    </row>
    <row r="51" spans="1:6">
      <c r="A51" s="1">
        <v>9121447</v>
      </c>
      <c r="B51" s="1">
        <f t="shared" ca="1" si="0"/>
        <v>0.89738057420389339</v>
      </c>
      <c r="C51" s="1">
        <v>50</v>
      </c>
      <c r="D51" s="1">
        <f t="shared" ca="1" si="1"/>
        <v>415</v>
      </c>
      <c r="E51" s="2">
        <f t="shared" ca="1" si="2"/>
        <v>43109</v>
      </c>
      <c r="F51" s="6">
        <f t="shared" ca="1" si="3"/>
        <v>105.05333999914676</v>
      </c>
    </row>
    <row r="52" spans="1:6">
      <c r="A52" s="1">
        <v>9121450</v>
      </c>
      <c r="B52" s="1">
        <f t="shared" ca="1" si="0"/>
        <v>0.61923774825175049</v>
      </c>
      <c r="C52" s="1">
        <v>51</v>
      </c>
      <c r="D52" s="1">
        <f t="shared" ca="1" si="1"/>
        <v>93</v>
      </c>
      <c r="E52" s="2">
        <f t="shared" ca="1" si="2"/>
        <v>43273</v>
      </c>
      <c r="F52" s="6">
        <f t="shared" ca="1" si="3"/>
        <v>19.157702964689307</v>
      </c>
    </row>
    <row r="53" spans="1:6">
      <c r="A53" s="1">
        <v>9121453</v>
      </c>
      <c r="B53" s="1">
        <f t="shared" ca="1" si="0"/>
        <v>0.36564618268637628</v>
      </c>
      <c r="C53" s="1">
        <v>52</v>
      </c>
      <c r="D53" s="1">
        <f t="shared" ca="1" si="1"/>
        <v>574</v>
      </c>
      <c r="E53" s="2">
        <f t="shared" ca="1" si="2"/>
        <v>43071</v>
      </c>
      <c r="F53" s="6">
        <f t="shared" ca="1" si="3"/>
        <v>9.1083386136694742</v>
      </c>
    </row>
    <row r="54" spans="1:6">
      <c r="A54" s="1">
        <v>9121456</v>
      </c>
      <c r="B54" s="1">
        <f t="shared" ca="1" si="0"/>
        <v>5.5868186683241339E-2</v>
      </c>
      <c r="C54" s="1">
        <v>53</v>
      </c>
      <c r="D54" s="1">
        <f t="shared" ca="1" si="1"/>
        <v>155</v>
      </c>
      <c r="E54" s="2">
        <f t="shared" ca="1" si="2"/>
        <v>43390</v>
      </c>
      <c r="F54" s="6">
        <f t="shared" ca="1" si="3"/>
        <v>237.35582153649892</v>
      </c>
    </row>
    <row r="55" spans="1:6">
      <c r="A55" s="1">
        <v>9121459</v>
      </c>
      <c r="B55" s="1">
        <f t="shared" ca="1" si="0"/>
        <v>0.2663285684099489</v>
      </c>
      <c r="C55" s="1">
        <v>54</v>
      </c>
      <c r="D55" s="1">
        <f t="shared" ca="1" si="1"/>
        <v>168</v>
      </c>
      <c r="E55" s="2">
        <f t="shared" ca="1" si="2"/>
        <v>43318</v>
      </c>
      <c r="F55" s="6">
        <f t="shared" ca="1" si="3"/>
        <v>3.0923665431302232</v>
      </c>
    </row>
    <row r="56" spans="1:6">
      <c r="A56" s="1">
        <v>9121462</v>
      </c>
      <c r="B56" s="1">
        <f t="shared" ca="1" si="0"/>
        <v>0.1716508393989219</v>
      </c>
      <c r="C56" s="1">
        <v>55</v>
      </c>
      <c r="D56" s="1">
        <f t="shared" ca="1" si="1"/>
        <v>220</v>
      </c>
      <c r="E56" s="2">
        <f t="shared" ca="1" si="2"/>
        <v>43478</v>
      </c>
      <c r="F56" s="6">
        <f t="shared" ca="1" si="3"/>
        <v>11.264598542073715</v>
      </c>
    </row>
    <row r="57" spans="1:6">
      <c r="A57" s="1">
        <v>9121465</v>
      </c>
      <c r="B57" s="1">
        <f t="shared" ca="1" si="0"/>
        <v>0.97198086837128961</v>
      </c>
      <c r="C57" s="1">
        <v>56</v>
      </c>
      <c r="D57" s="1">
        <f t="shared" ca="1" si="1"/>
        <v>57</v>
      </c>
      <c r="E57" s="2">
        <f t="shared" ca="1" si="2"/>
        <v>43220</v>
      </c>
      <c r="F57" s="6">
        <f t="shared" ca="1" si="3"/>
        <v>3.3043211268764594</v>
      </c>
    </row>
    <row r="58" spans="1:6">
      <c r="A58" s="1">
        <v>9121468</v>
      </c>
      <c r="B58" s="1">
        <f t="shared" ca="1" si="0"/>
        <v>0.10390975724366425</v>
      </c>
      <c r="C58" s="1">
        <v>57</v>
      </c>
      <c r="D58" s="1">
        <f t="shared" ca="1" si="1"/>
        <v>24</v>
      </c>
      <c r="E58" s="2">
        <f t="shared" ca="1" si="2"/>
        <v>42785</v>
      </c>
      <c r="F58" s="6">
        <f t="shared" ca="1" si="3"/>
        <v>68.632017536550975</v>
      </c>
    </row>
    <row r="59" spans="1:6">
      <c r="A59" s="1">
        <v>9121471</v>
      </c>
      <c r="B59" s="1">
        <f t="shared" ca="1" si="0"/>
        <v>0.27555274767417748</v>
      </c>
      <c r="C59" s="1">
        <v>58</v>
      </c>
      <c r="D59" s="1">
        <f t="shared" ca="1" si="1"/>
        <v>19</v>
      </c>
      <c r="E59" s="2">
        <f t="shared" ca="1" si="2"/>
        <v>43312</v>
      </c>
      <c r="F59" s="6">
        <f t="shared" ca="1" si="3"/>
        <v>47.737061877987053</v>
      </c>
    </row>
    <row r="60" spans="1:6">
      <c r="A60" s="1">
        <v>9121474</v>
      </c>
      <c r="B60" s="1">
        <f t="shared" ca="1" si="0"/>
        <v>0.76952614998320323</v>
      </c>
      <c r="C60" s="1">
        <v>59</v>
      </c>
      <c r="D60" s="1">
        <f t="shared" ca="1" si="1"/>
        <v>95</v>
      </c>
      <c r="E60" s="2">
        <f t="shared" ca="1" si="2"/>
        <v>42757</v>
      </c>
      <c r="F60" s="6">
        <f t="shared" ca="1" si="3"/>
        <v>15.481904409073584</v>
      </c>
    </row>
    <row r="61" spans="1:6">
      <c r="A61" s="1">
        <v>9121477</v>
      </c>
      <c r="B61" s="1">
        <f t="shared" ca="1" si="0"/>
        <v>0.34454677231465314</v>
      </c>
      <c r="C61" s="1">
        <v>60</v>
      </c>
      <c r="D61" s="1">
        <f t="shared" ca="1" si="1"/>
        <v>422</v>
      </c>
      <c r="E61" s="2">
        <f t="shared" ca="1" si="2"/>
        <v>42940</v>
      </c>
      <c r="F61" s="6">
        <f t="shared" ca="1" si="3"/>
        <v>23.021127298213582</v>
      </c>
    </row>
    <row r="62" spans="1:6">
      <c r="A62" s="1">
        <v>9121480</v>
      </c>
      <c r="B62" s="1">
        <f t="shared" ca="1" si="0"/>
        <v>0.54521880530824307</v>
      </c>
      <c r="C62" s="1">
        <v>61</v>
      </c>
      <c r="D62" s="1">
        <f t="shared" ca="1" si="1"/>
        <v>92</v>
      </c>
      <c r="E62" s="2">
        <f t="shared" ca="1" si="2"/>
        <v>42959</v>
      </c>
      <c r="F62" s="6">
        <f t="shared" ca="1" si="3"/>
        <v>121.08290549094227</v>
      </c>
    </row>
    <row r="63" spans="1:6">
      <c r="A63" s="1">
        <v>9121483</v>
      </c>
      <c r="B63" s="1">
        <f t="shared" ca="1" si="0"/>
        <v>0.1555674419162788</v>
      </c>
      <c r="C63" s="1">
        <v>62</v>
      </c>
      <c r="D63" s="1">
        <f t="shared" ca="1" si="1"/>
        <v>235</v>
      </c>
      <c r="E63" s="2">
        <f t="shared" ca="1" si="2"/>
        <v>43143</v>
      </c>
      <c r="F63" s="6">
        <f t="shared" ca="1" si="3"/>
        <v>9.9136132376312194</v>
      </c>
    </row>
    <row r="64" spans="1:6">
      <c r="A64" s="1">
        <v>9121486</v>
      </c>
      <c r="B64" s="1">
        <f t="shared" ca="1" si="0"/>
        <v>0.56397401359616905</v>
      </c>
      <c r="C64" s="1">
        <v>63</v>
      </c>
      <c r="D64" s="1">
        <f t="shared" ca="1" si="1"/>
        <v>571</v>
      </c>
      <c r="E64" s="2">
        <f t="shared" ca="1" si="2"/>
        <v>43216</v>
      </c>
      <c r="F64" s="6">
        <f t="shared" ca="1" si="3"/>
        <v>28.089792537758619</v>
      </c>
    </row>
    <row r="65" spans="1:6">
      <c r="A65" s="1">
        <v>9121489</v>
      </c>
      <c r="B65" s="1">
        <f t="shared" ca="1" si="0"/>
        <v>0.55948394061635409</v>
      </c>
      <c r="C65" s="1">
        <v>64</v>
      </c>
      <c r="D65" s="1">
        <f t="shared" ca="1" si="1"/>
        <v>1</v>
      </c>
      <c r="E65" s="2">
        <f t="shared" ca="1" si="2"/>
        <v>43266</v>
      </c>
      <c r="F65" s="6">
        <f t="shared" ca="1" si="3"/>
        <v>25.063875693055842</v>
      </c>
    </row>
    <row r="66" spans="1:6">
      <c r="A66" s="1">
        <v>9121492</v>
      </c>
      <c r="B66" s="1">
        <f t="shared" ref="B66:B129" ca="1" si="4">RAND()</f>
        <v>0.7584820349153143</v>
      </c>
      <c r="C66" s="1">
        <v>65</v>
      </c>
      <c r="D66" s="1">
        <f t="shared" ca="1" si="1"/>
        <v>463</v>
      </c>
      <c r="E66" s="2">
        <f t="shared" ca="1" si="2"/>
        <v>42922</v>
      </c>
      <c r="F66" s="6">
        <f t="shared" ca="1" si="3"/>
        <v>79.836621117286114</v>
      </c>
    </row>
    <row r="67" spans="1:6">
      <c r="A67" s="1">
        <v>9121495</v>
      </c>
      <c r="B67" s="1">
        <f t="shared" ca="1" si="4"/>
        <v>0.61207928298070169</v>
      </c>
      <c r="C67" s="1">
        <v>66</v>
      </c>
      <c r="D67" s="1">
        <f t="shared" ref="D67:D130" ca="1" si="5">VLOOKUP(SMALL($B$2:$B$601,C67),$B$2:$C$601,2,FALSE)</f>
        <v>128</v>
      </c>
      <c r="E67" s="2">
        <f t="shared" ref="E67:E130" ca="1" si="6">RANDBETWEEN("1/1/17","2/1/19")</f>
        <v>43001</v>
      </c>
      <c r="F67" s="6">
        <f t="shared" ref="F67:F130" ca="1" si="7">_xlfn.GAMMA.INV(RAND(),$J$6,$J$7)*100+3</f>
        <v>38.374408067304763</v>
      </c>
    </row>
    <row r="68" spans="1:6">
      <c r="A68" s="1">
        <v>9121498</v>
      </c>
      <c r="B68" s="1">
        <f t="shared" ca="1" si="4"/>
        <v>0.59902924999857954</v>
      </c>
      <c r="C68" s="1">
        <v>67</v>
      </c>
      <c r="D68" s="1">
        <f t="shared" ca="1" si="5"/>
        <v>259</v>
      </c>
      <c r="E68" s="2">
        <f t="shared" ca="1" si="6"/>
        <v>43055</v>
      </c>
      <c r="F68" s="6">
        <f t="shared" ca="1" si="7"/>
        <v>84.067134024544856</v>
      </c>
    </row>
    <row r="69" spans="1:6">
      <c r="A69" s="1">
        <v>9121501</v>
      </c>
      <c r="B69" s="1">
        <f t="shared" ca="1" si="4"/>
        <v>0.22768636414852927</v>
      </c>
      <c r="C69" s="1">
        <v>68</v>
      </c>
      <c r="D69" s="1">
        <f t="shared" ca="1" si="5"/>
        <v>467</v>
      </c>
      <c r="E69" s="2">
        <f t="shared" ca="1" si="6"/>
        <v>43264</v>
      </c>
      <c r="F69" s="6">
        <f t="shared" ca="1" si="7"/>
        <v>288.08634566530765</v>
      </c>
    </row>
    <row r="70" spans="1:6">
      <c r="A70" s="1">
        <v>9121504</v>
      </c>
      <c r="B70" s="1">
        <f t="shared" ca="1" si="4"/>
        <v>0.85593166917008068</v>
      </c>
      <c r="C70" s="1">
        <v>69</v>
      </c>
      <c r="D70" s="1">
        <f t="shared" ca="1" si="5"/>
        <v>142</v>
      </c>
      <c r="E70" s="2">
        <f t="shared" ca="1" si="6"/>
        <v>42928</v>
      </c>
      <c r="F70" s="6">
        <f t="shared" ca="1" si="7"/>
        <v>160.31093497450905</v>
      </c>
    </row>
    <row r="71" spans="1:6">
      <c r="A71" s="1">
        <v>9121507</v>
      </c>
      <c r="B71" s="1">
        <f t="shared" ca="1" si="4"/>
        <v>0.40979160266274584</v>
      </c>
      <c r="C71" s="1">
        <v>70</v>
      </c>
      <c r="D71" s="1">
        <f t="shared" ca="1" si="5"/>
        <v>82</v>
      </c>
      <c r="E71" s="2">
        <f t="shared" ca="1" si="6"/>
        <v>43396</v>
      </c>
      <c r="F71" s="6">
        <f t="shared" ca="1" si="7"/>
        <v>5.2814116225203964</v>
      </c>
    </row>
    <row r="72" spans="1:6">
      <c r="A72" s="1">
        <v>9121510</v>
      </c>
      <c r="B72" s="1">
        <f t="shared" ca="1" si="4"/>
        <v>0.43638239176495253</v>
      </c>
      <c r="C72" s="1">
        <v>71</v>
      </c>
      <c r="D72" s="1">
        <f t="shared" ca="1" si="5"/>
        <v>281</v>
      </c>
      <c r="E72" s="2">
        <f t="shared" ca="1" si="6"/>
        <v>42883</v>
      </c>
      <c r="F72" s="6">
        <f t="shared" ca="1" si="7"/>
        <v>6.2167247388455635</v>
      </c>
    </row>
    <row r="73" spans="1:6">
      <c r="A73" s="1">
        <v>9121513</v>
      </c>
      <c r="B73" s="1">
        <f t="shared" ca="1" si="4"/>
        <v>0.64926667574046493</v>
      </c>
      <c r="C73" s="1">
        <v>72</v>
      </c>
      <c r="D73" s="1">
        <f t="shared" ca="1" si="5"/>
        <v>267</v>
      </c>
      <c r="E73" s="2">
        <f t="shared" ca="1" si="6"/>
        <v>43497</v>
      </c>
      <c r="F73" s="6">
        <f t="shared" ca="1" si="7"/>
        <v>10.75404354693497</v>
      </c>
    </row>
    <row r="74" spans="1:6">
      <c r="A74" s="1">
        <v>9121516</v>
      </c>
      <c r="B74" s="1">
        <f t="shared" ca="1" si="4"/>
        <v>7.9261571515255702E-2</v>
      </c>
      <c r="C74" s="1">
        <v>73</v>
      </c>
      <c r="D74" s="1">
        <f t="shared" ca="1" si="5"/>
        <v>591</v>
      </c>
      <c r="E74" s="2">
        <f t="shared" ca="1" si="6"/>
        <v>42932</v>
      </c>
      <c r="F74" s="6">
        <f t="shared" ca="1" si="7"/>
        <v>23.864307900845962</v>
      </c>
    </row>
    <row r="75" spans="1:6">
      <c r="A75" s="1">
        <v>9121519</v>
      </c>
      <c r="B75" s="1">
        <f t="shared" ca="1" si="4"/>
        <v>0.40124133234403114</v>
      </c>
      <c r="C75" s="1">
        <v>74</v>
      </c>
      <c r="D75" s="1">
        <f t="shared" ca="1" si="5"/>
        <v>450</v>
      </c>
      <c r="E75" s="2">
        <f t="shared" ca="1" si="6"/>
        <v>42823</v>
      </c>
      <c r="F75" s="6">
        <f t="shared" ca="1" si="7"/>
        <v>13.005521739953638</v>
      </c>
    </row>
    <row r="76" spans="1:6">
      <c r="A76" s="1">
        <v>9121522</v>
      </c>
      <c r="B76" s="1">
        <f t="shared" ca="1" si="4"/>
        <v>0.76441986422464114</v>
      </c>
      <c r="C76" s="1">
        <v>75</v>
      </c>
      <c r="D76" s="1">
        <f t="shared" ca="1" si="5"/>
        <v>599</v>
      </c>
      <c r="E76" s="2">
        <f t="shared" ca="1" si="6"/>
        <v>43164</v>
      </c>
      <c r="F76" s="6">
        <f t="shared" ca="1" si="7"/>
        <v>65.323426653189586</v>
      </c>
    </row>
    <row r="77" spans="1:6">
      <c r="A77" s="1">
        <v>9121525</v>
      </c>
      <c r="B77" s="1">
        <f t="shared" ca="1" si="4"/>
        <v>0.87616261950656582</v>
      </c>
      <c r="C77" s="1">
        <v>76</v>
      </c>
      <c r="D77" s="1">
        <f t="shared" ca="1" si="5"/>
        <v>293</v>
      </c>
      <c r="E77" s="2">
        <f t="shared" ca="1" si="6"/>
        <v>43218</v>
      </c>
      <c r="F77" s="6">
        <f t="shared" ca="1" si="7"/>
        <v>3.006454192918985</v>
      </c>
    </row>
    <row r="78" spans="1:6">
      <c r="A78" s="1">
        <v>9121528</v>
      </c>
      <c r="B78" s="1">
        <f t="shared" ca="1" si="4"/>
        <v>0.45108631555401879</v>
      </c>
      <c r="C78" s="1">
        <v>77</v>
      </c>
      <c r="D78" s="1">
        <f t="shared" ca="1" si="5"/>
        <v>552</v>
      </c>
      <c r="E78" s="2">
        <f t="shared" ca="1" si="6"/>
        <v>43355</v>
      </c>
      <c r="F78" s="6">
        <f t="shared" ca="1" si="7"/>
        <v>11.328341205041074</v>
      </c>
    </row>
    <row r="79" spans="1:6">
      <c r="A79" s="1">
        <v>9121531</v>
      </c>
      <c r="B79" s="1">
        <f t="shared" ca="1" si="4"/>
        <v>0.39826706467333328</v>
      </c>
      <c r="C79" s="1">
        <v>78</v>
      </c>
      <c r="D79" s="1">
        <f t="shared" ca="1" si="5"/>
        <v>224</v>
      </c>
      <c r="E79" s="2">
        <f t="shared" ca="1" si="6"/>
        <v>43382</v>
      </c>
      <c r="F79" s="6">
        <f t="shared" ca="1" si="7"/>
        <v>39.528442570229316</v>
      </c>
    </row>
    <row r="80" spans="1:6">
      <c r="A80" s="1">
        <v>9121534</v>
      </c>
      <c r="B80" s="1">
        <f t="shared" ca="1" si="4"/>
        <v>0.7692136452008459</v>
      </c>
      <c r="C80" s="1">
        <v>79</v>
      </c>
      <c r="D80" s="1">
        <f t="shared" ca="1" si="5"/>
        <v>547</v>
      </c>
      <c r="E80" s="2">
        <f t="shared" ca="1" si="6"/>
        <v>43354</v>
      </c>
      <c r="F80" s="6">
        <f t="shared" ca="1" si="7"/>
        <v>15.671722081436373</v>
      </c>
    </row>
    <row r="81" spans="1:6">
      <c r="A81" s="1">
        <v>9121537</v>
      </c>
      <c r="B81" s="1">
        <f t="shared" ca="1" si="4"/>
        <v>2.0886991352414563E-2</v>
      </c>
      <c r="C81" s="1">
        <v>80</v>
      </c>
      <c r="D81" s="1">
        <f t="shared" ca="1" si="5"/>
        <v>163</v>
      </c>
      <c r="E81" s="2">
        <f t="shared" ca="1" si="6"/>
        <v>42768</v>
      </c>
      <c r="F81" s="6">
        <f t="shared" ca="1" si="7"/>
        <v>157.86815863958705</v>
      </c>
    </row>
    <row r="82" spans="1:6">
      <c r="A82" s="1">
        <v>9121540</v>
      </c>
      <c r="B82" s="1">
        <f t="shared" ca="1" si="4"/>
        <v>0.14096574124626293</v>
      </c>
      <c r="C82" s="1">
        <v>81</v>
      </c>
      <c r="D82" s="1">
        <f t="shared" ca="1" si="5"/>
        <v>119</v>
      </c>
      <c r="E82" s="2">
        <f t="shared" ca="1" si="6"/>
        <v>43450</v>
      </c>
      <c r="F82" s="6">
        <f t="shared" ca="1" si="7"/>
        <v>26.984839460422595</v>
      </c>
    </row>
    <row r="83" spans="1:6">
      <c r="A83" s="1">
        <v>9121543</v>
      </c>
      <c r="B83" s="1">
        <f t="shared" ca="1" si="4"/>
        <v>0.11098576362206392</v>
      </c>
      <c r="C83" s="1">
        <v>82</v>
      </c>
      <c r="D83" s="1">
        <f t="shared" ca="1" si="5"/>
        <v>143</v>
      </c>
      <c r="E83" s="2">
        <f t="shared" ca="1" si="6"/>
        <v>43356</v>
      </c>
      <c r="F83" s="6">
        <f t="shared" ca="1" si="7"/>
        <v>244.44032634953305</v>
      </c>
    </row>
    <row r="84" spans="1:6">
      <c r="A84" s="1">
        <v>9121546</v>
      </c>
      <c r="B84" s="1">
        <f t="shared" ca="1" si="4"/>
        <v>0.22738575831503927</v>
      </c>
      <c r="C84" s="1">
        <v>83</v>
      </c>
      <c r="D84" s="1">
        <f t="shared" ca="1" si="5"/>
        <v>47</v>
      </c>
      <c r="E84" s="2">
        <f t="shared" ca="1" si="6"/>
        <v>42880</v>
      </c>
      <c r="F84" s="6">
        <f t="shared" ca="1" si="7"/>
        <v>48.638648818556312</v>
      </c>
    </row>
    <row r="85" spans="1:6">
      <c r="A85" s="1">
        <v>9121549</v>
      </c>
      <c r="B85" s="1">
        <f t="shared" ca="1" si="4"/>
        <v>0.50493133620023323</v>
      </c>
      <c r="C85" s="1">
        <v>84</v>
      </c>
      <c r="D85" s="1">
        <f t="shared" ca="1" si="5"/>
        <v>536</v>
      </c>
      <c r="E85" s="2">
        <f t="shared" ca="1" si="6"/>
        <v>42964</v>
      </c>
      <c r="F85" s="6">
        <f t="shared" ca="1" si="7"/>
        <v>105.32618929646955</v>
      </c>
    </row>
    <row r="86" spans="1:6">
      <c r="A86" s="1">
        <v>9121552</v>
      </c>
      <c r="B86" s="1">
        <f t="shared" ca="1" si="4"/>
        <v>0.45579692226475454</v>
      </c>
      <c r="C86" s="1">
        <v>85</v>
      </c>
      <c r="D86" s="1">
        <f t="shared" ca="1" si="5"/>
        <v>81</v>
      </c>
      <c r="E86" s="2">
        <f t="shared" ca="1" si="6"/>
        <v>43024</v>
      </c>
      <c r="F86" s="6">
        <f t="shared" ca="1" si="7"/>
        <v>30.121338101978715</v>
      </c>
    </row>
    <row r="87" spans="1:6">
      <c r="A87" s="1">
        <v>9121555</v>
      </c>
      <c r="B87" s="1">
        <f t="shared" ca="1" si="4"/>
        <v>0.76276467378135515</v>
      </c>
      <c r="C87" s="1">
        <v>86</v>
      </c>
      <c r="D87" s="1">
        <f t="shared" ca="1" si="5"/>
        <v>526</v>
      </c>
      <c r="E87" s="2">
        <f t="shared" ca="1" si="6"/>
        <v>42769</v>
      </c>
      <c r="F87" s="6">
        <f t="shared" ca="1" si="7"/>
        <v>8.2616106697761946</v>
      </c>
    </row>
    <row r="88" spans="1:6">
      <c r="A88" s="1">
        <v>9121558</v>
      </c>
      <c r="B88" s="1">
        <f t="shared" ca="1" si="4"/>
        <v>0.15442488633006057</v>
      </c>
      <c r="C88" s="1">
        <v>87</v>
      </c>
      <c r="D88" s="1">
        <f t="shared" ca="1" si="5"/>
        <v>551</v>
      </c>
      <c r="E88" s="2">
        <f t="shared" ca="1" si="6"/>
        <v>43385</v>
      </c>
      <c r="F88" s="6">
        <f t="shared" ca="1" si="7"/>
        <v>126.86501959333307</v>
      </c>
    </row>
    <row r="89" spans="1:6">
      <c r="A89" s="1">
        <v>9121561</v>
      </c>
      <c r="B89" s="1">
        <f t="shared" ca="1" si="4"/>
        <v>5.331277263026446E-2</v>
      </c>
      <c r="C89" s="1">
        <v>88</v>
      </c>
      <c r="D89" s="1">
        <f t="shared" ca="1" si="5"/>
        <v>253</v>
      </c>
      <c r="E89" s="2">
        <f t="shared" ca="1" si="6"/>
        <v>43146</v>
      </c>
      <c r="F89" s="6">
        <f t="shared" ca="1" si="7"/>
        <v>176.74219830053249</v>
      </c>
    </row>
    <row r="90" spans="1:6">
      <c r="A90" s="1">
        <v>9121564</v>
      </c>
      <c r="B90" s="1">
        <f t="shared" ca="1" si="4"/>
        <v>0.61532614626606208</v>
      </c>
      <c r="C90" s="1">
        <v>89</v>
      </c>
      <c r="D90" s="1">
        <f t="shared" ca="1" si="5"/>
        <v>340</v>
      </c>
      <c r="E90" s="2">
        <f t="shared" ca="1" si="6"/>
        <v>43437</v>
      </c>
      <c r="F90" s="6">
        <f t="shared" ca="1" si="7"/>
        <v>42.341278986780409</v>
      </c>
    </row>
    <row r="91" spans="1:6">
      <c r="A91" s="1">
        <v>9121567</v>
      </c>
      <c r="B91" s="1">
        <f t="shared" ca="1" si="4"/>
        <v>0.59982316779661726</v>
      </c>
      <c r="C91" s="1">
        <v>90</v>
      </c>
      <c r="D91" s="1">
        <f t="shared" ca="1" si="5"/>
        <v>417</v>
      </c>
      <c r="E91" s="2">
        <f t="shared" ca="1" si="6"/>
        <v>43173</v>
      </c>
      <c r="F91" s="6">
        <f t="shared" ca="1" si="7"/>
        <v>379.8193706040168</v>
      </c>
    </row>
    <row r="92" spans="1:6">
      <c r="A92" s="1">
        <v>9121570</v>
      </c>
      <c r="B92" s="1">
        <f t="shared" ca="1" si="4"/>
        <v>0.2629914147268011</v>
      </c>
      <c r="C92" s="1">
        <v>91</v>
      </c>
      <c r="D92" s="1">
        <f t="shared" ca="1" si="5"/>
        <v>396</v>
      </c>
      <c r="E92" s="2">
        <f t="shared" ca="1" si="6"/>
        <v>43095</v>
      </c>
      <c r="F92" s="6">
        <f t="shared" ca="1" si="7"/>
        <v>27.249907498324283</v>
      </c>
    </row>
    <row r="93" spans="1:6">
      <c r="A93" s="1">
        <v>9121573</v>
      </c>
      <c r="B93" s="1">
        <f t="shared" ca="1" si="4"/>
        <v>0.10631959091050869</v>
      </c>
      <c r="C93" s="1">
        <v>92</v>
      </c>
      <c r="D93" s="1">
        <f t="shared" ca="1" si="5"/>
        <v>458</v>
      </c>
      <c r="E93" s="2">
        <f t="shared" ca="1" si="6"/>
        <v>42859</v>
      </c>
      <c r="F93" s="6">
        <f t="shared" ca="1" si="7"/>
        <v>9.33308988073947</v>
      </c>
    </row>
    <row r="94" spans="1:6">
      <c r="A94" s="1">
        <v>9121576</v>
      </c>
      <c r="B94" s="1">
        <f t="shared" ca="1" si="4"/>
        <v>9.0240755638325343E-2</v>
      </c>
      <c r="C94" s="1">
        <v>93</v>
      </c>
      <c r="D94" s="1">
        <f t="shared" ca="1" si="5"/>
        <v>518</v>
      </c>
      <c r="E94" s="2">
        <f t="shared" ca="1" si="6"/>
        <v>43045</v>
      </c>
      <c r="F94" s="6">
        <f t="shared" ca="1" si="7"/>
        <v>8.1210113685069274</v>
      </c>
    </row>
    <row r="95" spans="1:6">
      <c r="A95" s="1">
        <v>9121579</v>
      </c>
      <c r="B95" s="1">
        <f t="shared" ca="1" si="4"/>
        <v>0.3696386098081248</v>
      </c>
      <c r="C95" s="1">
        <v>94</v>
      </c>
      <c r="D95" s="1">
        <f t="shared" ca="1" si="5"/>
        <v>87</v>
      </c>
      <c r="E95" s="2">
        <f t="shared" ca="1" si="6"/>
        <v>43462</v>
      </c>
      <c r="F95" s="6">
        <f t="shared" ca="1" si="7"/>
        <v>4.7036724200439162</v>
      </c>
    </row>
    <row r="96" spans="1:6">
      <c r="A96" s="1">
        <v>9121582</v>
      </c>
      <c r="B96" s="1">
        <f t="shared" ca="1" si="4"/>
        <v>0.10530308043421899</v>
      </c>
      <c r="C96" s="1">
        <v>95</v>
      </c>
      <c r="D96" s="1">
        <f t="shared" ca="1" si="5"/>
        <v>62</v>
      </c>
      <c r="E96" s="2">
        <f t="shared" ca="1" si="6"/>
        <v>43293</v>
      </c>
      <c r="F96" s="6">
        <f t="shared" ca="1" si="7"/>
        <v>33.662097877281809</v>
      </c>
    </row>
    <row r="97" spans="1:6">
      <c r="A97" s="1">
        <v>9121585</v>
      </c>
      <c r="B97" s="1">
        <f t="shared" ca="1" si="4"/>
        <v>0.52864712059373631</v>
      </c>
      <c r="C97" s="1">
        <v>96</v>
      </c>
      <c r="D97" s="1">
        <f t="shared" ca="1" si="5"/>
        <v>486</v>
      </c>
      <c r="E97" s="2">
        <f t="shared" ca="1" si="6"/>
        <v>42896</v>
      </c>
      <c r="F97" s="6">
        <f t="shared" ca="1" si="7"/>
        <v>5.1414162910181114</v>
      </c>
    </row>
    <row r="98" spans="1:6">
      <c r="A98" s="1">
        <v>9121588</v>
      </c>
      <c r="B98" s="1">
        <f t="shared" ca="1" si="4"/>
        <v>0.54962847795698455</v>
      </c>
      <c r="C98" s="1">
        <v>97</v>
      </c>
      <c r="D98" s="1">
        <f t="shared" ca="1" si="5"/>
        <v>460</v>
      </c>
      <c r="E98" s="2">
        <f t="shared" ca="1" si="6"/>
        <v>42852</v>
      </c>
      <c r="F98" s="6">
        <f t="shared" ca="1" si="7"/>
        <v>30.043622205242308</v>
      </c>
    </row>
    <row r="99" spans="1:6">
      <c r="A99" s="1">
        <v>9121591</v>
      </c>
      <c r="B99" s="1">
        <f t="shared" ca="1" si="4"/>
        <v>0.2537994586346779</v>
      </c>
      <c r="C99" s="1">
        <v>98</v>
      </c>
      <c r="D99" s="1">
        <f t="shared" ca="1" si="5"/>
        <v>139</v>
      </c>
      <c r="E99" s="2">
        <f t="shared" ca="1" si="6"/>
        <v>42885</v>
      </c>
      <c r="F99" s="6">
        <f t="shared" ca="1" si="7"/>
        <v>12.399216897685916</v>
      </c>
    </row>
    <row r="100" spans="1:6">
      <c r="A100" s="1">
        <v>9121594</v>
      </c>
      <c r="B100" s="1">
        <f t="shared" ca="1" si="4"/>
        <v>0.23581196844810415</v>
      </c>
      <c r="C100" s="1">
        <v>99</v>
      </c>
      <c r="D100" s="1">
        <f t="shared" ca="1" si="5"/>
        <v>464</v>
      </c>
      <c r="E100" s="2">
        <f t="shared" ca="1" si="6"/>
        <v>43486</v>
      </c>
      <c r="F100" s="6">
        <f t="shared" ca="1" si="7"/>
        <v>128.51228987328295</v>
      </c>
    </row>
    <row r="101" spans="1:6">
      <c r="A101" s="1">
        <v>9121597</v>
      </c>
      <c r="B101" s="1">
        <f t="shared" ca="1" si="4"/>
        <v>0.84545874077480099</v>
      </c>
      <c r="C101" s="1">
        <v>100</v>
      </c>
      <c r="D101" s="1">
        <f t="shared" ca="1" si="5"/>
        <v>183</v>
      </c>
      <c r="E101" s="2">
        <f t="shared" ca="1" si="6"/>
        <v>43063</v>
      </c>
      <c r="F101" s="6">
        <f t="shared" ca="1" si="7"/>
        <v>7.223902540537531</v>
      </c>
    </row>
    <row r="102" spans="1:6">
      <c r="A102" s="1">
        <v>9121600</v>
      </c>
      <c r="B102" s="1">
        <f t="shared" ca="1" si="4"/>
        <v>0.24145831725563693</v>
      </c>
      <c r="C102" s="1">
        <v>101</v>
      </c>
      <c r="D102" s="1">
        <f t="shared" ca="1" si="5"/>
        <v>166</v>
      </c>
      <c r="E102" s="2">
        <f t="shared" ca="1" si="6"/>
        <v>42945</v>
      </c>
      <c r="F102" s="6">
        <f t="shared" ca="1" si="7"/>
        <v>3.0027109295848375</v>
      </c>
    </row>
    <row r="103" spans="1:6">
      <c r="A103" s="1">
        <v>9121603</v>
      </c>
      <c r="B103" s="1">
        <f t="shared" ca="1" si="4"/>
        <v>0.32612932150933704</v>
      </c>
      <c r="C103" s="1">
        <v>102</v>
      </c>
      <c r="D103" s="1">
        <f t="shared" ca="1" si="5"/>
        <v>366</v>
      </c>
      <c r="E103" s="2">
        <f t="shared" ca="1" si="6"/>
        <v>42862</v>
      </c>
      <c r="F103" s="6">
        <f t="shared" ca="1" si="7"/>
        <v>4.1722604810597543</v>
      </c>
    </row>
    <row r="104" spans="1:6">
      <c r="A104" s="1">
        <v>9121606</v>
      </c>
      <c r="B104" s="1">
        <f t="shared" ca="1" si="4"/>
        <v>0.80396979416596137</v>
      </c>
      <c r="C104" s="1">
        <v>103</v>
      </c>
      <c r="D104" s="1">
        <f t="shared" ca="1" si="5"/>
        <v>55</v>
      </c>
      <c r="E104" s="2">
        <f t="shared" ca="1" si="6"/>
        <v>43024</v>
      </c>
      <c r="F104" s="6">
        <f t="shared" ca="1" si="7"/>
        <v>17.349947338088651</v>
      </c>
    </row>
    <row r="105" spans="1:6">
      <c r="A105" s="1">
        <v>9121609</v>
      </c>
      <c r="B105" s="1">
        <f t="shared" ca="1" si="4"/>
        <v>0.68484546091650988</v>
      </c>
      <c r="C105" s="1">
        <v>104</v>
      </c>
      <c r="D105" s="1">
        <f t="shared" ca="1" si="5"/>
        <v>560</v>
      </c>
      <c r="E105" s="2">
        <f t="shared" ca="1" si="6"/>
        <v>43467</v>
      </c>
      <c r="F105" s="6">
        <f t="shared" ca="1" si="7"/>
        <v>49.138102384180804</v>
      </c>
    </row>
    <row r="106" spans="1:6">
      <c r="A106" s="1">
        <v>9121612</v>
      </c>
      <c r="B106" s="1">
        <f t="shared" ca="1" si="4"/>
        <v>0.55919957664158726</v>
      </c>
      <c r="C106" s="1">
        <v>105</v>
      </c>
      <c r="D106" s="1">
        <f t="shared" ca="1" si="5"/>
        <v>151</v>
      </c>
      <c r="E106" s="2">
        <f t="shared" ca="1" si="6"/>
        <v>43026</v>
      </c>
      <c r="F106" s="6">
        <f t="shared" ca="1" si="7"/>
        <v>115.73458169243062</v>
      </c>
    </row>
    <row r="107" spans="1:6">
      <c r="A107" s="1">
        <v>9121615</v>
      </c>
      <c r="B107" s="1">
        <f t="shared" ca="1" si="4"/>
        <v>0.59718755523970202</v>
      </c>
      <c r="C107" s="1">
        <v>106</v>
      </c>
      <c r="D107" s="1">
        <f t="shared" ca="1" si="5"/>
        <v>238</v>
      </c>
      <c r="E107" s="2">
        <f t="shared" ca="1" si="6"/>
        <v>42887</v>
      </c>
      <c r="F107" s="6">
        <f t="shared" ca="1" si="7"/>
        <v>13.534128750740605</v>
      </c>
    </row>
    <row r="108" spans="1:6">
      <c r="A108" s="1">
        <v>9121618</v>
      </c>
      <c r="B108" s="1">
        <f t="shared" ca="1" si="4"/>
        <v>0.27213636681657705</v>
      </c>
      <c r="C108" s="1">
        <v>107</v>
      </c>
      <c r="D108" s="1">
        <f t="shared" ca="1" si="5"/>
        <v>173</v>
      </c>
      <c r="E108" s="2">
        <f t="shared" ca="1" si="6"/>
        <v>42989</v>
      </c>
      <c r="F108" s="6">
        <f t="shared" ca="1" si="7"/>
        <v>13.767384125321625</v>
      </c>
    </row>
    <row r="109" spans="1:6">
      <c r="A109" s="1">
        <v>9121621</v>
      </c>
      <c r="B109" s="1">
        <f t="shared" ca="1" si="4"/>
        <v>0.86106661454735434</v>
      </c>
      <c r="C109" s="1">
        <v>108</v>
      </c>
      <c r="D109" s="1">
        <f t="shared" ca="1" si="5"/>
        <v>530</v>
      </c>
      <c r="E109" s="2">
        <f t="shared" ca="1" si="6"/>
        <v>43252</v>
      </c>
      <c r="F109" s="6">
        <f t="shared" ca="1" si="7"/>
        <v>141.57618028707589</v>
      </c>
    </row>
    <row r="110" spans="1:6">
      <c r="A110" s="1">
        <v>9121624</v>
      </c>
      <c r="B110" s="1">
        <f t="shared" ca="1" si="4"/>
        <v>0.79382960867753538</v>
      </c>
      <c r="C110" s="1">
        <v>109</v>
      </c>
      <c r="D110" s="1">
        <f t="shared" ca="1" si="5"/>
        <v>245</v>
      </c>
      <c r="E110" s="2">
        <f t="shared" ca="1" si="6"/>
        <v>43116</v>
      </c>
      <c r="F110" s="6">
        <f t="shared" ca="1" si="7"/>
        <v>20.688718064327009</v>
      </c>
    </row>
    <row r="111" spans="1:6">
      <c r="A111" s="1">
        <v>9121627</v>
      </c>
      <c r="B111" s="1">
        <f t="shared" ca="1" si="4"/>
        <v>0.78568519772905021</v>
      </c>
      <c r="C111" s="1">
        <v>110</v>
      </c>
      <c r="D111" s="1">
        <f t="shared" ca="1" si="5"/>
        <v>144</v>
      </c>
      <c r="E111" s="2">
        <f t="shared" ca="1" si="6"/>
        <v>43442</v>
      </c>
      <c r="F111" s="6">
        <f t="shared" ca="1" si="7"/>
        <v>213.9394440201286</v>
      </c>
    </row>
    <row r="112" spans="1:6">
      <c r="A112" s="1">
        <v>9121630</v>
      </c>
      <c r="B112" s="1">
        <f t="shared" ca="1" si="4"/>
        <v>0.38176212922792607</v>
      </c>
      <c r="C112" s="1">
        <v>111</v>
      </c>
      <c r="D112" s="1">
        <f t="shared" ca="1" si="5"/>
        <v>230</v>
      </c>
      <c r="E112" s="2">
        <f t="shared" ca="1" si="6"/>
        <v>43402</v>
      </c>
      <c r="F112" s="6">
        <f t="shared" ca="1" si="7"/>
        <v>5.1795223890231394</v>
      </c>
    </row>
    <row r="113" spans="1:6">
      <c r="A113" s="1">
        <v>9121633</v>
      </c>
      <c r="B113" s="1">
        <f t="shared" ca="1" si="4"/>
        <v>0.28296902093939647</v>
      </c>
      <c r="C113" s="1">
        <v>112</v>
      </c>
      <c r="D113" s="1">
        <f t="shared" ca="1" si="5"/>
        <v>582</v>
      </c>
      <c r="E113" s="2">
        <f t="shared" ca="1" si="6"/>
        <v>43035</v>
      </c>
      <c r="F113" s="6">
        <f t="shared" ca="1" si="7"/>
        <v>15.455264328176373</v>
      </c>
    </row>
    <row r="114" spans="1:6">
      <c r="A114" s="1">
        <v>9121636</v>
      </c>
      <c r="B114" s="1">
        <f t="shared" ca="1" si="4"/>
        <v>0.93721745855365801</v>
      </c>
      <c r="C114" s="1">
        <v>113</v>
      </c>
      <c r="D114" s="1">
        <f t="shared" ca="1" si="5"/>
        <v>330</v>
      </c>
      <c r="E114" s="2">
        <f t="shared" ca="1" si="6"/>
        <v>43011</v>
      </c>
      <c r="F114" s="6">
        <f t="shared" ca="1" si="7"/>
        <v>6.2591092630843725</v>
      </c>
    </row>
    <row r="115" spans="1:6">
      <c r="A115" s="1">
        <v>9121639</v>
      </c>
      <c r="B115" s="1">
        <f t="shared" ca="1" si="4"/>
        <v>0.75772406984659668</v>
      </c>
      <c r="C115" s="1">
        <v>114</v>
      </c>
      <c r="D115" s="1">
        <f t="shared" ca="1" si="5"/>
        <v>581</v>
      </c>
      <c r="E115" s="2">
        <f t="shared" ca="1" si="6"/>
        <v>42743</v>
      </c>
      <c r="F115" s="6">
        <f t="shared" ca="1" si="7"/>
        <v>32.396393280210916</v>
      </c>
    </row>
    <row r="116" spans="1:6">
      <c r="A116" s="1">
        <v>9121642</v>
      </c>
      <c r="B116" s="1">
        <f t="shared" ca="1" si="4"/>
        <v>0.95494826137030953</v>
      </c>
      <c r="C116" s="1">
        <v>115</v>
      </c>
      <c r="D116" s="1">
        <f t="shared" ca="1" si="5"/>
        <v>508</v>
      </c>
      <c r="E116" s="2">
        <f t="shared" ca="1" si="6"/>
        <v>42927</v>
      </c>
      <c r="F116" s="6">
        <f t="shared" ca="1" si="7"/>
        <v>69.35670569669513</v>
      </c>
    </row>
    <row r="117" spans="1:6">
      <c r="A117" s="1">
        <v>9121645</v>
      </c>
      <c r="B117" s="1">
        <f t="shared" ca="1" si="4"/>
        <v>0.59474899629019784</v>
      </c>
      <c r="C117" s="1">
        <v>116</v>
      </c>
      <c r="D117" s="1">
        <f t="shared" ca="1" si="5"/>
        <v>153</v>
      </c>
      <c r="E117" s="2">
        <f t="shared" ca="1" si="6"/>
        <v>43345</v>
      </c>
      <c r="F117" s="6">
        <f t="shared" ca="1" si="7"/>
        <v>120.54589923237116</v>
      </c>
    </row>
    <row r="118" spans="1:6">
      <c r="A118" s="1">
        <v>9121648</v>
      </c>
      <c r="B118" s="1">
        <f t="shared" ca="1" si="4"/>
        <v>0.51727994854606463</v>
      </c>
      <c r="C118" s="1">
        <v>117</v>
      </c>
      <c r="D118" s="1">
        <f t="shared" ca="1" si="5"/>
        <v>600</v>
      </c>
      <c r="E118" s="2">
        <f t="shared" ca="1" si="6"/>
        <v>43220</v>
      </c>
      <c r="F118" s="6">
        <f t="shared" ca="1" si="7"/>
        <v>30.491485226052916</v>
      </c>
    </row>
    <row r="119" spans="1:6">
      <c r="A119" s="1">
        <v>9121651</v>
      </c>
      <c r="B119" s="1">
        <f t="shared" ca="1" si="4"/>
        <v>0.41215055281653956</v>
      </c>
      <c r="C119" s="1">
        <v>118</v>
      </c>
      <c r="D119" s="1">
        <f t="shared" ca="1" si="5"/>
        <v>172</v>
      </c>
      <c r="E119" s="2">
        <f t="shared" ca="1" si="6"/>
        <v>43008</v>
      </c>
      <c r="F119" s="6">
        <f t="shared" ca="1" si="7"/>
        <v>46.292782286307393</v>
      </c>
    </row>
    <row r="120" spans="1:6">
      <c r="A120" s="1">
        <v>9121654</v>
      </c>
      <c r="B120" s="1">
        <f t="shared" ca="1" si="4"/>
        <v>0.13739102816754212</v>
      </c>
      <c r="C120" s="1">
        <v>119</v>
      </c>
      <c r="D120" s="1">
        <f t="shared" ca="1" si="5"/>
        <v>184</v>
      </c>
      <c r="E120" s="2">
        <f t="shared" ca="1" si="6"/>
        <v>42871</v>
      </c>
      <c r="F120" s="6">
        <f t="shared" ca="1" si="7"/>
        <v>54.246661001018481</v>
      </c>
    </row>
    <row r="121" spans="1:6">
      <c r="A121" s="1">
        <v>9121657</v>
      </c>
      <c r="B121" s="1">
        <f t="shared" ca="1" si="4"/>
        <v>0.37731655185576407</v>
      </c>
      <c r="C121" s="1">
        <v>120</v>
      </c>
      <c r="D121" s="1">
        <f t="shared" ca="1" si="5"/>
        <v>543</v>
      </c>
      <c r="E121" s="2">
        <f t="shared" ca="1" si="6"/>
        <v>43012</v>
      </c>
      <c r="F121" s="6">
        <f t="shared" ca="1" si="7"/>
        <v>142.01174975037497</v>
      </c>
    </row>
    <row r="122" spans="1:6">
      <c r="A122" s="1">
        <v>9121660</v>
      </c>
      <c r="B122" s="1">
        <f t="shared" ca="1" si="4"/>
        <v>0.46775293583278821</v>
      </c>
      <c r="C122" s="1">
        <v>121</v>
      </c>
      <c r="D122" s="1">
        <f t="shared" ca="1" si="5"/>
        <v>243</v>
      </c>
      <c r="E122" s="2">
        <f t="shared" ca="1" si="6"/>
        <v>43110</v>
      </c>
      <c r="F122" s="6">
        <f t="shared" ca="1" si="7"/>
        <v>33.118272623690501</v>
      </c>
    </row>
    <row r="123" spans="1:6">
      <c r="A123" s="1">
        <v>9121663</v>
      </c>
      <c r="B123" s="1">
        <f t="shared" ca="1" si="4"/>
        <v>0.52483667683014668</v>
      </c>
      <c r="C123" s="1">
        <v>122</v>
      </c>
      <c r="D123" s="1">
        <f t="shared" ca="1" si="5"/>
        <v>33</v>
      </c>
      <c r="E123" s="2">
        <f t="shared" ca="1" si="6"/>
        <v>43343</v>
      </c>
      <c r="F123" s="6">
        <f t="shared" ca="1" si="7"/>
        <v>120.2618780344763</v>
      </c>
    </row>
    <row r="124" spans="1:6">
      <c r="A124" s="1">
        <v>9121666</v>
      </c>
      <c r="B124" s="1">
        <f t="shared" ca="1" si="4"/>
        <v>0.78200824377809208</v>
      </c>
      <c r="C124" s="1">
        <v>123</v>
      </c>
      <c r="D124" s="1">
        <f t="shared" ca="1" si="5"/>
        <v>288</v>
      </c>
      <c r="E124" s="2">
        <f t="shared" ca="1" si="6"/>
        <v>43432</v>
      </c>
      <c r="F124" s="6">
        <f t="shared" ca="1" si="7"/>
        <v>63.148352661433925</v>
      </c>
    </row>
    <row r="125" spans="1:6">
      <c r="A125" s="1">
        <v>9121669</v>
      </c>
      <c r="B125" s="1">
        <f t="shared" ca="1" si="4"/>
        <v>0.23831975916636827</v>
      </c>
      <c r="C125" s="1">
        <v>124</v>
      </c>
      <c r="D125" s="1">
        <f t="shared" ca="1" si="5"/>
        <v>588</v>
      </c>
      <c r="E125" s="2">
        <f t="shared" ca="1" si="6"/>
        <v>42774</v>
      </c>
      <c r="F125" s="6">
        <f t="shared" ca="1" si="7"/>
        <v>160.97523150698362</v>
      </c>
    </row>
    <row r="126" spans="1:6">
      <c r="A126" s="1">
        <v>9121672</v>
      </c>
      <c r="B126" s="1">
        <f t="shared" ca="1" si="4"/>
        <v>0.29947440678287929</v>
      </c>
      <c r="C126" s="1">
        <v>125</v>
      </c>
      <c r="D126" s="1">
        <f t="shared" ca="1" si="5"/>
        <v>83</v>
      </c>
      <c r="E126" s="2">
        <f t="shared" ca="1" si="6"/>
        <v>42740</v>
      </c>
      <c r="F126" s="6">
        <f t="shared" ca="1" si="7"/>
        <v>9.357364424597332</v>
      </c>
    </row>
    <row r="127" spans="1:6">
      <c r="A127" s="1">
        <v>9121675</v>
      </c>
      <c r="B127" s="1">
        <f t="shared" ca="1" si="4"/>
        <v>0.57762290987995613</v>
      </c>
      <c r="C127" s="1">
        <v>126</v>
      </c>
      <c r="D127" s="1">
        <f t="shared" ca="1" si="5"/>
        <v>587</v>
      </c>
      <c r="E127" s="2">
        <f t="shared" ca="1" si="6"/>
        <v>42828</v>
      </c>
      <c r="F127" s="6">
        <f t="shared" ca="1" si="7"/>
        <v>10.317719195381855</v>
      </c>
    </row>
    <row r="128" spans="1:6">
      <c r="A128" s="1">
        <v>9121678</v>
      </c>
      <c r="B128" s="1">
        <f t="shared" ca="1" si="4"/>
        <v>0.90342550085437168</v>
      </c>
      <c r="C128" s="1">
        <v>127</v>
      </c>
      <c r="D128" s="1">
        <f t="shared" ca="1" si="5"/>
        <v>68</v>
      </c>
      <c r="E128" s="2">
        <f t="shared" ca="1" si="6"/>
        <v>43263</v>
      </c>
      <c r="F128" s="6">
        <f t="shared" ca="1" si="7"/>
        <v>3.0024703314765011</v>
      </c>
    </row>
    <row r="129" spans="1:6">
      <c r="A129" s="1">
        <v>9121681</v>
      </c>
      <c r="B129" s="1">
        <f t="shared" ca="1" si="4"/>
        <v>0.10962579592692634</v>
      </c>
      <c r="C129" s="1">
        <v>128</v>
      </c>
      <c r="D129" s="1">
        <f t="shared" ca="1" si="5"/>
        <v>317</v>
      </c>
      <c r="E129" s="2">
        <f t="shared" ca="1" si="6"/>
        <v>42972</v>
      </c>
      <c r="F129" s="6">
        <f t="shared" ca="1" si="7"/>
        <v>56.281105515047514</v>
      </c>
    </row>
    <row r="130" spans="1:6">
      <c r="A130" s="1">
        <v>9121684</v>
      </c>
      <c r="B130" s="1">
        <f t="shared" ref="B130:B193" ca="1" si="8">RAND()</f>
        <v>0.46479158907868534</v>
      </c>
      <c r="C130" s="1">
        <v>129</v>
      </c>
      <c r="D130" s="1">
        <f t="shared" ca="1" si="5"/>
        <v>393</v>
      </c>
      <c r="E130" s="2">
        <f t="shared" ca="1" si="6"/>
        <v>42899</v>
      </c>
      <c r="F130" s="6">
        <f t="shared" ca="1" si="7"/>
        <v>9.0581669948151493</v>
      </c>
    </row>
    <row r="131" spans="1:6">
      <c r="A131" s="1">
        <v>9121687</v>
      </c>
      <c r="B131" s="1">
        <f t="shared" ca="1" si="8"/>
        <v>0.24889620791023659</v>
      </c>
      <c r="C131" s="1">
        <v>130</v>
      </c>
      <c r="D131" s="1">
        <f t="shared" ref="D131:D194" ca="1" si="9">VLOOKUP(SMALL($B$2:$B$601,C131),$B$2:$C$601,2,FALSE)</f>
        <v>385</v>
      </c>
      <c r="E131" s="2">
        <f t="shared" ref="E131:E194" ca="1" si="10">RANDBETWEEN("1/1/17","2/1/19")</f>
        <v>43154</v>
      </c>
      <c r="F131" s="6">
        <f t="shared" ref="F131:F194" ca="1" si="11">_xlfn.GAMMA.INV(RAND(),$J$6,$J$7)*100+3</f>
        <v>3.1196370157582525</v>
      </c>
    </row>
    <row r="132" spans="1:6">
      <c r="A132" s="1">
        <v>9121690</v>
      </c>
      <c r="B132" s="1">
        <f t="shared" ca="1" si="8"/>
        <v>0.59222972890801284</v>
      </c>
      <c r="C132" s="1">
        <v>131</v>
      </c>
      <c r="D132" s="1">
        <f t="shared" ca="1" si="9"/>
        <v>99</v>
      </c>
      <c r="E132" s="2">
        <f t="shared" ca="1" si="10"/>
        <v>42861</v>
      </c>
      <c r="F132" s="6">
        <f t="shared" ca="1" si="11"/>
        <v>3.0058129328285523</v>
      </c>
    </row>
    <row r="133" spans="1:6">
      <c r="A133" s="1">
        <v>9121693</v>
      </c>
      <c r="B133" s="1">
        <f t="shared" ca="1" si="8"/>
        <v>0.51457491863486593</v>
      </c>
      <c r="C133" s="1">
        <v>132</v>
      </c>
      <c r="D133" s="1">
        <f t="shared" ca="1" si="9"/>
        <v>32</v>
      </c>
      <c r="E133" s="2">
        <f t="shared" ca="1" si="10"/>
        <v>42917</v>
      </c>
      <c r="F133" s="6">
        <f t="shared" ca="1" si="11"/>
        <v>23.189944479997305</v>
      </c>
    </row>
    <row r="134" spans="1:6">
      <c r="A134" s="1">
        <v>9121696</v>
      </c>
      <c r="B134" s="1">
        <f t="shared" ca="1" si="8"/>
        <v>0.80021622254621305</v>
      </c>
      <c r="C134" s="1">
        <v>133</v>
      </c>
      <c r="D134" s="1">
        <f t="shared" ca="1" si="9"/>
        <v>124</v>
      </c>
      <c r="E134" s="2">
        <f t="shared" ca="1" si="10"/>
        <v>43487</v>
      </c>
      <c r="F134" s="6">
        <f t="shared" ca="1" si="11"/>
        <v>6.5838240728748403</v>
      </c>
    </row>
    <row r="135" spans="1:6">
      <c r="A135" s="1">
        <v>9121699</v>
      </c>
      <c r="B135" s="1">
        <f t="shared" ca="1" si="8"/>
        <v>0.48467854125307963</v>
      </c>
      <c r="C135" s="1">
        <v>134</v>
      </c>
      <c r="D135" s="1">
        <f t="shared" ca="1" si="9"/>
        <v>374</v>
      </c>
      <c r="E135" s="2">
        <f t="shared" ca="1" si="10"/>
        <v>43489</v>
      </c>
      <c r="F135" s="6">
        <f t="shared" ca="1" si="11"/>
        <v>5.5077094925711254</v>
      </c>
    </row>
    <row r="136" spans="1:6">
      <c r="A136" s="1">
        <v>9121702</v>
      </c>
      <c r="B136" s="1">
        <f t="shared" ca="1" si="8"/>
        <v>0.96076179702690656</v>
      </c>
      <c r="C136" s="1">
        <v>135</v>
      </c>
      <c r="D136" s="1">
        <f t="shared" ca="1" si="9"/>
        <v>231</v>
      </c>
      <c r="E136" s="2">
        <f t="shared" ca="1" si="10"/>
        <v>43005</v>
      </c>
      <c r="F136" s="6">
        <f t="shared" ca="1" si="11"/>
        <v>12.225321569127249</v>
      </c>
    </row>
    <row r="137" spans="1:6">
      <c r="A137" s="1">
        <v>9121705</v>
      </c>
      <c r="B137" s="1">
        <f t="shared" ca="1" si="8"/>
        <v>0.82982940801446126</v>
      </c>
      <c r="C137" s="1">
        <v>136</v>
      </c>
      <c r="D137" s="1">
        <f t="shared" ca="1" si="9"/>
        <v>416</v>
      </c>
      <c r="E137" s="2">
        <f t="shared" ca="1" si="10"/>
        <v>42845</v>
      </c>
      <c r="F137" s="6">
        <f t="shared" ca="1" si="11"/>
        <v>27.259843168069818</v>
      </c>
    </row>
    <row r="138" spans="1:6">
      <c r="A138" s="1">
        <v>9121708</v>
      </c>
      <c r="B138" s="1">
        <f t="shared" ca="1" si="8"/>
        <v>0.86912637262991466</v>
      </c>
      <c r="C138" s="1">
        <v>137</v>
      </c>
      <c r="D138" s="1">
        <f t="shared" ca="1" si="9"/>
        <v>101</v>
      </c>
      <c r="E138" s="2">
        <f t="shared" ca="1" si="10"/>
        <v>43171</v>
      </c>
      <c r="F138" s="6">
        <f t="shared" ca="1" si="11"/>
        <v>12.530719773210055</v>
      </c>
    </row>
    <row r="139" spans="1:6">
      <c r="A139" s="1">
        <v>9121711</v>
      </c>
      <c r="B139" s="1">
        <f t="shared" ca="1" si="8"/>
        <v>7.0636637927010693E-3</v>
      </c>
      <c r="C139" s="1">
        <v>138</v>
      </c>
      <c r="D139" s="1">
        <f t="shared" ca="1" si="9"/>
        <v>406</v>
      </c>
      <c r="E139" s="2">
        <f t="shared" ca="1" si="10"/>
        <v>43144</v>
      </c>
      <c r="F139" s="6">
        <f t="shared" ca="1" si="11"/>
        <v>32.859862905652093</v>
      </c>
    </row>
    <row r="140" spans="1:6">
      <c r="A140" s="1">
        <v>9121714</v>
      </c>
      <c r="B140" s="1">
        <f t="shared" ca="1" si="8"/>
        <v>0.158436611647785</v>
      </c>
      <c r="C140" s="1">
        <v>139</v>
      </c>
      <c r="D140" s="1">
        <f t="shared" ca="1" si="9"/>
        <v>49</v>
      </c>
      <c r="E140" s="2">
        <f t="shared" ca="1" si="10"/>
        <v>43338</v>
      </c>
      <c r="F140" s="6">
        <f t="shared" ca="1" si="11"/>
        <v>18.215280425934559</v>
      </c>
    </row>
    <row r="141" spans="1:6">
      <c r="A141" s="1">
        <v>9121717</v>
      </c>
      <c r="B141" s="1">
        <f t="shared" ca="1" si="8"/>
        <v>0.70531428820685693</v>
      </c>
      <c r="C141" s="1">
        <v>140</v>
      </c>
      <c r="D141" s="1">
        <f t="shared" ca="1" si="9"/>
        <v>195</v>
      </c>
      <c r="E141" s="2">
        <f t="shared" ca="1" si="10"/>
        <v>43436</v>
      </c>
      <c r="F141" s="6">
        <f t="shared" ca="1" si="11"/>
        <v>84.426411124814607</v>
      </c>
    </row>
    <row r="142" spans="1:6">
      <c r="A142" s="1">
        <v>9121720</v>
      </c>
      <c r="B142" s="1">
        <f t="shared" ca="1" si="8"/>
        <v>0.87815551404472014</v>
      </c>
      <c r="C142" s="1">
        <v>141</v>
      </c>
      <c r="D142" s="1">
        <f t="shared" ca="1" si="9"/>
        <v>130</v>
      </c>
      <c r="E142" s="2">
        <f t="shared" ca="1" si="10"/>
        <v>42814</v>
      </c>
      <c r="F142" s="6">
        <f t="shared" ca="1" si="11"/>
        <v>53.588700077041871</v>
      </c>
    </row>
    <row r="143" spans="1:6">
      <c r="A143" s="1">
        <v>9121723</v>
      </c>
      <c r="B143" s="1">
        <f t="shared" ca="1" si="8"/>
        <v>0.1104938847026472</v>
      </c>
      <c r="C143" s="1">
        <v>142</v>
      </c>
      <c r="D143" s="1">
        <f t="shared" ca="1" si="9"/>
        <v>98</v>
      </c>
      <c r="E143" s="2">
        <f t="shared" ca="1" si="10"/>
        <v>43151</v>
      </c>
      <c r="F143" s="6">
        <f t="shared" ca="1" si="11"/>
        <v>29.516444747750079</v>
      </c>
    </row>
    <row r="144" spans="1:6">
      <c r="A144" s="1">
        <v>9121726</v>
      </c>
      <c r="B144" s="1">
        <f t="shared" ca="1" si="8"/>
        <v>0.13854614555695266</v>
      </c>
      <c r="C144" s="1">
        <v>143</v>
      </c>
      <c r="D144" s="1">
        <f t="shared" ca="1" si="9"/>
        <v>438</v>
      </c>
      <c r="E144" s="2">
        <f t="shared" ca="1" si="10"/>
        <v>43259</v>
      </c>
      <c r="F144" s="6">
        <f t="shared" ca="1" si="11"/>
        <v>146.06456755912677</v>
      </c>
    </row>
    <row r="145" spans="1:6">
      <c r="A145" s="1">
        <v>9121729</v>
      </c>
      <c r="B145" s="1">
        <f t="shared" ca="1" si="8"/>
        <v>0.18554499456636508</v>
      </c>
      <c r="C145" s="1">
        <v>144</v>
      </c>
      <c r="D145" s="1">
        <f t="shared" ca="1" si="9"/>
        <v>91</v>
      </c>
      <c r="E145" s="2">
        <f t="shared" ca="1" si="10"/>
        <v>42958</v>
      </c>
      <c r="F145" s="6">
        <f t="shared" ca="1" si="11"/>
        <v>19.833123048306245</v>
      </c>
    </row>
    <row r="146" spans="1:6">
      <c r="A146" s="1">
        <v>9121732</v>
      </c>
      <c r="B146" s="1">
        <f t="shared" ca="1" si="8"/>
        <v>0.59530919573406138</v>
      </c>
      <c r="C146" s="1">
        <v>145</v>
      </c>
      <c r="D146" s="1">
        <f t="shared" ca="1" si="9"/>
        <v>389</v>
      </c>
      <c r="E146" s="2">
        <f t="shared" ca="1" si="10"/>
        <v>42836</v>
      </c>
      <c r="F146" s="6">
        <f t="shared" ca="1" si="11"/>
        <v>102.5956861005489</v>
      </c>
    </row>
    <row r="147" spans="1:6">
      <c r="A147" s="1">
        <v>9121735</v>
      </c>
      <c r="B147" s="1">
        <f t="shared" ca="1" si="8"/>
        <v>0.87461006253865514</v>
      </c>
      <c r="C147" s="1">
        <v>146</v>
      </c>
      <c r="D147" s="1">
        <f t="shared" ca="1" si="9"/>
        <v>216</v>
      </c>
      <c r="E147" s="2">
        <f t="shared" ca="1" si="10"/>
        <v>43304</v>
      </c>
      <c r="F147" s="6">
        <f t="shared" ca="1" si="11"/>
        <v>30.890077089000982</v>
      </c>
    </row>
    <row r="148" spans="1:6">
      <c r="A148" s="1">
        <v>9121738</v>
      </c>
      <c r="B148" s="1">
        <f t="shared" ca="1" si="8"/>
        <v>0.51996495945630283</v>
      </c>
      <c r="C148" s="1">
        <v>147</v>
      </c>
      <c r="D148" s="1">
        <f t="shared" ca="1" si="9"/>
        <v>54</v>
      </c>
      <c r="E148" s="2">
        <f t="shared" ca="1" si="10"/>
        <v>43258</v>
      </c>
      <c r="F148" s="6">
        <f t="shared" ca="1" si="11"/>
        <v>3.6643003525164834</v>
      </c>
    </row>
    <row r="149" spans="1:6">
      <c r="A149" s="1">
        <v>9121741</v>
      </c>
      <c r="B149" s="1">
        <f t="shared" ca="1" si="8"/>
        <v>0.39639102601209442</v>
      </c>
      <c r="C149" s="1">
        <v>148</v>
      </c>
      <c r="D149" s="1">
        <f t="shared" ca="1" si="9"/>
        <v>541</v>
      </c>
      <c r="E149" s="2">
        <f t="shared" ca="1" si="10"/>
        <v>43240</v>
      </c>
      <c r="F149" s="6">
        <f t="shared" ca="1" si="11"/>
        <v>3.599636200073915</v>
      </c>
    </row>
    <row r="150" spans="1:6">
      <c r="A150" s="1">
        <v>9121744</v>
      </c>
      <c r="B150" s="1">
        <f t="shared" ca="1" si="8"/>
        <v>0.74796938744074681</v>
      </c>
      <c r="C150" s="1">
        <v>149</v>
      </c>
      <c r="D150" s="1">
        <f t="shared" ca="1" si="9"/>
        <v>579</v>
      </c>
      <c r="E150" s="2">
        <f t="shared" ca="1" si="10"/>
        <v>43366</v>
      </c>
      <c r="F150" s="6">
        <f t="shared" ca="1" si="11"/>
        <v>3.6869740715630117</v>
      </c>
    </row>
    <row r="151" spans="1:6">
      <c r="A151" s="1">
        <v>9121747</v>
      </c>
      <c r="B151" s="1">
        <f t="shared" ca="1" si="8"/>
        <v>0.29090182399756659</v>
      </c>
      <c r="C151" s="1">
        <v>150</v>
      </c>
      <c r="D151" s="1">
        <f t="shared" ca="1" si="9"/>
        <v>107</v>
      </c>
      <c r="E151" s="2">
        <f t="shared" ca="1" si="10"/>
        <v>43087</v>
      </c>
      <c r="F151" s="6">
        <f t="shared" ca="1" si="11"/>
        <v>3.7416223517727709</v>
      </c>
    </row>
    <row r="152" spans="1:6">
      <c r="A152" s="1">
        <v>9121750</v>
      </c>
      <c r="B152" s="1">
        <f t="shared" ca="1" si="8"/>
        <v>0.17722436351421345</v>
      </c>
      <c r="C152" s="1">
        <v>151</v>
      </c>
      <c r="D152" s="1">
        <f t="shared" ca="1" si="9"/>
        <v>512</v>
      </c>
      <c r="E152" s="2">
        <f t="shared" ca="1" si="10"/>
        <v>43013</v>
      </c>
      <c r="F152" s="6">
        <f t="shared" ca="1" si="11"/>
        <v>5.7167080077401344</v>
      </c>
    </row>
    <row r="153" spans="1:6">
      <c r="A153" s="1">
        <v>9121753</v>
      </c>
      <c r="B153" s="1">
        <f t="shared" ca="1" si="8"/>
        <v>0.36126696582516504</v>
      </c>
      <c r="C153" s="1">
        <v>152</v>
      </c>
      <c r="D153" s="1">
        <f t="shared" ca="1" si="9"/>
        <v>17</v>
      </c>
      <c r="E153" s="2">
        <f t="shared" ca="1" si="10"/>
        <v>42867</v>
      </c>
      <c r="F153" s="6">
        <f t="shared" ca="1" si="11"/>
        <v>67.60296440458562</v>
      </c>
    </row>
    <row r="154" spans="1:6">
      <c r="A154" s="1">
        <v>9121756</v>
      </c>
      <c r="B154" s="1">
        <f t="shared" ca="1" si="8"/>
        <v>0.20236576123809169</v>
      </c>
      <c r="C154" s="1">
        <v>153</v>
      </c>
      <c r="D154" s="1">
        <f t="shared" ca="1" si="9"/>
        <v>316</v>
      </c>
      <c r="E154" s="2">
        <f t="shared" ca="1" si="10"/>
        <v>43163</v>
      </c>
      <c r="F154" s="6">
        <f t="shared" ca="1" si="11"/>
        <v>12.665286764065494</v>
      </c>
    </row>
    <row r="155" spans="1:6">
      <c r="A155" s="1">
        <v>9121759</v>
      </c>
      <c r="B155" s="1">
        <f t="shared" ca="1" si="8"/>
        <v>0.92840533726971752</v>
      </c>
      <c r="C155" s="1">
        <v>154</v>
      </c>
      <c r="D155" s="1">
        <f t="shared" ca="1" si="9"/>
        <v>177</v>
      </c>
      <c r="E155" s="2">
        <f t="shared" ca="1" si="10"/>
        <v>43076</v>
      </c>
      <c r="F155" s="6">
        <f t="shared" ca="1" si="11"/>
        <v>12.730895045094286</v>
      </c>
    </row>
    <row r="156" spans="1:6">
      <c r="A156" s="1">
        <v>9121762</v>
      </c>
      <c r="B156" s="1">
        <f t="shared" ca="1" si="8"/>
        <v>9.3098388927965292E-2</v>
      </c>
      <c r="C156" s="1">
        <v>155</v>
      </c>
      <c r="D156" s="1">
        <f t="shared" ca="1" si="9"/>
        <v>12</v>
      </c>
      <c r="E156" s="2">
        <f t="shared" ca="1" si="10"/>
        <v>43494</v>
      </c>
      <c r="F156" s="6">
        <f t="shared" ca="1" si="11"/>
        <v>7.5135506954747688</v>
      </c>
    </row>
    <row r="157" spans="1:6">
      <c r="A157" s="1">
        <v>9121765</v>
      </c>
      <c r="B157" s="1">
        <f t="shared" ca="1" si="8"/>
        <v>0.36880053453272155</v>
      </c>
      <c r="C157" s="1">
        <v>156</v>
      </c>
      <c r="D157" s="1">
        <f t="shared" ca="1" si="9"/>
        <v>347</v>
      </c>
      <c r="E157" s="2">
        <f t="shared" ca="1" si="10"/>
        <v>43152</v>
      </c>
      <c r="F157" s="6">
        <f t="shared" ca="1" si="11"/>
        <v>9.6974164540026475</v>
      </c>
    </row>
    <row r="158" spans="1:6">
      <c r="A158" s="1">
        <v>9121768</v>
      </c>
      <c r="B158" s="1">
        <f t="shared" ca="1" si="8"/>
        <v>0.70572068401858312</v>
      </c>
      <c r="C158" s="1">
        <v>157</v>
      </c>
      <c r="D158" s="1">
        <f t="shared" ca="1" si="9"/>
        <v>308</v>
      </c>
      <c r="E158" s="2">
        <f t="shared" ca="1" si="10"/>
        <v>42908</v>
      </c>
      <c r="F158" s="6">
        <f t="shared" ca="1" si="11"/>
        <v>406.31535383636333</v>
      </c>
    </row>
    <row r="159" spans="1:6">
      <c r="A159" s="1">
        <v>9121771</v>
      </c>
      <c r="B159" s="1">
        <f t="shared" ca="1" si="8"/>
        <v>0.6284426088294921</v>
      </c>
      <c r="C159" s="1">
        <v>158</v>
      </c>
      <c r="D159" s="1">
        <f t="shared" ca="1" si="9"/>
        <v>304</v>
      </c>
      <c r="E159" s="2">
        <f t="shared" ca="1" si="10"/>
        <v>43129</v>
      </c>
      <c r="F159" s="6">
        <f t="shared" ca="1" si="11"/>
        <v>3.1214579284415955</v>
      </c>
    </row>
    <row r="160" spans="1:6">
      <c r="A160" s="1">
        <v>9121774</v>
      </c>
      <c r="B160" s="1">
        <f t="shared" ca="1" si="8"/>
        <v>0.60075932471730209</v>
      </c>
      <c r="C160" s="1">
        <v>159</v>
      </c>
      <c r="D160" s="1">
        <f t="shared" ca="1" si="9"/>
        <v>58</v>
      </c>
      <c r="E160" s="2">
        <f t="shared" ca="1" si="10"/>
        <v>43404</v>
      </c>
      <c r="F160" s="6">
        <f t="shared" ca="1" si="11"/>
        <v>3.5355831995638409</v>
      </c>
    </row>
    <row r="161" spans="1:6">
      <c r="A161" s="1">
        <v>9121777</v>
      </c>
      <c r="B161" s="1">
        <f t="shared" ca="1" si="8"/>
        <v>0.65931334926466467</v>
      </c>
      <c r="C161" s="1">
        <v>160</v>
      </c>
      <c r="D161" s="1">
        <f t="shared" ca="1" si="9"/>
        <v>239</v>
      </c>
      <c r="E161" s="2">
        <f t="shared" ca="1" si="10"/>
        <v>43020</v>
      </c>
      <c r="F161" s="6">
        <f t="shared" ca="1" si="11"/>
        <v>50.002618054415116</v>
      </c>
    </row>
    <row r="162" spans="1:6">
      <c r="A162" s="1">
        <v>9121780</v>
      </c>
      <c r="B162" s="1">
        <f t="shared" ca="1" si="8"/>
        <v>0.64031113505063131</v>
      </c>
      <c r="C162" s="1">
        <v>161</v>
      </c>
      <c r="D162" s="1">
        <f t="shared" ca="1" si="9"/>
        <v>318</v>
      </c>
      <c r="E162" s="2">
        <f t="shared" ca="1" si="10"/>
        <v>43327</v>
      </c>
      <c r="F162" s="6">
        <f t="shared" ca="1" si="11"/>
        <v>3.1450861227740594</v>
      </c>
    </row>
    <row r="163" spans="1:6">
      <c r="A163" s="1">
        <v>9121783</v>
      </c>
      <c r="B163" s="1">
        <f t="shared" ca="1" si="8"/>
        <v>0.5513614492695541</v>
      </c>
      <c r="C163" s="1">
        <v>162</v>
      </c>
      <c r="D163" s="1">
        <f t="shared" ca="1" si="9"/>
        <v>186</v>
      </c>
      <c r="E163" s="2">
        <f t="shared" ca="1" si="10"/>
        <v>43478</v>
      </c>
      <c r="F163" s="6">
        <f t="shared" ca="1" si="11"/>
        <v>4.3791075789839278</v>
      </c>
    </row>
    <row r="164" spans="1:6">
      <c r="A164" s="1">
        <v>9121786</v>
      </c>
      <c r="B164" s="1">
        <f t="shared" ca="1" si="8"/>
        <v>0.13030556816811423</v>
      </c>
      <c r="C164" s="1">
        <v>163</v>
      </c>
      <c r="D164" s="1">
        <f t="shared" ca="1" si="9"/>
        <v>112</v>
      </c>
      <c r="E164" s="2">
        <f t="shared" ca="1" si="10"/>
        <v>43022</v>
      </c>
      <c r="F164" s="6">
        <f t="shared" ca="1" si="11"/>
        <v>210.18777031186889</v>
      </c>
    </row>
    <row r="165" spans="1:6">
      <c r="A165" s="1">
        <v>9121789</v>
      </c>
      <c r="B165" s="1">
        <f t="shared" ca="1" si="8"/>
        <v>0.49299451984885589</v>
      </c>
      <c r="C165" s="1">
        <v>164</v>
      </c>
      <c r="D165" s="1">
        <f t="shared" ca="1" si="9"/>
        <v>315</v>
      </c>
      <c r="E165" s="2">
        <f t="shared" ca="1" si="10"/>
        <v>43392</v>
      </c>
      <c r="F165" s="6">
        <f t="shared" ca="1" si="11"/>
        <v>354.8383630546553</v>
      </c>
    </row>
    <row r="166" spans="1:6">
      <c r="A166" s="1">
        <v>9121792</v>
      </c>
      <c r="B166" s="1">
        <f t="shared" ca="1" si="8"/>
        <v>2.2651189017904971E-2</v>
      </c>
      <c r="C166" s="1">
        <v>165</v>
      </c>
      <c r="D166" s="1">
        <f t="shared" ca="1" si="9"/>
        <v>354</v>
      </c>
      <c r="E166" s="2">
        <f t="shared" ca="1" si="10"/>
        <v>42845</v>
      </c>
      <c r="F166" s="6">
        <f t="shared" ca="1" si="11"/>
        <v>87.338620222179372</v>
      </c>
    </row>
    <row r="167" spans="1:6">
      <c r="A167" s="1">
        <v>9121795</v>
      </c>
      <c r="B167" s="1">
        <f t="shared" ca="1" si="8"/>
        <v>0.16752180466349309</v>
      </c>
      <c r="C167" s="1">
        <v>166</v>
      </c>
      <c r="D167" s="1">
        <f t="shared" ca="1" si="9"/>
        <v>150</v>
      </c>
      <c r="E167" s="2">
        <f t="shared" ca="1" si="10"/>
        <v>43219</v>
      </c>
      <c r="F167" s="6">
        <f t="shared" ca="1" si="11"/>
        <v>17.147264090716668</v>
      </c>
    </row>
    <row r="168" spans="1:6">
      <c r="A168" s="1">
        <v>9121798</v>
      </c>
      <c r="B168" s="1">
        <f t="shared" ca="1" si="8"/>
        <v>0.77239853475803144</v>
      </c>
      <c r="C168" s="1">
        <v>167</v>
      </c>
      <c r="D168" s="1">
        <f t="shared" ca="1" si="9"/>
        <v>443</v>
      </c>
      <c r="E168" s="2">
        <f t="shared" ca="1" si="10"/>
        <v>43386</v>
      </c>
      <c r="F168" s="6">
        <f t="shared" ca="1" si="11"/>
        <v>52.369673449946731</v>
      </c>
    </row>
    <row r="169" spans="1:6">
      <c r="A169" s="1">
        <v>9121801</v>
      </c>
      <c r="B169" s="1">
        <f t="shared" ca="1" si="8"/>
        <v>9.5017198972114358E-2</v>
      </c>
      <c r="C169" s="1">
        <v>168</v>
      </c>
      <c r="D169" s="1">
        <f t="shared" ca="1" si="9"/>
        <v>125</v>
      </c>
      <c r="E169" s="2">
        <f t="shared" ca="1" si="10"/>
        <v>43446</v>
      </c>
      <c r="F169" s="6">
        <f t="shared" ca="1" si="11"/>
        <v>67.905896083541862</v>
      </c>
    </row>
    <row r="170" spans="1:6">
      <c r="A170" s="1">
        <v>9121804</v>
      </c>
      <c r="B170" s="1">
        <f t="shared" ca="1" si="8"/>
        <v>0.32583490417694383</v>
      </c>
      <c r="C170" s="1">
        <v>169</v>
      </c>
      <c r="D170" s="1">
        <f t="shared" ca="1" si="9"/>
        <v>276</v>
      </c>
      <c r="E170" s="2">
        <f t="shared" ca="1" si="10"/>
        <v>43179</v>
      </c>
      <c r="F170" s="6">
        <f t="shared" ca="1" si="11"/>
        <v>231.79618718040427</v>
      </c>
    </row>
    <row r="171" spans="1:6">
      <c r="A171" s="1">
        <v>9121807</v>
      </c>
      <c r="B171" s="1">
        <f t="shared" ca="1" si="8"/>
        <v>0.83001257827667474</v>
      </c>
      <c r="C171" s="1">
        <v>170</v>
      </c>
      <c r="D171" s="1">
        <f t="shared" ca="1" si="9"/>
        <v>521</v>
      </c>
      <c r="E171" s="2">
        <f t="shared" ca="1" si="10"/>
        <v>43329</v>
      </c>
      <c r="F171" s="6">
        <f t="shared" ca="1" si="11"/>
        <v>51.164820207831092</v>
      </c>
    </row>
    <row r="172" spans="1:6">
      <c r="A172" s="1">
        <v>9121810</v>
      </c>
      <c r="B172" s="1">
        <f t="shared" ca="1" si="8"/>
        <v>0.79550383736439567</v>
      </c>
      <c r="C172" s="1">
        <v>171</v>
      </c>
      <c r="D172" s="1">
        <f t="shared" ca="1" si="9"/>
        <v>348</v>
      </c>
      <c r="E172" s="2">
        <f t="shared" ca="1" si="10"/>
        <v>42946</v>
      </c>
      <c r="F172" s="6">
        <f t="shared" ca="1" si="11"/>
        <v>107.73699051632769</v>
      </c>
    </row>
    <row r="173" spans="1:6">
      <c r="A173" s="1">
        <v>9121813</v>
      </c>
      <c r="B173" s="1">
        <f t="shared" ca="1" si="8"/>
        <v>0.20973198676954541</v>
      </c>
      <c r="C173" s="1">
        <v>172</v>
      </c>
      <c r="D173" s="1">
        <f t="shared" ca="1" si="9"/>
        <v>477</v>
      </c>
      <c r="E173" s="2">
        <f t="shared" ca="1" si="10"/>
        <v>42923</v>
      </c>
      <c r="F173" s="6">
        <f t="shared" ca="1" si="11"/>
        <v>34.363674255102609</v>
      </c>
    </row>
    <row r="174" spans="1:6">
      <c r="A174" s="1">
        <v>9121816</v>
      </c>
      <c r="B174" s="1">
        <f t="shared" ca="1" si="8"/>
        <v>0.1787223764212057</v>
      </c>
      <c r="C174" s="1">
        <v>173</v>
      </c>
      <c r="D174" s="1">
        <f t="shared" ca="1" si="9"/>
        <v>523</v>
      </c>
      <c r="E174" s="2">
        <f t="shared" ca="1" si="10"/>
        <v>43489</v>
      </c>
      <c r="F174" s="6">
        <f t="shared" ca="1" si="11"/>
        <v>10.779552705473476</v>
      </c>
    </row>
    <row r="175" spans="1:6">
      <c r="A175" s="1">
        <v>9121819</v>
      </c>
      <c r="B175" s="1">
        <f t="shared" ca="1" si="8"/>
        <v>0.3456210806170591</v>
      </c>
      <c r="C175" s="1">
        <v>174</v>
      </c>
      <c r="D175" s="1">
        <f t="shared" ca="1" si="9"/>
        <v>309</v>
      </c>
      <c r="E175" s="2">
        <f t="shared" ca="1" si="10"/>
        <v>43414</v>
      </c>
      <c r="F175" s="6">
        <f t="shared" ca="1" si="11"/>
        <v>75.291056191549814</v>
      </c>
    </row>
    <row r="176" spans="1:6">
      <c r="A176" s="1">
        <v>9121822</v>
      </c>
      <c r="B176" s="1">
        <f t="shared" ca="1" si="8"/>
        <v>0.92339241277341999</v>
      </c>
      <c r="C176" s="1">
        <v>175</v>
      </c>
      <c r="D176" s="1">
        <f t="shared" ca="1" si="9"/>
        <v>453</v>
      </c>
      <c r="E176" s="2">
        <f t="shared" ca="1" si="10"/>
        <v>43329</v>
      </c>
      <c r="F176" s="6">
        <f t="shared" ca="1" si="11"/>
        <v>116.21091623386678</v>
      </c>
    </row>
    <row r="177" spans="1:6">
      <c r="A177" s="1">
        <v>9121825</v>
      </c>
      <c r="B177" s="1">
        <f t="shared" ca="1" si="8"/>
        <v>0.96155169355126424</v>
      </c>
      <c r="C177" s="1">
        <v>176</v>
      </c>
      <c r="D177" s="1">
        <f t="shared" ca="1" si="9"/>
        <v>466</v>
      </c>
      <c r="E177" s="2">
        <f t="shared" ca="1" si="10"/>
        <v>43022</v>
      </c>
      <c r="F177" s="6">
        <f t="shared" ca="1" si="11"/>
        <v>73.845076466010639</v>
      </c>
    </row>
    <row r="178" spans="1:6">
      <c r="A178" s="1">
        <v>9121828</v>
      </c>
      <c r="B178" s="1">
        <f t="shared" ca="1" si="8"/>
        <v>0.27378181379882338</v>
      </c>
      <c r="C178" s="1">
        <v>177</v>
      </c>
      <c r="D178" s="1">
        <f t="shared" ca="1" si="9"/>
        <v>527</v>
      </c>
      <c r="E178" s="2">
        <f t="shared" ca="1" si="10"/>
        <v>43170</v>
      </c>
      <c r="F178" s="6">
        <f t="shared" ca="1" si="11"/>
        <v>41.757483126700684</v>
      </c>
    </row>
    <row r="179" spans="1:6">
      <c r="A179" s="1">
        <v>9121831</v>
      </c>
      <c r="B179" s="1">
        <f t="shared" ca="1" si="8"/>
        <v>0.3312162892937347</v>
      </c>
      <c r="C179" s="1">
        <v>178</v>
      </c>
      <c r="D179" s="1">
        <f t="shared" ca="1" si="9"/>
        <v>390</v>
      </c>
      <c r="E179" s="2">
        <f t="shared" ca="1" si="10"/>
        <v>43253</v>
      </c>
      <c r="F179" s="6">
        <f t="shared" ca="1" si="11"/>
        <v>3.925706135440433</v>
      </c>
    </row>
    <row r="180" spans="1:6">
      <c r="A180" s="1">
        <v>9121834</v>
      </c>
      <c r="B180" s="1">
        <f t="shared" ca="1" si="8"/>
        <v>0.51744368412396424</v>
      </c>
      <c r="C180" s="1">
        <v>179</v>
      </c>
      <c r="D180" s="1">
        <f t="shared" ca="1" si="9"/>
        <v>378</v>
      </c>
      <c r="E180" s="2">
        <f t="shared" ca="1" si="10"/>
        <v>42841</v>
      </c>
      <c r="F180" s="6">
        <f t="shared" ca="1" si="11"/>
        <v>14.778449102904132</v>
      </c>
    </row>
    <row r="181" spans="1:6">
      <c r="A181" s="1">
        <v>9121837</v>
      </c>
      <c r="B181" s="1">
        <f t="shared" ca="1" si="8"/>
        <v>0.84636835682512623</v>
      </c>
      <c r="C181" s="1">
        <v>180</v>
      </c>
      <c r="D181" s="1">
        <f t="shared" ca="1" si="9"/>
        <v>387</v>
      </c>
      <c r="E181" s="2">
        <f t="shared" ca="1" si="10"/>
        <v>43332</v>
      </c>
      <c r="F181" s="6">
        <f t="shared" ca="1" si="11"/>
        <v>26.577572119390588</v>
      </c>
    </row>
    <row r="182" spans="1:6">
      <c r="A182" s="1">
        <v>9121840</v>
      </c>
      <c r="B182" s="1">
        <f t="shared" ca="1" si="8"/>
        <v>0.49892535805997518</v>
      </c>
      <c r="C182" s="1">
        <v>181</v>
      </c>
      <c r="D182" s="1">
        <f t="shared" ca="1" si="9"/>
        <v>470</v>
      </c>
      <c r="E182" s="2">
        <f t="shared" ca="1" si="10"/>
        <v>42896</v>
      </c>
      <c r="F182" s="6">
        <f t="shared" ca="1" si="11"/>
        <v>7.616844911088144</v>
      </c>
    </row>
    <row r="183" spans="1:6">
      <c r="A183" s="1">
        <v>9121843</v>
      </c>
      <c r="B183" s="1">
        <f t="shared" ca="1" si="8"/>
        <v>0.85318364035276295</v>
      </c>
      <c r="C183" s="1">
        <v>182</v>
      </c>
      <c r="D183" s="1">
        <f t="shared" ca="1" si="9"/>
        <v>261</v>
      </c>
      <c r="E183" s="2">
        <f t="shared" ca="1" si="10"/>
        <v>43233</v>
      </c>
      <c r="F183" s="6">
        <f t="shared" ca="1" si="11"/>
        <v>28.708388453034516</v>
      </c>
    </row>
    <row r="184" spans="1:6">
      <c r="A184" s="1">
        <v>9121846</v>
      </c>
      <c r="B184" s="1">
        <f t="shared" ca="1" si="8"/>
        <v>0.16631060764948657</v>
      </c>
      <c r="C184" s="1">
        <v>183</v>
      </c>
      <c r="D184" s="1">
        <f t="shared" ca="1" si="9"/>
        <v>5</v>
      </c>
      <c r="E184" s="2">
        <f t="shared" ca="1" si="10"/>
        <v>43426</v>
      </c>
      <c r="F184" s="6">
        <f t="shared" ca="1" si="11"/>
        <v>34.961454198288259</v>
      </c>
    </row>
    <row r="185" spans="1:6">
      <c r="A185" s="1">
        <v>9121849</v>
      </c>
      <c r="B185" s="1">
        <f t="shared" ca="1" si="8"/>
        <v>0.21071953471557536</v>
      </c>
      <c r="C185" s="1">
        <v>184</v>
      </c>
      <c r="D185" s="1">
        <f t="shared" ca="1" si="9"/>
        <v>580</v>
      </c>
      <c r="E185" s="2">
        <f t="shared" ca="1" si="10"/>
        <v>43336</v>
      </c>
      <c r="F185" s="6">
        <f t="shared" ca="1" si="11"/>
        <v>40.17052488765006</v>
      </c>
    </row>
    <row r="186" spans="1:6">
      <c r="A186" s="1">
        <v>9121852</v>
      </c>
      <c r="B186" s="1">
        <f t="shared" ca="1" si="8"/>
        <v>0.51117694505493916</v>
      </c>
      <c r="C186" s="1">
        <v>185</v>
      </c>
      <c r="D186" s="1">
        <f t="shared" ca="1" si="9"/>
        <v>169</v>
      </c>
      <c r="E186" s="2">
        <f t="shared" ca="1" si="10"/>
        <v>42924</v>
      </c>
      <c r="F186" s="6">
        <f t="shared" ca="1" si="11"/>
        <v>15.317329238781117</v>
      </c>
    </row>
    <row r="187" spans="1:6">
      <c r="A187" s="1">
        <v>9121855</v>
      </c>
      <c r="B187" s="1">
        <f t="shared" ca="1" si="8"/>
        <v>0.2822183669136703</v>
      </c>
      <c r="C187" s="1">
        <v>186</v>
      </c>
      <c r="D187" s="1">
        <f t="shared" ca="1" si="9"/>
        <v>102</v>
      </c>
      <c r="E187" s="2">
        <f t="shared" ca="1" si="10"/>
        <v>42861</v>
      </c>
      <c r="F187" s="6">
        <f t="shared" ca="1" si="11"/>
        <v>24.643088973576504</v>
      </c>
    </row>
    <row r="188" spans="1:6">
      <c r="A188" s="1">
        <v>9121858</v>
      </c>
      <c r="B188" s="1">
        <f t="shared" ca="1" si="8"/>
        <v>0.43921874306084363</v>
      </c>
      <c r="C188" s="1">
        <v>187</v>
      </c>
      <c r="D188" s="1">
        <f t="shared" ca="1" si="9"/>
        <v>178</v>
      </c>
      <c r="E188" s="2">
        <f t="shared" ca="1" si="10"/>
        <v>43448</v>
      </c>
      <c r="F188" s="6">
        <f t="shared" ca="1" si="11"/>
        <v>92.118099984040697</v>
      </c>
    </row>
    <row r="189" spans="1:6">
      <c r="A189" s="1">
        <v>9121861</v>
      </c>
      <c r="B189" s="1">
        <f t="shared" ca="1" si="8"/>
        <v>0.61327763139624314</v>
      </c>
      <c r="C189" s="1">
        <v>188</v>
      </c>
      <c r="D189" s="1">
        <f t="shared" ca="1" si="9"/>
        <v>25</v>
      </c>
      <c r="E189" s="2">
        <f t="shared" ca="1" si="10"/>
        <v>43343</v>
      </c>
      <c r="F189" s="6">
        <f t="shared" ca="1" si="11"/>
        <v>23.996208839548345</v>
      </c>
    </row>
    <row r="190" spans="1:6">
      <c r="A190" s="1">
        <v>9121864</v>
      </c>
      <c r="B190" s="1">
        <f t="shared" ca="1" si="8"/>
        <v>0.69736798757913554</v>
      </c>
      <c r="C190" s="1">
        <v>189</v>
      </c>
      <c r="D190" s="1">
        <f t="shared" ca="1" si="9"/>
        <v>324</v>
      </c>
      <c r="E190" s="2">
        <f t="shared" ca="1" si="10"/>
        <v>43028</v>
      </c>
      <c r="F190" s="6">
        <f t="shared" ca="1" si="11"/>
        <v>44.951215942961618</v>
      </c>
    </row>
    <row r="191" spans="1:6">
      <c r="A191" s="1">
        <v>9121867</v>
      </c>
      <c r="B191" s="1">
        <f t="shared" ca="1" si="8"/>
        <v>0.55264514254092167</v>
      </c>
      <c r="C191" s="1">
        <v>190</v>
      </c>
      <c r="D191" s="1">
        <f t="shared" ca="1" si="9"/>
        <v>206</v>
      </c>
      <c r="E191" s="2">
        <f t="shared" ca="1" si="10"/>
        <v>42775</v>
      </c>
      <c r="F191" s="6">
        <f t="shared" ca="1" si="11"/>
        <v>11.604821203134456</v>
      </c>
    </row>
    <row r="192" spans="1:6">
      <c r="A192" s="1">
        <v>9121870</v>
      </c>
      <c r="B192" s="1">
        <f t="shared" ca="1" si="8"/>
        <v>0.9472682320830198</v>
      </c>
      <c r="C192" s="1">
        <v>191</v>
      </c>
      <c r="D192" s="1">
        <f t="shared" ca="1" si="9"/>
        <v>31</v>
      </c>
      <c r="E192" s="2">
        <f t="shared" ca="1" si="10"/>
        <v>43295</v>
      </c>
      <c r="F192" s="6">
        <f t="shared" ca="1" si="11"/>
        <v>3.5669050029821578</v>
      </c>
    </row>
    <row r="193" spans="1:6">
      <c r="A193" s="1">
        <v>9121873</v>
      </c>
      <c r="B193" s="1">
        <f t="shared" ca="1" si="8"/>
        <v>8.2927642204340124E-2</v>
      </c>
      <c r="C193" s="1">
        <v>192</v>
      </c>
      <c r="D193" s="1">
        <f t="shared" ca="1" si="9"/>
        <v>570</v>
      </c>
      <c r="E193" s="2">
        <f t="shared" ca="1" si="10"/>
        <v>42966</v>
      </c>
      <c r="F193" s="6">
        <f t="shared" ca="1" si="11"/>
        <v>3.5861910785761277</v>
      </c>
    </row>
    <row r="194" spans="1:6">
      <c r="A194" s="1">
        <v>9121876</v>
      </c>
      <c r="B194" s="1">
        <f t="shared" ref="B194:B257" ca="1" si="12">RAND()</f>
        <v>0.36789348700026636</v>
      </c>
      <c r="C194" s="1">
        <v>193</v>
      </c>
      <c r="D194" s="1">
        <f t="shared" ca="1" si="9"/>
        <v>60</v>
      </c>
      <c r="E194" s="2">
        <f t="shared" ca="1" si="10"/>
        <v>42782</v>
      </c>
      <c r="F194" s="6">
        <f t="shared" ca="1" si="11"/>
        <v>3.1139538561681972</v>
      </c>
    </row>
    <row r="195" spans="1:6">
      <c r="A195" s="1">
        <v>9121879</v>
      </c>
      <c r="B195" s="1">
        <f t="shared" ca="1" si="12"/>
        <v>0.39225154714030708</v>
      </c>
      <c r="C195" s="1">
        <v>194</v>
      </c>
      <c r="D195" s="1">
        <f t="shared" ref="D195:D258" ca="1" si="13">VLOOKUP(SMALL($B$2:$B$601,C195),$B$2:$C$601,2,FALSE)</f>
        <v>174</v>
      </c>
      <c r="E195" s="2">
        <f t="shared" ref="E195:E258" ca="1" si="14">RANDBETWEEN("1/1/17","2/1/19")</f>
        <v>42948</v>
      </c>
      <c r="F195" s="6">
        <f t="shared" ref="F195:F258" ca="1" si="15">_xlfn.GAMMA.INV(RAND(),$J$6,$J$7)*100+3</f>
        <v>7.6013783730971429</v>
      </c>
    </row>
    <row r="196" spans="1:6">
      <c r="A196" s="1">
        <v>9121882</v>
      </c>
      <c r="B196" s="1">
        <f t="shared" ca="1" si="12"/>
        <v>0.24715444050609503</v>
      </c>
      <c r="C196" s="1">
        <v>195</v>
      </c>
      <c r="D196" s="1">
        <f t="shared" ca="1" si="13"/>
        <v>310</v>
      </c>
      <c r="E196" s="2">
        <f t="shared" ca="1" si="14"/>
        <v>43161</v>
      </c>
      <c r="F196" s="6">
        <f t="shared" ca="1" si="15"/>
        <v>56.250277724593701</v>
      </c>
    </row>
    <row r="197" spans="1:6">
      <c r="A197" s="1">
        <v>9121885</v>
      </c>
      <c r="B197" s="1">
        <f t="shared" ca="1" si="12"/>
        <v>0.56017291636280142</v>
      </c>
      <c r="C197" s="1">
        <v>196</v>
      </c>
      <c r="D197" s="1">
        <f t="shared" ca="1" si="13"/>
        <v>546</v>
      </c>
      <c r="E197" s="2">
        <f t="shared" ca="1" si="14"/>
        <v>43230</v>
      </c>
      <c r="F197" s="6">
        <f t="shared" ca="1" si="15"/>
        <v>87.720207227590123</v>
      </c>
    </row>
    <row r="198" spans="1:6">
      <c r="A198" s="1">
        <v>9121888</v>
      </c>
      <c r="B198" s="1">
        <f t="shared" ca="1" si="12"/>
        <v>0.44556867898974639</v>
      </c>
      <c r="C198" s="1">
        <v>197</v>
      </c>
      <c r="D198" s="1">
        <f t="shared" ca="1" si="13"/>
        <v>233</v>
      </c>
      <c r="E198" s="2">
        <f t="shared" ca="1" si="14"/>
        <v>43111</v>
      </c>
      <c r="F198" s="6">
        <f t="shared" ca="1" si="15"/>
        <v>159.21191071845411</v>
      </c>
    </row>
    <row r="199" spans="1:6">
      <c r="A199" s="1">
        <v>9121891</v>
      </c>
      <c r="B199" s="1">
        <f t="shared" ca="1" si="12"/>
        <v>0.68309659888587948</v>
      </c>
      <c r="C199" s="1">
        <v>198</v>
      </c>
      <c r="D199" s="1">
        <f t="shared" ca="1" si="13"/>
        <v>522</v>
      </c>
      <c r="E199" s="2">
        <f t="shared" ca="1" si="14"/>
        <v>42981</v>
      </c>
      <c r="F199" s="6">
        <f t="shared" ca="1" si="15"/>
        <v>10.967573999881079</v>
      </c>
    </row>
    <row r="200" spans="1:6">
      <c r="A200" s="1">
        <v>9121894</v>
      </c>
      <c r="B200" s="1">
        <f t="shared" ca="1" si="12"/>
        <v>0.54103431710766658</v>
      </c>
      <c r="C200" s="1">
        <v>199</v>
      </c>
      <c r="D200" s="1">
        <f t="shared" ca="1" si="13"/>
        <v>221</v>
      </c>
      <c r="E200" s="2">
        <f t="shared" ca="1" si="14"/>
        <v>43396</v>
      </c>
      <c r="F200" s="6">
        <f t="shared" ca="1" si="15"/>
        <v>46.887070159841493</v>
      </c>
    </row>
    <row r="201" spans="1:6">
      <c r="A201" s="1">
        <v>9121897</v>
      </c>
      <c r="B201" s="1">
        <f t="shared" ca="1" si="12"/>
        <v>0.40710288404094719</v>
      </c>
      <c r="C201" s="1">
        <v>200</v>
      </c>
      <c r="D201" s="1">
        <f t="shared" ca="1" si="13"/>
        <v>226</v>
      </c>
      <c r="E201" s="2">
        <f t="shared" ca="1" si="14"/>
        <v>43345</v>
      </c>
      <c r="F201" s="6">
        <f t="shared" ca="1" si="15"/>
        <v>11.980381846352719</v>
      </c>
    </row>
    <row r="202" spans="1:6">
      <c r="A202" s="1">
        <v>9121900</v>
      </c>
      <c r="B202" s="1">
        <f t="shared" ca="1" si="12"/>
        <v>0.47158123650560335</v>
      </c>
      <c r="C202" s="1">
        <v>201</v>
      </c>
      <c r="D202" s="1">
        <f t="shared" ca="1" si="13"/>
        <v>346</v>
      </c>
      <c r="E202" s="2">
        <f t="shared" ca="1" si="14"/>
        <v>42784</v>
      </c>
      <c r="F202" s="6">
        <f t="shared" ca="1" si="15"/>
        <v>120.14794070283567</v>
      </c>
    </row>
    <row r="203" spans="1:6">
      <c r="A203" s="1">
        <v>9121903</v>
      </c>
      <c r="B203" s="1">
        <f t="shared" ca="1" si="12"/>
        <v>0.42292722171373787</v>
      </c>
      <c r="C203" s="1">
        <v>202</v>
      </c>
      <c r="D203" s="1">
        <f t="shared" ca="1" si="13"/>
        <v>255</v>
      </c>
      <c r="E203" s="2">
        <f t="shared" ca="1" si="14"/>
        <v>43365</v>
      </c>
      <c r="F203" s="6">
        <f t="shared" ca="1" si="15"/>
        <v>142.33700723580992</v>
      </c>
    </row>
    <row r="204" spans="1:6">
      <c r="A204" s="1">
        <v>9121906</v>
      </c>
      <c r="B204" s="1">
        <f t="shared" ca="1" si="12"/>
        <v>0.4061455620725184</v>
      </c>
      <c r="C204" s="1">
        <v>203</v>
      </c>
      <c r="D204" s="1">
        <f t="shared" ca="1" si="13"/>
        <v>223</v>
      </c>
      <c r="E204" s="2">
        <f t="shared" ca="1" si="14"/>
        <v>43057</v>
      </c>
      <c r="F204" s="6">
        <f t="shared" ca="1" si="15"/>
        <v>4.0090427742689458</v>
      </c>
    </row>
    <row r="205" spans="1:6">
      <c r="A205" s="1">
        <v>9121909</v>
      </c>
      <c r="B205" s="1">
        <f t="shared" ca="1" si="12"/>
        <v>0.63989998117626923</v>
      </c>
      <c r="C205" s="1">
        <v>204</v>
      </c>
      <c r="D205" s="1">
        <f t="shared" ca="1" si="13"/>
        <v>15</v>
      </c>
      <c r="E205" s="2">
        <f t="shared" ca="1" si="14"/>
        <v>43396</v>
      </c>
      <c r="F205" s="6">
        <f t="shared" ca="1" si="15"/>
        <v>4.4301427143550729</v>
      </c>
    </row>
    <row r="206" spans="1:6">
      <c r="A206" s="1">
        <v>9121912</v>
      </c>
      <c r="B206" s="1">
        <f t="shared" ca="1" si="12"/>
        <v>0.4296329074256191</v>
      </c>
      <c r="C206" s="1">
        <v>205</v>
      </c>
      <c r="D206" s="1">
        <f t="shared" ca="1" si="13"/>
        <v>277</v>
      </c>
      <c r="E206" s="2">
        <f t="shared" ca="1" si="14"/>
        <v>43121</v>
      </c>
      <c r="F206" s="6">
        <f t="shared" ca="1" si="15"/>
        <v>24.708468531211654</v>
      </c>
    </row>
    <row r="207" spans="1:6">
      <c r="A207" s="1">
        <v>9121915</v>
      </c>
      <c r="B207" s="1">
        <f t="shared" ca="1" si="12"/>
        <v>0.33560787949126891</v>
      </c>
      <c r="C207" s="1">
        <v>206</v>
      </c>
      <c r="D207" s="1">
        <f t="shared" ca="1" si="13"/>
        <v>412</v>
      </c>
      <c r="E207" s="2">
        <f t="shared" ca="1" si="14"/>
        <v>42771</v>
      </c>
      <c r="F207" s="6">
        <f t="shared" ca="1" si="15"/>
        <v>3.9304847641223635</v>
      </c>
    </row>
    <row r="208" spans="1:6">
      <c r="A208" s="1">
        <v>9121918</v>
      </c>
      <c r="B208" s="1">
        <f t="shared" ca="1" si="12"/>
        <v>0.48430339144954115</v>
      </c>
      <c r="C208" s="1">
        <v>207</v>
      </c>
      <c r="D208" s="1">
        <f t="shared" ca="1" si="13"/>
        <v>152</v>
      </c>
      <c r="E208" s="2">
        <f t="shared" ca="1" si="14"/>
        <v>43005</v>
      </c>
      <c r="F208" s="6">
        <f t="shared" ca="1" si="15"/>
        <v>43.902777664737023</v>
      </c>
    </row>
    <row r="209" spans="1:6">
      <c r="A209" s="1">
        <v>9121921</v>
      </c>
      <c r="B209" s="1">
        <f t="shared" ca="1" si="12"/>
        <v>6.5535676401651255E-3</v>
      </c>
      <c r="C209" s="1">
        <v>208</v>
      </c>
      <c r="D209" s="1">
        <f t="shared" ca="1" si="13"/>
        <v>52</v>
      </c>
      <c r="E209" s="2">
        <f t="shared" ca="1" si="14"/>
        <v>42922</v>
      </c>
      <c r="F209" s="6">
        <f t="shared" ca="1" si="15"/>
        <v>3.0996882402974704</v>
      </c>
    </row>
    <row r="210" spans="1:6">
      <c r="A210" s="1">
        <v>9121924</v>
      </c>
      <c r="B210" s="1">
        <f t="shared" ca="1" si="12"/>
        <v>0.99502414708331099</v>
      </c>
      <c r="C210" s="1">
        <v>209</v>
      </c>
      <c r="D210" s="1">
        <f t="shared" ca="1" si="13"/>
        <v>193</v>
      </c>
      <c r="E210" s="2">
        <f t="shared" ca="1" si="14"/>
        <v>43267</v>
      </c>
      <c r="F210" s="6">
        <f t="shared" ca="1" si="15"/>
        <v>14.233078344461065</v>
      </c>
    </row>
    <row r="211" spans="1:6">
      <c r="A211" s="1">
        <v>9121927</v>
      </c>
      <c r="B211" s="1">
        <f t="shared" ca="1" si="12"/>
        <v>0.78776079778068819</v>
      </c>
      <c r="C211" s="1">
        <v>210</v>
      </c>
      <c r="D211" s="1">
        <f t="shared" ca="1" si="13"/>
        <v>156</v>
      </c>
      <c r="E211" s="2">
        <f t="shared" ca="1" si="14"/>
        <v>43303</v>
      </c>
      <c r="F211" s="6">
        <f t="shared" ca="1" si="15"/>
        <v>37.967873344154384</v>
      </c>
    </row>
    <row r="212" spans="1:6">
      <c r="A212" s="1">
        <v>9121930</v>
      </c>
      <c r="B212" s="1">
        <f t="shared" ca="1" si="12"/>
        <v>0.80504450171188779</v>
      </c>
      <c r="C212" s="1">
        <v>211</v>
      </c>
      <c r="D212" s="1">
        <f t="shared" ca="1" si="13"/>
        <v>490</v>
      </c>
      <c r="E212" s="2">
        <f t="shared" ca="1" si="14"/>
        <v>42972</v>
      </c>
      <c r="F212" s="6">
        <f t="shared" ca="1" si="15"/>
        <v>27.008873473557514</v>
      </c>
    </row>
    <row r="213" spans="1:6">
      <c r="A213" s="1">
        <v>9121933</v>
      </c>
      <c r="B213" s="1">
        <f t="shared" ca="1" si="12"/>
        <v>0.87620742297408849</v>
      </c>
      <c r="C213" s="1">
        <v>212</v>
      </c>
      <c r="D213" s="1">
        <f t="shared" ca="1" si="13"/>
        <v>94</v>
      </c>
      <c r="E213" s="2">
        <f t="shared" ca="1" si="14"/>
        <v>43246</v>
      </c>
      <c r="F213" s="6">
        <f t="shared" ca="1" si="15"/>
        <v>12.039264493525568</v>
      </c>
    </row>
    <row r="214" spans="1:6">
      <c r="A214" s="1">
        <v>9121936</v>
      </c>
      <c r="B214" s="1">
        <f t="shared" ca="1" si="12"/>
        <v>0.43621106511276353</v>
      </c>
      <c r="C214" s="1">
        <v>213</v>
      </c>
      <c r="D214" s="1">
        <f t="shared" ca="1" si="13"/>
        <v>361</v>
      </c>
      <c r="E214" s="2">
        <f t="shared" ca="1" si="14"/>
        <v>42747</v>
      </c>
      <c r="F214" s="6">
        <f t="shared" ca="1" si="15"/>
        <v>41.422914050857074</v>
      </c>
    </row>
    <row r="215" spans="1:6">
      <c r="A215" s="1">
        <v>9121939</v>
      </c>
      <c r="B215" s="1">
        <f t="shared" ca="1" si="12"/>
        <v>0.91722748606528026</v>
      </c>
      <c r="C215" s="1">
        <v>214</v>
      </c>
      <c r="D215" s="1">
        <f t="shared" ca="1" si="13"/>
        <v>296</v>
      </c>
      <c r="E215" s="2">
        <f t="shared" ca="1" si="14"/>
        <v>43109</v>
      </c>
      <c r="F215" s="6">
        <f t="shared" ca="1" si="15"/>
        <v>19.834573284488002</v>
      </c>
    </row>
    <row r="216" spans="1:6">
      <c r="A216" s="1">
        <v>9121942</v>
      </c>
      <c r="B216" s="1">
        <f t="shared" ca="1" si="12"/>
        <v>0.46914114899333548</v>
      </c>
      <c r="C216" s="1">
        <v>215</v>
      </c>
      <c r="D216" s="1">
        <f t="shared" ca="1" si="13"/>
        <v>272</v>
      </c>
      <c r="E216" s="2">
        <f t="shared" ca="1" si="14"/>
        <v>43354</v>
      </c>
      <c r="F216" s="6">
        <f t="shared" ca="1" si="15"/>
        <v>32.51365283623975</v>
      </c>
    </row>
    <row r="217" spans="1:6">
      <c r="A217" s="1">
        <v>9121945</v>
      </c>
      <c r="B217" s="1">
        <f t="shared" ca="1" si="12"/>
        <v>0.2656186225155156</v>
      </c>
      <c r="C217" s="1">
        <v>216</v>
      </c>
      <c r="D217" s="1">
        <f t="shared" ca="1" si="13"/>
        <v>120</v>
      </c>
      <c r="E217" s="2">
        <f t="shared" ca="1" si="14"/>
        <v>43139</v>
      </c>
      <c r="F217" s="6">
        <f t="shared" ca="1" si="15"/>
        <v>131.40016747224777</v>
      </c>
    </row>
    <row r="218" spans="1:6">
      <c r="A218" s="1">
        <v>9121948</v>
      </c>
      <c r="B218" s="1">
        <f t="shared" ca="1" si="12"/>
        <v>0.51300038691102989</v>
      </c>
      <c r="C218" s="1">
        <v>217</v>
      </c>
      <c r="D218" s="1">
        <f t="shared" ca="1" si="13"/>
        <v>371</v>
      </c>
      <c r="E218" s="2">
        <f t="shared" ca="1" si="14"/>
        <v>43299</v>
      </c>
      <c r="F218" s="6">
        <f t="shared" ca="1" si="15"/>
        <v>81.49137101193152</v>
      </c>
    </row>
    <row r="219" spans="1:6">
      <c r="A219" s="1">
        <v>9121951</v>
      </c>
      <c r="B219" s="1">
        <f t="shared" ca="1" si="12"/>
        <v>0.90984554056094857</v>
      </c>
      <c r="C219" s="1">
        <v>218</v>
      </c>
      <c r="D219" s="1">
        <f t="shared" ca="1" si="13"/>
        <v>345</v>
      </c>
      <c r="E219" s="2">
        <f t="shared" ca="1" si="14"/>
        <v>42923</v>
      </c>
      <c r="F219" s="6">
        <f t="shared" ca="1" si="15"/>
        <v>99.632174279071677</v>
      </c>
    </row>
    <row r="220" spans="1:6">
      <c r="A220" s="1">
        <v>9121954</v>
      </c>
      <c r="B220" s="1">
        <f t="shared" ca="1" si="12"/>
        <v>0.72053236621471306</v>
      </c>
      <c r="C220" s="1">
        <v>219</v>
      </c>
      <c r="D220" s="1">
        <f t="shared" ca="1" si="13"/>
        <v>295</v>
      </c>
      <c r="E220" s="2">
        <f t="shared" ca="1" si="14"/>
        <v>42929</v>
      </c>
      <c r="F220" s="6">
        <f t="shared" ca="1" si="15"/>
        <v>10.628965280758727</v>
      </c>
    </row>
    <row r="221" spans="1:6">
      <c r="A221" s="1">
        <v>9121957</v>
      </c>
      <c r="B221" s="1">
        <f t="shared" ca="1" si="12"/>
        <v>9.5631385966766791E-2</v>
      </c>
      <c r="C221" s="1">
        <v>220</v>
      </c>
      <c r="D221" s="1">
        <f t="shared" ca="1" si="13"/>
        <v>487</v>
      </c>
      <c r="E221" s="2">
        <f t="shared" ca="1" si="14"/>
        <v>43474</v>
      </c>
      <c r="F221" s="6">
        <f t="shared" ca="1" si="15"/>
        <v>20.622312822294219</v>
      </c>
    </row>
    <row r="222" spans="1:6">
      <c r="A222" s="1">
        <v>9121960</v>
      </c>
      <c r="B222" s="1">
        <f t="shared" ca="1" si="12"/>
        <v>0.34710887313888128</v>
      </c>
      <c r="C222" s="1">
        <v>221</v>
      </c>
      <c r="D222" s="1">
        <f t="shared" ca="1" si="13"/>
        <v>473</v>
      </c>
      <c r="E222" s="2">
        <f t="shared" ca="1" si="14"/>
        <v>43252</v>
      </c>
      <c r="F222" s="6">
        <f t="shared" ca="1" si="15"/>
        <v>125.03795449930067</v>
      </c>
    </row>
    <row r="223" spans="1:6">
      <c r="A223" s="1">
        <v>9121963</v>
      </c>
      <c r="B223" s="1">
        <f t="shared" ca="1" si="12"/>
        <v>0.75186289142154106</v>
      </c>
      <c r="C223" s="1">
        <v>222</v>
      </c>
      <c r="D223" s="1">
        <f t="shared" ca="1" si="13"/>
        <v>111</v>
      </c>
      <c r="E223" s="2">
        <f t="shared" ca="1" si="14"/>
        <v>43021</v>
      </c>
      <c r="F223" s="6">
        <f t="shared" ca="1" si="15"/>
        <v>61.325463868151338</v>
      </c>
    </row>
    <row r="224" spans="1:6">
      <c r="A224" s="1">
        <v>9121966</v>
      </c>
      <c r="B224" s="1">
        <f t="shared" ca="1" si="12"/>
        <v>0.35271664653913204</v>
      </c>
      <c r="C224" s="1">
        <v>223</v>
      </c>
      <c r="D224" s="1">
        <f t="shared" ca="1" si="13"/>
        <v>294</v>
      </c>
      <c r="E224" s="2">
        <f t="shared" ca="1" si="14"/>
        <v>43349</v>
      </c>
      <c r="F224" s="6">
        <f t="shared" ca="1" si="15"/>
        <v>16.450773746535297</v>
      </c>
    </row>
    <row r="225" spans="1:6">
      <c r="A225" s="1">
        <v>9121969</v>
      </c>
      <c r="B225" s="1">
        <f t="shared" ca="1" si="12"/>
        <v>0.1232841613408272</v>
      </c>
      <c r="C225" s="1">
        <v>224</v>
      </c>
      <c r="D225" s="1">
        <f t="shared" ca="1" si="13"/>
        <v>242</v>
      </c>
      <c r="E225" s="2">
        <f t="shared" ca="1" si="14"/>
        <v>43220</v>
      </c>
      <c r="F225" s="6">
        <f t="shared" ca="1" si="15"/>
        <v>26.454707956655536</v>
      </c>
    </row>
    <row r="226" spans="1:6">
      <c r="A226" s="1">
        <v>9121972</v>
      </c>
      <c r="B226" s="1">
        <f t="shared" ca="1" si="12"/>
        <v>0.65075080267530327</v>
      </c>
      <c r="C226" s="1">
        <v>225</v>
      </c>
      <c r="D226" s="1">
        <f t="shared" ca="1" si="13"/>
        <v>248</v>
      </c>
      <c r="E226" s="2">
        <f t="shared" ca="1" si="14"/>
        <v>43146</v>
      </c>
      <c r="F226" s="6">
        <f t="shared" ca="1" si="15"/>
        <v>123.31712171230919</v>
      </c>
    </row>
    <row r="227" spans="1:6">
      <c r="A227" s="1">
        <v>9121975</v>
      </c>
      <c r="B227" s="1">
        <f t="shared" ca="1" si="12"/>
        <v>0.34753821007949803</v>
      </c>
      <c r="C227" s="1">
        <v>226</v>
      </c>
      <c r="D227" s="1">
        <f t="shared" ca="1" si="13"/>
        <v>383</v>
      </c>
      <c r="E227" s="2">
        <f t="shared" ca="1" si="14"/>
        <v>43062</v>
      </c>
      <c r="F227" s="6">
        <f t="shared" ca="1" si="15"/>
        <v>18.844580231507116</v>
      </c>
    </row>
    <row r="228" spans="1:6">
      <c r="A228" s="1">
        <v>9121978</v>
      </c>
      <c r="B228" s="1">
        <f t="shared" ca="1" si="12"/>
        <v>0.97503347311953659</v>
      </c>
      <c r="C228" s="1">
        <v>227</v>
      </c>
      <c r="D228" s="1">
        <f t="shared" ca="1" si="13"/>
        <v>545</v>
      </c>
      <c r="E228" s="2">
        <f t="shared" ca="1" si="14"/>
        <v>43491</v>
      </c>
      <c r="F228" s="6">
        <f t="shared" ca="1" si="15"/>
        <v>170.71730933896788</v>
      </c>
    </row>
    <row r="229" spans="1:6">
      <c r="A229" s="1">
        <v>9121981</v>
      </c>
      <c r="B229" s="1">
        <f t="shared" ca="1" si="12"/>
        <v>0.7284810146194054</v>
      </c>
      <c r="C229" s="1">
        <v>228</v>
      </c>
      <c r="D229" s="1">
        <f t="shared" ca="1" si="13"/>
        <v>480</v>
      </c>
      <c r="E229" s="2">
        <f t="shared" ca="1" si="14"/>
        <v>43092</v>
      </c>
      <c r="F229" s="6">
        <f t="shared" ca="1" si="15"/>
        <v>25.50495799970383</v>
      </c>
    </row>
    <row r="230" spans="1:6">
      <c r="A230" s="1">
        <v>9121984</v>
      </c>
      <c r="B230" s="1">
        <f t="shared" ca="1" si="12"/>
        <v>0.90265765881079796</v>
      </c>
      <c r="C230" s="1">
        <v>229</v>
      </c>
      <c r="D230" s="1">
        <f t="shared" ca="1" si="13"/>
        <v>194</v>
      </c>
      <c r="E230" s="2">
        <f t="shared" ca="1" si="14"/>
        <v>43096</v>
      </c>
      <c r="F230" s="6">
        <f t="shared" ca="1" si="15"/>
        <v>85.790655641285511</v>
      </c>
    </row>
    <row r="231" spans="1:6">
      <c r="A231" s="1">
        <v>9121987</v>
      </c>
      <c r="B231" s="1">
        <f t="shared" ca="1" si="12"/>
        <v>0.18919918167049976</v>
      </c>
      <c r="C231" s="1">
        <v>230</v>
      </c>
      <c r="D231" s="1">
        <f t="shared" ca="1" si="13"/>
        <v>2</v>
      </c>
      <c r="E231" s="2">
        <f t="shared" ca="1" si="14"/>
        <v>42907</v>
      </c>
      <c r="F231" s="6">
        <f t="shared" ca="1" si="15"/>
        <v>92.014409267101655</v>
      </c>
    </row>
    <row r="232" spans="1:6">
      <c r="A232" s="1">
        <v>9121990</v>
      </c>
      <c r="B232" s="1">
        <f t="shared" ca="1" si="12"/>
        <v>0.23965530695858417</v>
      </c>
      <c r="C232" s="1">
        <v>231</v>
      </c>
      <c r="D232" s="1">
        <f t="shared" ca="1" si="13"/>
        <v>540</v>
      </c>
      <c r="E232" s="2">
        <f t="shared" ca="1" si="14"/>
        <v>43419</v>
      </c>
      <c r="F232" s="6">
        <f t="shared" ca="1" si="15"/>
        <v>28.998481631314696</v>
      </c>
    </row>
    <row r="233" spans="1:6">
      <c r="A233" s="1">
        <v>9121993</v>
      </c>
      <c r="B233" s="1">
        <f t="shared" ca="1" si="12"/>
        <v>0.58771295271167534</v>
      </c>
      <c r="C233" s="1">
        <v>232</v>
      </c>
      <c r="D233" s="1">
        <f t="shared" ca="1" si="13"/>
        <v>148</v>
      </c>
      <c r="E233" s="2">
        <f t="shared" ca="1" si="14"/>
        <v>43101</v>
      </c>
      <c r="F233" s="6">
        <f t="shared" ca="1" si="15"/>
        <v>89.124373907125133</v>
      </c>
    </row>
    <row r="234" spans="1:6">
      <c r="A234" s="1">
        <v>9121996</v>
      </c>
      <c r="B234" s="1">
        <f t="shared" ca="1" si="12"/>
        <v>0.34687297400677408</v>
      </c>
      <c r="C234" s="1">
        <v>233</v>
      </c>
      <c r="D234" s="1">
        <f t="shared" ca="1" si="13"/>
        <v>78</v>
      </c>
      <c r="E234" s="2">
        <f t="shared" ca="1" si="14"/>
        <v>42850</v>
      </c>
      <c r="F234" s="6">
        <f t="shared" ca="1" si="15"/>
        <v>46.075047428473276</v>
      </c>
    </row>
    <row r="235" spans="1:6">
      <c r="A235" s="1">
        <v>9121999</v>
      </c>
      <c r="B235" s="1">
        <f t="shared" ca="1" si="12"/>
        <v>0.91323688673093728</v>
      </c>
      <c r="C235" s="1">
        <v>234</v>
      </c>
      <c r="D235" s="1">
        <f t="shared" ca="1" si="13"/>
        <v>384</v>
      </c>
      <c r="E235" s="2">
        <f t="shared" ca="1" si="14"/>
        <v>43424</v>
      </c>
      <c r="F235" s="6">
        <f t="shared" ca="1" si="15"/>
        <v>4.051006410731004</v>
      </c>
    </row>
    <row r="236" spans="1:6">
      <c r="A236" s="1">
        <v>9122002</v>
      </c>
      <c r="B236" s="1">
        <f t="shared" ca="1" si="12"/>
        <v>0.10751068884415338</v>
      </c>
      <c r="C236" s="1">
        <v>235</v>
      </c>
      <c r="D236" s="1">
        <f t="shared" ca="1" si="13"/>
        <v>74</v>
      </c>
      <c r="E236" s="2">
        <f t="shared" ca="1" si="14"/>
        <v>43436</v>
      </c>
      <c r="F236" s="6">
        <f t="shared" ca="1" si="15"/>
        <v>25.981504588426166</v>
      </c>
    </row>
    <row r="237" spans="1:6">
      <c r="A237" s="1">
        <v>9122005</v>
      </c>
      <c r="B237" s="1">
        <f t="shared" ca="1" si="12"/>
        <v>1.4229950654818913E-2</v>
      </c>
      <c r="C237" s="1">
        <v>236</v>
      </c>
      <c r="D237" s="1">
        <f t="shared" ca="1" si="13"/>
        <v>504</v>
      </c>
      <c r="E237" s="2">
        <f t="shared" ca="1" si="14"/>
        <v>43029</v>
      </c>
      <c r="F237" s="6">
        <f t="shared" ca="1" si="15"/>
        <v>8.0344533170885768</v>
      </c>
    </row>
    <row r="238" spans="1:6">
      <c r="A238" s="1">
        <v>9122008</v>
      </c>
      <c r="B238" s="1">
        <f t="shared" ca="1" si="12"/>
        <v>0.45091776111772974</v>
      </c>
      <c r="C238" s="1">
        <v>237</v>
      </c>
      <c r="D238" s="1">
        <f t="shared" ca="1" si="13"/>
        <v>469</v>
      </c>
      <c r="E238" s="2">
        <f t="shared" ca="1" si="14"/>
        <v>42993</v>
      </c>
      <c r="F238" s="6">
        <f t="shared" ca="1" si="15"/>
        <v>11.879930126397277</v>
      </c>
    </row>
    <row r="239" spans="1:6">
      <c r="A239" s="1">
        <v>9122011</v>
      </c>
      <c r="B239" s="1">
        <f t="shared" ca="1" si="12"/>
        <v>0.17768231056476558</v>
      </c>
      <c r="C239" s="1">
        <v>238</v>
      </c>
      <c r="D239" s="1">
        <f t="shared" ca="1" si="13"/>
        <v>203</v>
      </c>
      <c r="E239" s="2">
        <f t="shared" ca="1" si="14"/>
        <v>43034</v>
      </c>
      <c r="F239" s="6">
        <f t="shared" ca="1" si="15"/>
        <v>31.578928602809849</v>
      </c>
    </row>
    <row r="240" spans="1:6">
      <c r="A240" s="1">
        <v>9122014</v>
      </c>
      <c r="B240" s="1">
        <f t="shared" ca="1" si="12"/>
        <v>0.28105808229414164</v>
      </c>
      <c r="C240" s="1">
        <v>239</v>
      </c>
      <c r="D240" s="1">
        <f t="shared" ca="1" si="13"/>
        <v>200</v>
      </c>
      <c r="E240" s="2">
        <f t="shared" ca="1" si="14"/>
        <v>42888</v>
      </c>
      <c r="F240" s="6">
        <f t="shared" ca="1" si="15"/>
        <v>350.65278367168486</v>
      </c>
    </row>
    <row r="241" spans="1:6">
      <c r="A241" s="1">
        <v>9122017</v>
      </c>
      <c r="B241" s="1">
        <f t="shared" ca="1" si="12"/>
        <v>0.61035760597216215</v>
      </c>
      <c r="C241" s="1">
        <v>240</v>
      </c>
      <c r="D241" s="1">
        <f t="shared" ca="1" si="13"/>
        <v>252</v>
      </c>
      <c r="E241" s="2">
        <f t="shared" ca="1" si="14"/>
        <v>43436</v>
      </c>
      <c r="F241" s="6">
        <f t="shared" ca="1" si="15"/>
        <v>3.6042919620934724</v>
      </c>
    </row>
    <row r="242" spans="1:6">
      <c r="A242" s="1">
        <v>9122020</v>
      </c>
      <c r="B242" s="1">
        <f t="shared" ca="1" si="12"/>
        <v>0.68312792676363876</v>
      </c>
      <c r="C242" s="1">
        <v>241</v>
      </c>
      <c r="D242" s="1">
        <f t="shared" ca="1" si="13"/>
        <v>271</v>
      </c>
      <c r="E242" s="2">
        <f t="shared" ca="1" si="14"/>
        <v>43021</v>
      </c>
      <c r="F242" s="6">
        <f t="shared" ca="1" si="15"/>
        <v>20.846985862759055</v>
      </c>
    </row>
    <row r="243" spans="1:6">
      <c r="A243" s="1">
        <v>9122023</v>
      </c>
      <c r="B243" s="1">
        <f t="shared" ca="1" si="12"/>
        <v>0.38513303313868019</v>
      </c>
      <c r="C243" s="1">
        <v>242</v>
      </c>
      <c r="D243" s="1">
        <f t="shared" ca="1" si="13"/>
        <v>513</v>
      </c>
      <c r="E243" s="2">
        <f t="shared" ca="1" si="14"/>
        <v>43032</v>
      </c>
      <c r="F243" s="6">
        <f t="shared" ca="1" si="15"/>
        <v>3.8198646433559236</v>
      </c>
    </row>
    <row r="244" spans="1:6">
      <c r="A244" s="1">
        <v>9122026</v>
      </c>
      <c r="B244" s="1">
        <f t="shared" ca="1" si="12"/>
        <v>0.22081164886987648</v>
      </c>
      <c r="C244" s="1">
        <v>243</v>
      </c>
      <c r="D244" s="1">
        <f t="shared" ca="1" si="13"/>
        <v>70</v>
      </c>
      <c r="E244" s="2">
        <f t="shared" ca="1" si="14"/>
        <v>43433</v>
      </c>
      <c r="F244" s="6">
        <f t="shared" ca="1" si="15"/>
        <v>44.261081829330237</v>
      </c>
    </row>
    <row r="245" spans="1:6">
      <c r="A245" s="1">
        <v>9122029</v>
      </c>
      <c r="B245" s="1">
        <f t="shared" ca="1" si="12"/>
        <v>0.45639786431568419</v>
      </c>
      <c r="C245" s="1">
        <v>244</v>
      </c>
      <c r="D245" s="1">
        <f t="shared" ca="1" si="13"/>
        <v>264</v>
      </c>
      <c r="E245" s="2">
        <f t="shared" ca="1" si="14"/>
        <v>43430</v>
      </c>
      <c r="F245" s="6">
        <f t="shared" ca="1" si="15"/>
        <v>35.732542967318309</v>
      </c>
    </row>
    <row r="246" spans="1:6">
      <c r="A246" s="1">
        <v>9122032</v>
      </c>
      <c r="B246" s="1">
        <f t="shared" ca="1" si="12"/>
        <v>0.18119590997837498</v>
      </c>
      <c r="C246" s="1">
        <v>245</v>
      </c>
      <c r="D246" s="1">
        <f t="shared" ca="1" si="13"/>
        <v>118</v>
      </c>
      <c r="E246" s="2">
        <f t="shared" ca="1" si="14"/>
        <v>43059</v>
      </c>
      <c r="F246" s="6">
        <f t="shared" ca="1" si="15"/>
        <v>16.793907753132952</v>
      </c>
    </row>
    <row r="247" spans="1:6">
      <c r="A247" s="1">
        <v>9122035</v>
      </c>
      <c r="B247" s="1">
        <f t="shared" ca="1" si="12"/>
        <v>0.48104359696814725</v>
      </c>
      <c r="C247" s="1">
        <v>246</v>
      </c>
      <c r="D247" s="1">
        <f t="shared" ca="1" si="13"/>
        <v>285</v>
      </c>
      <c r="E247" s="2">
        <f t="shared" ca="1" si="14"/>
        <v>43194</v>
      </c>
      <c r="F247" s="6">
        <f t="shared" ca="1" si="15"/>
        <v>76.437066886450324</v>
      </c>
    </row>
    <row r="248" spans="1:6">
      <c r="A248" s="1">
        <v>9122038</v>
      </c>
      <c r="B248" s="1">
        <f t="shared" ca="1" si="12"/>
        <v>0.46060983108527787</v>
      </c>
      <c r="C248" s="1">
        <v>247</v>
      </c>
      <c r="D248" s="1">
        <f t="shared" ca="1" si="13"/>
        <v>538</v>
      </c>
      <c r="E248" s="2">
        <f t="shared" ca="1" si="14"/>
        <v>43470</v>
      </c>
      <c r="F248" s="6">
        <f t="shared" ca="1" si="15"/>
        <v>59.709429959087565</v>
      </c>
    </row>
    <row r="249" spans="1:6">
      <c r="A249" s="1">
        <v>9122041</v>
      </c>
      <c r="B249" s="1">
        <f t="shared" ca="1" si="12"/>
        <v>0.38616986352674876</v>
      </c>
      <c r="C249" s="1">
        <v>248</v>
      </c>
      <c r="D249" s="1">
        <f t="shared" ca="1" si="13"/>
        <v>260</v>
      </c>
      <c r="E249" s="2">
        <f t="shared" ca="1" si="14"/>
        <v>43078</v>
      </c>
      <c r="F249" s="6">
        <f t="shared" ca="1" si="15"/>
        <v>3.3986740458468723</v>
      </c>
    </row>
    <row r="250" spans="1:6">
      <c r="A250" s="1">
        <v>9122044</v>
      </c>
      <c r="B250" s="1">
        <f t="shared" ca="1" si="12"/>
        <v>0.69066364497377752</v>
      </c>
      <c r="C250" s="1">
        <v>249</v>
      </c>
      <c r="D250" s="1">
        <f t="shared" ca="1" si="13"/>
        <v>594</v>
      </c>
      <c r="E250" s="2">
        <f t="shared" ca="1" si="14"/>
        <v>42909</v>
      </c>
      <c r="F250" s="6">
        <f t="shared" ca="1" si="15"/>
        <v>3.360427415607691</v>
      </c>
    </row>
    <row r="251" spans="1:6">
      <c r="A251" s="1">
        <v>9122047</v>
      </c>
      <c r="B251" s="1">
        <f t="shared" ca="1" si="12"/>
        <v>0.55115301245133763</v>
      </c>
      <c r="C251" s="1">
        <v>250</v>
      </c>
      <c r="D251" s="1">
        <f t="shared" ca="1" si="13"/>
        <v>202</v>
      </c>
      <c r="E251" s="2">
        <f t="shared" ca="1" si="14"/>
        <v>43452</v>
      </c>
      <c r="F251" s="6">
        <f t="shared" ca="1" si="15"/>
        <v>263.38105338285914</v>
      </c>
    </row>
    <row r="252" spans="1:6">
      <c r="A252" s="1">
        <v>9122050</v>
      </c>
      <c r="B252" s="1">
        <f t="shared" ca="1" si="12"/>
        <v>0.8030184274150336</v>
      </c>
      <c r="C252" s="1">
        <v>251</v>
      </c>
      <c r="D252" s="1">
        <f t="shared" ca="1" si="13"/>
        <v>10</v>
      </c>
      <c r="E252" s="2">
        <f t="shared" ca="1" si="14"/>
        <v>43284</v>
      </c>
      <c r="F252" s="6">
        <f t="shared" ca="1" si="15"/>
        <v>18.733660815143825</v>
      </c>
    </row>
    <row r="253" spans="1:6">
      <c r="A253" s="1">
        <v>9122053</v>
      </c>
      <c r="B253" s="1">
        <f t="shared" ca="1" si="12"/>
        <v>0.40768132535794865</v>
      </c>
      <c r="C253" s="1">
        <v>252</v>
      </c>
      <c r="D253" s="1">
        <f t="shared" ca="1" si="13"/>
        <v>205</v>
      </c>
      <c r="E253" s="2">
        <f t="shared" ca="1" si="14"/>
        <v>43383</v>
      </c>
      <c r="F253" s="6">
        <f t="shared" ca="1" si="15"/>
        <v>88.377672912419612</v>
      </c>
    </row>
    <row r="254" spans="1:6">
      <c r="A254" s="1">
        <v>9122056</v>
      </c>
      <c r="B254" s="1">
        <f t="shared" ca="1" si="12"/>
        <v>0.14481835705209867</v>
      </c>
      <c r="C254" s="1">
        <v>253</v>
      </c>
      <c r="D254" s="1">
        <f t="shared" ca="1" si="13"/>
        <v>407</v>
      </c>
      <c r="E254" s="2">
        <f t="shared" ca="1" si="14"/>
        <v>43326</v>
      </c>
      <c r="F254" s="6">
        <f t="shared" ca="1" si="15"/>
        <v>4.7955101155669109</v>
      </c>
    </row>
    <row r="255" spans="1:6">
      <c r="A255" s="1">
        <v>9122059</v>
      </c>
      <c r="B255" s="1">
        <f t="shared" ca="1" si="12"/>
        <v>0.74739629495121029</v>
      </c>
      <c r="C255" s="1">
        <v>254</v>
      </c>
      <c r="D255" s="1">
        <f t="shared" ca="1" si="13"/>
        <v>598</v>
      </c>
      <c r="E255" s="2">
        <f t="shared" ca="1" si="14"/>
        <v>43265</v>
      </c>
      <c r="F255" s="6">
        <f t="shared" ca="1" si="15"/>
        <v>3.1437489209192013</v>
      </c>
    </row>
    <row r="256" spans="1:6">
      <c r="A256" s="1">
        <v>9122062</v>
      </c>
      <c r="B256" s="1">
        <f t="shared" ca="1" si="12"/>
        <v>0.35105516690317462</v>
      </c>
      <c r="C256" s="1">
        <v>255</v>
      </c>
      <c r="D256" s="1">
        <f t="shared" ca="1" si="13"/>
        <v>48</v>
      </c>
      <c r="E256" s="2">
        <f t="shared" ca="1" si="14"/>
        <v>43397</v>
      </c>
      <c r="F256" s="6">
        <f t="shared" ca="1" si="15"/>
        <v>67.50577271583542</v>
      </c>
    </row>
    <row r="257" spans="1:6">
      <c r="A257" s="1">
        <v>9122065</v>
      </c>
      <c r="B257" s="1">
        <f t="shared" ca="1" si="12"/>
        <v>0.46500964423414703</v>
      </c>
      <c r="C257" s="1">
        <v>256</v>
      </c>
      <c r="D257" s="1">
        <f t="shared" ca="1" si="13"/>
        <v>213</v>
      </c>
      <c r="E257" s="2">
        <f t="shared" ca="1" si="14"/>
        <v>42979</v>
      </c>
      <c r="F257" s="6">
        <f t="shared" ca="1" si="15"/>
        <v>25.007868835158611</v>
      </c>
    </row>
    <row r="258" spans="1:6">
      <c r="A258" s="1">
        <v>9122068</v>
      </c>
      <c r="B258" s="1">
        <f t="shared" ref="B258:B321" ca="1" si="16">RAND()</f>
        <v>5.3228307582874335E-2</v>
      </c>
      <c r="C258" s="1">
        <v>257</v>
      </c>
      <c r="D258" s="1">
        <f t="shared" ca="1" si="13"/>
        <v>71</v>
      </c>
      <c r="E258" s="2">
        <f t="shared" ca="1" si="14"/>
        <v>43065</v>
      </c>
      <c r="F258" s="6">
        <f t="shared" ca="1" si="15"/>
        <v>3.1408386371723833</v>
      </c>
    </row>
    <row r="259" spans="1:6">
      <c r="A259" s="1">
        <v>9122071</v>
      </c>
      <c r="B259" s="1">
        <f t="shared" ca="1" si="16"/>
        <v>0.5248434193862821</v>
      </c>
      <c r="C259" s="1">
        <v>258</v>
      </c>
      <c r="D259" s="1">
        <f t="shared" ref="D259:D322" ca="1" si="17">VLOOKUP(SMALL($B$2:$B$601,C259),$B$2:$C$601,2,FALSE)</f>
        <v>483</v>
      </c>
      <c r="E259" s="2">
        <f t="shared" ref="E259:E322" ca="1" si="18">RANDBETWEEN("1/1/17","2/1/19")</f>
        <v>42776</v>
      </c>
      <c r="F259" s="6">
        <f t="shared" ref="F259:F322" ca="1" si="19">_xlfn.GAMMA.INV(RAND(),$J$6,$J$7)*100+3</f>
        <v>3.1621200662306483</v>
      </c>
    </row>
    <row r="260" spans="1:6">
      <c r="A260" s="1">
        <v>9122074</v>
      </c>
      <c r="B260" s="1">
        <f t="shared" ca="1" si="16"/>
        <v>0.10988440535522359</v>
      </c>
      <c r="C260" s="1">
        <v>259</v>
      </c>
      <c r="D260" s="1">
        <f t="shared" ca="1" si="17"/>
        <v>41</v>
      </c>
      <c r="E260" s="2">
        <f t="shared" ca="1" si="18"/>
        <v>43488</v>
      </c>
      <c r="F260" s="6">
        <f t="shared" ca="1" si="19"/>
        <v>4.9687086956297213</v>
      </c>
    </row>
    <row r="261" spans="1:6">
      <c r="A261" s="1">
        <v>9122077</v>
      </c>
      <c r="B261" s="1">
        <f t="shared" ca="1" si="16"/>
        <v>0.4178689777370691</v>
      </c>
      <c r="C261" s="1">
        <v>260</v>
      </c>
      <c r="D261" s="1">
        <f t="shared" ca="1" si="17"/>
        <v>376</v>
      </c>
      <c r="E261" s="2">
        <f t="shared" ca="1" si="18"/>
        <v>43209</v>
      </c>
      <c r="F261" s="6">
        <f t="shared" ca="1" si="19"/>
        <v>55.027377919910968</v>
      </c>
    </row>
    <row r="262" spans="1:6">
      <c r="A262" s="1">
        <v>9122080</v>
      </c>
      <c r="B262" s="1">
        <f t="shared" ca="1" si="16"/>
        <v>0.32012411448469391</v>
      </c>
      <c r="C262" s="1">
        <v>261</v>
      </c>
      <c r="D262" s="1">
        <f t="shared" ca="1" si="17"/>
        <v>187</v>
      </c>
      <c r="E262" s="2">
        <f t="shared" ca="1" si="18"/>
        <v>43067</v>
      </c>
      <c r="F262" s="6">
        <f t="shared" ca="1" si="19"/>
        <v>3.5036938682760974</v>
      </c>
    </row>
    <row r="263" spans="1:6">
      <c r="A263" s="1">
        <v>9122083</v>
      </c>
      <c r="B263" s="1">
        <f t="shared" ca="1" si="16"/>
        <v>0.48472889904014904</v>
      </c>
      <c r="C263" s="1">
        <v>262</v>
      </c>
      <c r="D263" s="1">
        <f t="shared" ca="1" si="17"/>
        <v>329</v>
      </c>
      <c r="E263" s="2">
        <f t="shared" ca="1" si="18"/>
        <v>43070</v>
      </c>
      <c r="F263" s="6">
        <f t="shared" ca="1" si="19"/>
        <v>91.625049584529521</v>
      </c>
    </row>
    <row r="264" spans="1:6">
      <c r="A264" s="1">
        <v>9122086</v>
      </c>
      <c r="B264" s="1">
        <f t="shared" ca="1" si="16"/>
        <v>4.4632741548191746E-3</v>
      </c>
      <c r="C264" s="1">
        <v>263</v>
      </c>
      <c r="D264" s="1">
        <f t="shared" ca="1" si="17"/>
        <v>197</v>
      </c>
      <c r="E264" s="2">
        <f t="shared" ca="1" si="18"/>
        <v>43230</v>
      </c>
      <c r="F264" s="6">
        <f t="shared" ca="1" si="19"/>
        <v>227.64442102822647</v>
      </c>
    </row>
    <row r="265" spans="1:6">
      <c r="A265" s="1">
        <v>9122089</v>
      </c>
      <c r="B265" s="1">
        <f t="shared" ca="1" si="16"/>
        <v>0.4109893543065587</v>
      </c>
      <c r="C265" s="1">
        <v>264</v>
      </c>
      <c r="D265" s="1">
        <f t="shared" ca="1" si="17"/>
        <v>237</v>
      </c>
      <c r="E265" s="2">
        <f t="shared" ca="1" si="18"/>
        <v>42891</v>
      </c>
      <c r="F265" s="6">
        <f t="shared" ca="1" si="19"/>
        <v>3.8266575009190329</v>
      </c>
    </row>
    <row r="266" spans="1:6">
      <c r="A266" s="1">
        <v>9122092</v>
      </c>
      <c r="B266" s="1">
        <f t="shared" ca="1" si="16"/>
        <v>0.89780585290837644</v>
      </c>
      <c r="C266" s="1">
        <v>265</v>
      </c>
      <c r="D266" s="1">
        <f t="shared" ca="1" si="17"/>
        <v>77</v>
      </c>
      <c r="E266" s="2">
        <f t="shared" ca="1" si="18"/>
        <v>42963</v>
      </c>
      <c r="F266" s="6">
        <f t="shared" ca="1" si="19"/>
        <v>15.363549612119181</v>
      </c>
    </row>
    <row r="267" spans="1:6">
      <c r="A267" s="1">
        <v>9122095</v>
      </c>
      <c r="B267" s="1">
        <f t="shared" ca="1" si="16"/>
        <v>0.51937082530388146</v>
      </c>
      <c r="C267" s="1">
        <v>266</v>
      </c>
      <c r="D267" s="1">
        <f t="shared" ca="1" si="17"/>
        <v>85</v>
      </c>
      <c r="E267" s="2">
        <f t="shared" ca="1" si="18"/>
        <v>42993</v>
      </c>
      <c r="F267" s="6">
        <f t="shared" ca="1" si="19"/>
        <v>24.368985173353522</v>
      </c>
    </row>
    <row r="268" spans="1:6">
      <c r="A268" s="1">
        <v>9122098</v>
      </c>
      <c r="B268" s="1">
        <f t="shared" ca="1" si="16"/>
        <v>0.11261456749960419</v>
      </c>
      <c r="C268" s="1">
        <v>267</v>
      </c>
      <c r="D268" s="1">
        <f t="shared" ca="1" si="17"/>
        <v>244</v>
      </c>
      <c r="E268" s="2">
        <f t="shared" ca="1" si="18"/>
        <v>43195</v>
      </c>
      <c r="F268" s="6">
        <f t="shared" ca="1" si="19"/>
        <v>255.1987913505597</v>
      </c>
    </row>
    <row r="269" spans="1:6">
      <c r="A269" s="1">
        <v>9122101</v>
      </c>
      <c r="B269" s="1">
        <f t="shared" ca="1" si="16"/>
        <v>0.7886354133351815</v>
      </c>
      <c r="C269" s="1">
        <v>268</v>
      </c>
      <c r="D269" s="1">
        <f t="shared" ca="1" si="17"/>
        <v>331</v>
      </c>
      <c r="E269" s="2">
        <f t="shared" ca="1" si="18"/>
        <v>43449</v>
      </c>
      <c r="F269" s="6">
        <f t="shared" ca="1" si="19"/>
        <v>34.080389425345196</v>
      </c>
    </row>
    <row r="270" spans="1:6">
      <c r="A270" s="1">
        <v>9122104</v>
      </c>
      <c r="B270" s="1">
        <f t="shared" ca="1" si="16"/>
        <v>0.76063106177759821</v>
      </c>
      <c r="C270" s="1">
        <v>269</v>
      </c>
      <c r="D270" s="1">
        <f t="shared" ca="1" si="17"/>
        <v>247</v>
      </c>
      <c r="E270" s="2">
        <f t="shared" ca="1" si="18"/>
        <v>43190</v>
      </c>
      <c r="F270" s="6">
        <f t="shared" ca="1" si="19"/>
        <v>51.663065636752073</v>
      </c>
    </row>
    <row r="271" spans="1:6">
      <c r="A271" s="1">
        <v>9122107</v>
      </c>
      <c r="B271" s="1">
        <f t="shared" ca="1" si="16"/>
        <v>0.61332897037296374</v>
      </c>
      <c r="C271" s="1">
        <v>270</v>
      </c>
      <c r="D271" s="1">
        <f t="shared" ca="1" si="17"/>
        <v>335</v>
      </c>
      <c r="E271" s="2">
        <f t="shared" ca="1" si="18"/>
        <v>43464</v>
      </c>
      <c r="F271" s="6">
        <f t="shared" ca="1" si="19"/>
        <v>3.0125092664068736</v>
      </c>
    </row>
    <row r="272" spans="1:6">
      <c r="A272" s="1">
        <v>9122110</v>
      </c>
      <c r="B272" s="1">
        <f t="shared" ca="1" si="16"/>
        <v>0.40876633329476042</v>
      </c>
      <c r="C272" s="1">
        <v>271</v>
      </c>
      <c r="D272" s="1">
        <f t="shared" ca="1" si="17"/>
        <v>362</v>
      </c>
      <c r="E272" s="2">
        <f t="shared" ca="1" si="18"/>
        <v>42772</v>
      </c>
      <c r="F272" s="6">
        <f t="shared" ca="1" si="19"/>
        <v>40.069930812125421</v>
      </c>
    </row>
    <row r="273" spans="1:6">
      <c r="A273" s="1">
        <v>9122113</v>
      </c>
      <c r="B273" s="1">
        <f t="shared" ca="1" si="16"/>
        <v>0.37692582796510576</v>
      </c>
      <c r="C273" s="1">
        <v>272</v>
      </c>
      <c r="D273" s="1">
        <f t="shared" ca="1" si="17"/>
        <v>129</v>
      </c>
      <c r="E273" s="2">
        <f t="shared" ca="1" si="18"/>
        <v>43398</v>
      </c>
      <c r="F273" s="6">
        <f t="shared" ca="1" si="19"/>
        <v>72.685675305126935</v>
      </c>
    </row>
    <row r="274" spans="1:6">
      <c r="A274" s="1">
        <v>9122116</v>
      </c>
      <c r="B274" s="1">
        <f t="shared" ca="1" si="16"/>
        <v>0.99419460221827771</v>
      </c>
      <c r="C274" s="1">
        <v>273</v>
      </c>
      <c r="D274" s="1">
        <f t="shared" ca="1" si="17"/>
        <v>256</v>
      </c>
      <c r="E274" s="2">
        <f t="shared" ca="1" si="18"/>
        <v>43018</v>
      </c>
      <c r="F274" s="6">
        <f t="shared" ca="1" si="19"/>
        <v>191.02603262732666</v>
      </c>
    </row>
    <row r="275" spans="1:6">
      <c r="A275" s="1">
        <v>9122119</v>
      </c>
      <c r="B275" s="1">
        <f t="shared" ca="1" si="16"/>
        <v>0.83387890964745648</v>
      </c>
      <c r="C275" s="1">
        <v>274</v>
      </c>
      <c r="D275" s="1">
        <f t="shared" ca="1" si="17"/>
        <v>564</v>
      </c>
      <c r="E275" s="2">
        <f t="shared" ca="1" si="18"/>
        <v>42859</v>
      </c>
      <c r="F275" s="6">
        <f t="shared" ca="1" si="19"/>
        <v>14.984481397377495</v>
      </c>
    </row>
    <row r="276" spans="1:6">
      <c r="A276" s="1">
        <v>9122122</v>
      </c>
      <c r="B276" s="1">
        <f t="shared" ca="1" si="16"/>
        <v>0.94024478303521897</v>
      </c>
      <c r="C276" s="1">
        <v>275</v>
      </c>
      <c r="D276" s="1">
        <f t="shared" ca="1" si="17"/>
        <v>121</v>
      </c>
      <c r="E276" s="2">
        <f t="shared" ca="1" si="18"/>
        <v>42792</v>
      </c>
      <c r="F276" s="6">
        <f t="shared" ca="1" si="19"/>
        <v>10.428727541194744</v>
      </c>
    </row>
    <row r="277" spans="1:6">
      <c r="A277" s="1">
        <v>9122125</v>
      </c>
      <c r="B277" s="1">
        <f t="shared" ca="1" si="16"/>
        <v>0.30003372035022624</v>
      </c>
      <c r="C277" s="1">
        <v>276</v>
      </c>
      <c r="D277" s="1">
        <f t="shared" ca="1" si="17"/>
        <v>434</v>
      </c>
      <c r="E277" s="2">
        <f t="shared" ca="1" si="18"/>
        <v>43281</v>
      </c>
      <c r="F277" s="6">
        <f t="shared" ca="1" si="19"/>
        <v>3.0359585279523089</v>
      </c>
    </row>
    <row r="278" spans="1:6">
      <c r="A278" s="1">
        <v>9122128</v>
      </c>
      <c r="B278" s="1">
        <f t="shared" ca="1" si="16"/>
        <v>0.35948976346940875</v>
      </c>
      <c r="C278" s="1">
        <v>277</v>
      </c>
      <c r="D278" s="1">
        <f t="shared" ca="1" si="17"/>
        <v>215</v>
      </c>
      <c r="E278" s="2">
        <f t="shared" ca="1" si="18"/>
        <v>43485</v>
      </c>
      <c r="F278" s="6">
        <f t="shared" ca="1" si="19"/>
        <v>5.070069781925703</v>
      </c>
    </row>
    <row r="279" spans="1:6">
      <c r="A279" s="1">
        <v>9122131</v>
      </c>
      <c r="B279" s="1">
        <f t="shared" ca="1" si="16"/>
        <v>1.1673684603750178E-2</v>
      </c>
      <c r="C279" s="1">
        <v>278</v>
      </c>
      <c r="D279" s="1">
        <f t="shared" ca="1" si="17"/>
        <v>201</v>
      </c>
      <c r="E279" s="2">
        <f t="shared" ca="1" si="18"/>
        <v>42772</v>
      </c>
      <c r="F279" s="6">
        <f t="shared" ca="1" si="19"/>
        <v>77.662791986937208</v>
      </c>
    </row>
    <row r="280" spans="1:6">
      <c r="A280" s="1">
        <v>9122134</v>
      </c>
      <c r="B280" s="1">
        <f t="shared" ca="1" si="16"/>
        <v>0.54870719620148134</v>
      </c>
      <c r="C280" s="1">
        <v>279</v>
      </c>
      <c r="D280" s="1">
        <f t="shared" ca="1" si="17"/>
        <v>375</v>
      </c>
      <c r="E280" s="2">
        <f t="shared" ca="1" si="18"/>
        <v>42757</v>
      </c>
      <c r="F280" s="6">
        <f t="shared" ca="1" si="19"/>
        <v>18.99535567904168</v>
      </c>
    </row>
    <row r="281" spans="1:6">
      <c r="A281" s="1">
        <v>9122137</v>
      </c>
      <c r="B281" s="1">
        <f t="shared" ca="1" si="16"/>
        <v>0.52864407572503025</v>
      </c>
      <c r="C281" s="1">
        <v>280</v>
      </c>
      <c r="D281" s="1">
        <f t="shared" ca="1" si="17"/>
        <v>246</v>
      </c>
      <c r="E281" s="2">
        <f t="shared" ca="1" si="18"/>
        <v>43339</v>
      </c>
      <c r="F281" s="6">
        <f t="shared" ca="1" si="19"/>
        <v>89.990371951502794</v>
      </c>
    </row>
    <row r="282" spans="1:6">
      <c r="A282" s="1">
        <v>9122140</v>
      </c>
      <c r="B282" s="1">
        <f t="shared" ca="1" si="16"/>
        <v>0.11186416327381021</v>
      </c>
      <c r="C282" s="1">
        <v>281</v>
      </c>
      <c r="D282" s="1">
        <f t="shared" ca="1" si="17"/>
        <v>313</v>
      </c>
      <c r="E282" s="2">
        <f t="shared" ca="1" si="18"/>
        <v>42939</v>
      </c>
      <c r="F282" s="6">
        <f t="shared" ca="1" si="19"/>
        <v>85.654686651685324</v>
      </c>
    </row>
    <row r="283" spans="1:6">
      <c r="A283" s="1">
        <v>9122143</v>
      </c>
      <c r="B283" s="1">
        <f t="shared" ca="1" si="16"/>
        <v>0.69896347123079439</v>
      </c>
      <c r="C283" s="1">
        <v>282</v>
      </c>
      <c r="D283" s="1">
        <f t="shared" ca="1" si="17"/>
        <v>207</v>
      </c>
      <c r="E283" s="2">
        <f t="shared" ca="1" si="18"/>
        <v>43361</v>
      </c>
      <c r="F283" s="6">
        <f t="shared" ca="1" si="19"/>
        <v>4.6646072569405863</v>
      </c>
    </row>
    <row r="284" spans="1:6">
      <c r="A284" s="1">
        <v>9122146</v>
      </c>
      <c r="B284" s="1">
        <f t="shared" ca="1" si="16"/>
        <v>0.90815809470581255</v>
      </c>
      <c r="C284" s="1">
        <v>283</v>
      </c>
      <c r="D284" s="1">
        <f t="shared" ca="1" si="17"/>
        <v>134</v>
      </c>
      <c r="E284" s="2">
        <f t="shared" ca="1" si="18"/>
        <v>42952</v>
      </c>
      <c r="F284" s="6">
        <f t="shared" ca="1" si="19"/>
        <v>33.949330892287051</v>
      </c>
    </row>
    <row r="285" spans="1:6">
      <c r="A285" s="1">
        <v>9122149</v>
      </c>
      <c r="B285" s="1">
        <f t="shared" ca="1" si="16"/>
        <v>2.2352078108689777E-2</v>
      </c>
      <c r="C285" s="1">
        <v>284</v>
      </c>
      <c r="D285" s="1">
        <f t="shared" ca="1" si="17"/>
        <v>262</v>
      </c>
      <c r="E285" s="2">
        <f t="shared" ca="1" si="18"/>
        <v>43201</v>
      </c>
      <c r="F285" s="6">
        <f t="shared" ca="1" si="19"/>
        <v>3.1455421903962533</v>
      </c>
    </row>
    <row r="286" spans="1:6">
      <c r="A286" s="1">
        <v>9122152</v>
      </c>
      <c r="B286" s="1">
        <f t="shared" ca="1" si="16"/>
        <v>0.41407641030667464</v>
      </c>
      <c r="C286" s="1">
        <v>285</v>
      </c>
      <c r="D286" s="1">
        <f t="shared" ca="1" si="17"/>
        <v>499</v>
      </c>
      <c r="E286" s="2">
        <f t="shared" ca="1" si="18"/>
        <v>43468</v>
      </c>
      <c r="F286" s="6">
        <f t="shared" ca="1" si="19"/>
        <v>15.240441464633106</v>
      </c>
    </row>
    <row r="287" spans="1:6">
      <c r="A287" s="1">
        <v>9122155</v>
      </c>
      <c r="B287" s="1">
        <f t="shared" ca="1" si="16"/>
        <v>0.74956457761275019</v>
      </c>
      <c r="C287" s="1">
        <v>286</v>
      </c>
      <c r="D287" s="1">
        <f t="shared" ca="1" si="17"/>
        <v>441</v>
      </c>
      <c r="E287" s="2">
        <f t="shared" ca="1" si="18"/>
        <v>43102</v>
      </c>
      <c r="F287" s="6">
        <f t="shared" ca="1" si="19"/>
        <v>47.420511374273993</v>
      </c>
    </row>
    <row r="288" spans="1:6">
      <c r="A288" s="1">
        <v>9122158</v>
      </c>
      <c r="B288" s="1">
        <f t="shared" ca="1" si="16"/>
        <v>0.88535860464051697</v>
      </c>
      <c r="C288" s="1">
        <v>287</v>
      </c>
      <c r="D288" s="1">
        <f t="shared" ca="1" si="17"/>
        <v>3</v>
      </c>
      <c r="E288" s="2">
        <f t="shared" ca="1" si="18"/>
        <v>43441</v>
      </c>
      <c r="F288" s="6">
        <f t="shared" ca="1" si="19"/>
        <v>59.343686267678081</v>
      </c>
    </row>
    <row r="289" spans="1:6">
      <c r="A289" s="1">
        <v>9122161</v>
      </c>
      <c r="B289" s="1">
        <f t="shared" ca="1" si="16"/>
        <v>0.22298920700283476</v>
      </c>
      <c r="C289" s="1">
        <v>288</v>
      </c>
      <c r="D289" s="1">
        <f t="shared" ca="1" si="17"/>
        <v>164</v>
      </c>
      <c r="E289" s="2">
        <f t="shared" ca="1" si="18"/>
        <v>42820</v>
      </c>
      <c r="F289" s="6">
        <f t="shared" ca="1" si="19"/>
        <v>61.440461455576667</v>
      </c>
    </row>
    <row r="290" spans="1:6">
      <c r="A290" s="1">
        <v>9122164</v>
      </c>
      <c r="B290" s="1">
        <f t="shared" ca="1" si="16"/>
        <v>0.92280224318093973</v>
      </c>
      <c r="C290" s="1">
        <v>289</v>
      </c>
      <c r="D290" s="1">
        <f t="shared" ca="1" si="17"/>
        <v>298</v>
      </c>
      <c r="E290" s="2">
        <f t="shared" ca="1" si="18"/>
        <v>43007</v>
      </c>
      <c r="F290" s="6">
        <f t="shared" ca="1" si="19"/>
        <v>25.304449027944955</v>
      </c>
    </row>
    <row r="291" spans="1:6">
      <c r="A291" s="1">
        <v>9122167</v>
      </c>
      <c r="B291" s="1">
        <f t="shared" ca="1" si="16"/>
        <v>0.64818225048005806</v>
      </c>
      <c r="C291" s="1">
        <v>290</v>
      </c>
      <c r="D291" s="1">
        <f t="shared" ca="1" si="17"/>
        <v>377</v>
      </c>
      <c r="E291" s="2">
        <f t="shared" ca="1" si="18"/>
        <v>43388</v>
      </c>
      <c r="F291" s="6">
        <f t="shared" ca="1" si="19"/>
        <v>7.9844432547124287</v>
      </c>
    </row>
    <row r="292" spans="1:6">
      <c r="A292" s="1">
        <v>9122170</v>
      </c>
      <c r="B292" s="1">
        <f t="shared" ca="1" si="16"/>
        <v>0.52944687276138658</v>
      </c>
      <c r="C292" s="1">
        <v>291</v>
      </c>
      <c r="D292" s="1">
        <f t="shared" ca="1" si="17"/>
        <v>578</v>
      </c>
      <c r="E292" s="2">
        <f t="shared" ca="1" si="18"/>
        <v>42991</v>
      </c>
      <c r="F292" s="6">
        <f t="shared" ca="1" si="19"/>
        <v>46.784922675826913</v>
      </c>
    </row>
    <row r="293" spans="1:6">
      <c r="A293" s="1">
        <v>9122173</v>
      </c>
      <c r="B293" s="1">
        <f t="shared" ca="1" si="16"/>
        <v>1.9506434131678962E-2</v>
      </c>
      <c r="C293" s="1">
        <v>292</v>
      </c>
      <c r="D293" s="1">
        <f t="shared" ca="1" si="17"/>
        <v>440</v>
      </c>
      <c r="E293" s="2">
        <f t="shared" ca="1" si="18"/>
        <v>43380</v>
      </c>
      <c r="F293" s="6">
        <f t="shared" ca="1" si="19"/>
        <v>16.98596073534609</v>
      </c>
    </row>
    <row r="294" spans="1:6">
      <c r="A294" s="1">
        <v>9122176</v>
      </c>
      <c r="B294" s="1">
        <f t="shared" ca="1" si="16"/>
        <v>0.12204577305713249</v>
      </c>
      <c r="C294" s="1">
        <v>293</v>
      </c>
      <c r="D294" s="1">
        <f t="shared" ca="1" si="17"/>
        <v>181</v>
      </c>
      <c r="E294" s="2">
        <f t="shared" ca="1" si="18"/>
        <v>43272</v>
      </c>
      <c r="F294" s="6">
        <f t="shared" ca="1" si="19"/>
        <v>55.615441856649639</v>
      </c>
    </row>
    <row r="295" spans="1:6">
      <c r="A295" s="1">
        <v>9122179</v>
      </c>
      <c r="B295" s="1">
        <f t="shared" ca="1" si="16"/>
        <v>0.38509763840706857</v>
      </c>
      <c r="C295" s="1">
        <v>294</v>
      </c>
      <c r="D295" s="1">
        <f t="shared" ca="1" si="17"/>
        <v>488</v>
      </c>
      <c r="E295" s="2">
        <f t="shared" ca="1" si="18"/>
        <v>43109</v>
      </c>
      <c r="F295" s="6">
        <f t="shared" ca="1" si="19"/>
        <v>12.980426457894232</v>
      </c>
    </row>
    <row r="296" spans="1:6">
      <c r="A296" s="1">
        <v>9122182</v>
      </c>
      <c r="B296" s="1">
        <f t="shared" ca="1" si="16"/>
        <v>0.38028040446486489</v>
      </c>
      <c r="C296" s="1">
        <v>295</v>
      </c>
      <c r="D296" s="1">
        <f t="shared" ca="1" si="17"/>
        <v>553</v>
      </c>
      <c r="E296" s="2">
        <f t="shared" ca="1" si="18"/>
        <v>43079</v>
      </c>
      <c r="F296" s="6">
        <f t="shared" ca="1" si="19"/>
        <v>32.004523495304682</v>
      </c>
    </row>
    <row r="297" spans="1:6">
      <c r="A297" s="1">
        <v>9122185</v>
      </c>
      <c r="B297" s="1">
        <f t="shared" ca="1" si="16"/>
        <v>0.37672104134645168</v>
      </c>
      <c r="C297" s="1">
        <v>296</v>
      </c>
      <c r="D297" s="1">
        <f t="shared" ca="1" si="17"/>
        <v>542</v>
      </c>
      <c r="E297" s="2">
        <f t="shared" ca="1" si="18"/>
        <v>42900</v>
      </c>
      <c r="F297" s="6">
        <f t="shared" ca="1" si="19"/>
        <v>7.012357605243186</v>
      </c>
    </row>
    <row r="298" spans="1:6">
      <c r="A298" s="1">
        <v>9122188</v>
      </c>
      <c r="B298" s="1">
        <f t="shared" ca="1" si="16"/>
        <v>0.5553809367903203</v>
      </c>
      <c r="C298" s="1">
        <v>297</v>
      </c>
      <c r="D298" s="1">
        <f t="shared" ca="1" si="17"/>
        <v>84</v>
      </c>
      <c r="E298" s="2">
        <f t="shared" ca="1" si="18"/>
        <v>43235</v>
      </c>
      <c r="F298" s="6">
        <f t="shared" ca="1" si="19"/>
        <v>17.187909250639414</v>
      </c>
    </row>
    <row r="299" spans="1:6">
      <c r="A299" s="1">
        <v>9122191</v>
      </c>
      <c r="B299" s="1">
        <f t="shared" ca="1" si="16"/>
        <v>0.49374126142554531</v>
      </c>
      <c r="C299" s="1">
        <v>298</v>
      </c>
      <c r="D299" s="1">
        <f t="shared" ca="1" si="17"/>
        <v>303</v>
      </c>
      <c r="E299" s="2">
        <f t="shared" ca="1" si="18"/>
        <v>43096</v>
      </c>
      <c r="F299" s="6">
        <f t="shared" ca="1" si="19"/>
        <v>48.013809496787296</v>
      </c>
    </row>
    <row r="300" spans="1:6">
      <c r="A300" s="1">
        <v>9122194</v>
      </c>
      <c r="B300" s="1">
        <f t="shared" ca="1" si="16"/>
        <v>0.8746399071097718</v>
      </c>
      <c r="C300" s="1">
        <v>299</v>
      </c>
      <c r="D300" s="1">
        <f t="shared" ca="1" si="17"/>
        <v>185</v>
      </c>
      <c r="E300" s="2">
        <f t="shared" ca="1" si="18"/>
        <v>43074</v>
      </c>
      <c r="F300" s="6">
        <f t="shared" ca="1" si="19"/>
        <v>9.2556354897700786</v>
      </c>
    </row>
    <row r="301" spans="1:6">
      <c r="A301" s="1">
        <v>9122197</v>
      </c>
      <c r="B301" s="1">
        <f t="shared" ca="1" si="16"/>
        <v>0.82283568009777408</v>
      </c>
      <c r="C301" s="1">
        <v>300</v>
      </c>
      <c r="D301" s="1">
        <f t="shared" ca="1" si="17"/>
        <v>217</v>
      </c>
      <c r="E301" s="2">
        <f t="shared" ca="1" si="18"/>
        <v>43213</v>
      </c>
      <c r="F301" s="6">
        <f t="shared" ca="1" si="19"/>
        <v>23.509674217232448</v>
      </c>
    </row>
    <row r="302" spans="1:6">
      <c r="A302" s="1">
        <v>9122200</v>
      </c>
      <c r="B302" s="1">
        <f t="shared" ca="1" si="16"/>
        <v>0.86399897688777916</v>
      </c>
      <c r="C302" s="1">
        <v>301</v>
      </c>
      <c r="D302" s="1">
        <f t="shared" ca="1" si="17"/>
        <v>132</v>
      </c>
      <c r="E302" s="2">
        <f t="shared" ca="1" si="18"/>
        <v>43468</v>
      </c>
      <c r="F302" s="6">
        <f t="shared" ca="1" si="19"/>
        <v>3.297543751287872</v>
      </c>
    </row>
    <row r="303" spans="1:6">
      <c r="A303" s="1">
        <v>9122203</v>
      </c>
      <c r="B303" s="1">
        <f t="shared" ca="1" si="16"/>
        <v>0.99800040187369243</v>
      </c>
      <c r="C303" s="1">
        <v>302</v>
      </c>
      <c r="D303" s="1">
        <f t="shared" ca="1" si="17"/>
        <v>117</v>
      </c>
      <c r="E303" s="2">
        <f t="shared" ca="1" si="18"/>
        <v>42803</v>
      </c>
      <c r="F303" s="6">
        <f t="shared" ca="1" si="19"/>
        <v>45.156060323480339</v>
      </c>
    </row>
    <row r="304" spans="1:6">
      <c r="A304" s="1">
        <v>9122206</v>
      </c>
      <c r="B304" s="1">
        <f t="shared" ca="1" si="16"/>
        <v>0.5082331805326632</v>
      </c>
      <c r="C304" s="1">
        <v>303</v>
      </c>
      <c r="D304" s="1">
        <f t="shared" ca="1" si="17"/>
        <v>179</v>
      </c>
      <c r="E304" s="2">
        <f t="shared" ca="1" si="18"/>
        <v>43352</v>
      </c>
      <c r="F304" s="6">
        <f t="shared" ca="1" si="19"/>
        <v>6.4704327311980041</v>
      </c>
    </row>
    <row r="305" spans="1:6">
      <c r="A305" s="1">
        <v>9122209</v>
      </c>
      <c r="B305" s="1">
        <f t="shared" ca="1" si="16"/>
        <v>0.27524354647934357</v>
      </c>
      <c r="C305" s="1">
        <v>304</v>
      </c>
      <c r="D305" s="1">
        <f t="shared" ca="1" si="17"/>
        <v>266</v>
      </c>
      <c r="E305" s="2">
        <f t="shared" ca="1" si="18"/>
        <v>43486</v>
      </c>
      <c r="F305" s="6">
        <f t="shared" ca="1" si="19"/>
        <v>3.5221867738612769</v>
      </c>
    </row>
    <row r="306" spans="1:6">
      <c r="A306" s="1">
        <v>9122212</v>
      </c>
      <c r="B306" s="1">
        <f t="shared" ca="1" si="16"/>
        <v>0.61084224408470322</v>
      </c>
      <c r="C306" s="1">
        <v>305</v>
      </c>
      <c r="D306" s="1">
        <f t="shared" ca="1" si="17"/>
        <v>147</v>
      </c>
      <c r="E306" s="2">
        <f t="shared" ca="1" si="18"/>
        <v>43088</v>
      </c>
      <c r="F306" s="6">
        <f t="shared" ca="1" si="19"/>
        <v>29.772396856556472</v>
      </c>
    </row>
    <row r="307" spans="1:6">
      <c r="A307" s="1">
        <v>9122215</v>
      </c>
      <c r="B307" s="1">
        <f t="shared" ca="1" si="16"/>
        <v>0.56500355010427294</v>
      </c>
      <c r="C307" s="1">
        <v>306</v>
      </c>
      <c r="D307" s="1">
        <f t="shared" ca="1" si="17"/>
        <v>8</v>
      </c>
      <c r="E307" s="2">
        <f t="shared" ca="1" si="18"/>
        <v>43314</v>
      </c>
      <c r="F307" s="6">
        <f t="shared" ca="1" si="19"/>
        <v>22.092911561914633</v>
      </c>
    </row>
    <row r="308" spans="1:6">
      <c r="A308" s="1">
        <v>9122218</v>
      </c>
      <c r="B308" s="1">
        <f t="shared" ca="1" si="16"/>
        <v>0.7678378273904819</v>
      </c>
      <c r="C308" s="1">
        <v>307</v>
      </c>
      <c r="D308" s="1">
        <f t="shared" ca="1" si="17"/>
        <v>592</v>
      </c>
      <c r="E308" s="2">
        <f t="shared" ca="1" si="18"/>
        <v>43097</v>
      </c>
      <c r="F308" s="6">
        <f t="shared" ca="1" si="19"/>
        <v>84.004183868619776</v>
      </c>
    </row>
    <row r="309" spans="1:6">
      <c r="A309" s="1">
        <v>9122221</v>
      </c>
      <c r="B309" s="1">
        <f t="shared" ca="1" si="16"/>
        <v>0.27418033879952664</v>
      </c>
      <c r="C309" s="1">
        <v>308</v>
      </c>
      <c r="D309" s="1">
        <f t="shared" ca="1" si="17"/>
        <v>122</v>
      </c>
      <c r="E309" s="2">
        <f t="shared" ca="1" si="18"/>
        <v>43426</v>
      </c>
      <c r="F309" s="6">
        <f t="shared" ca="1" si="19"/>
        <v>25.256394645670831</v>
      </c>
    </row>
    <row r="310" spans="1:6">
      <c r="A310" s="1">
        <v>9122224</v>
      </c>
      <c r="B310" s="1">
        <f t="shared" ca="1" si="16"/>
        <v>0.3082008134986679</v>
      </c>
      <c r="C310" s="1">
        <v>309</v>
      </c>
      <c r="D310" s="1">
        <f t="shared" ca="1" si="17"/>
        <v>258</v>
      </c>
      <c r="E310" s="2">
        <f t="shared" ca="1" si="18"/>
        <v>42936</v>
      </c>
      <c r="F310" s="6">
        <f t="shared" ca="1" si="19"/>
        <v>52.767261866345613</v>
      </c>
    </row>
    <row r="311" spans="1:6">
      <c r="A311" s="1">
        <v>9122227</v>
      </c>
      <c r="B311" s="1">
        <f t="shared" ca="1" si="16"/>
        <v>0.3459061489063372</v>
      </c>
      <c r="C311" s="1">
        <v>310</v>
      </c>
      <c r="D311" s="1">
        <f t="shared" ca="1" si="17"/>
        <v>23</v>
      </c>
      <c r="E311" s="2">
        <f t="shared" ca="1" si="18"/>
        <v>42956</v>
      </c>
      <c r="F311" s="6">
        <f t="shared" ca="1" si="19"/>
        <v>44.418205841246213</v>
      </c>
    </row>
    <row r="312" spans="1:6">
      <c r="A312" s="1">
        <v>9122230</v>
      </c>
      <c r="B312" s="1">
        <f t="shared" ca="1" si="16"/>
        <v>0.54197657405414457</v>
      </c>
      <c r="C312" s="1">
        <v>311</v>
      </c>
      <c r="D312" s="1">
        <f t="shared" ca="1" si="17"/>
        <v>280</v>
      </c>
      <c r="E312" s="2">
        <f t="shared" ca="1" si="18"/>
        <v>43189</v>
      </c>
      <c r="F312" s="6">
        <f t="shared" ca="1" si="19"/>
        <v>24.773005249550451</v>
      </c>
    </row>
    <row r="313" spans="1:6">
      <c r="A313" s="1">
        <v>9122233</v>
      </c>
      <c r="B313" s="1">
        <f t="shared" ca="1" si="16"/>
        <v>0.57712678940938689</v>
      </c>
      <c r="C313" s="1">
        <v>312</v>
      </c>
      <c r="D313" s="1">
        <f t="shared" ca="1" si="17"/>
        <v>96</v>
      </c>
      <c r="E313" s="2">
        <f t="shared" ca="1" si="18"/>
        <v>43103</v>
      </c>
      <c r="F313" s="6">
        <f t="shared" ca="1" si="19"/>
        <v>12.140719616527415</v>
      </c>
    </row>
    <row r="314" spans="1:6">
      <c r="A314" s="1">
        <v>9122236</v>
      </c>
      <c r="B314" s="1">
        <f t="shared" ca="1" si="16"/>
        <v>0.48183509036607752</v>
      </c>
      <c r="C314" s="1">
        <v>313</v>
      </c>
      <c r="D314" s="1">
        <f t="shared" ca="1" si="17"/>
        <v>381</v>
      </c>
      <c r="E314" s="2">
        <f t="shared" ca="1" si="18"/>
        <v>43079</v>
      </c>
      <c r="F314" s="6">
        <f t="shared" ca="1" si="19"/>
        <v>3.5620810143762127</v>
      </c>
    </row>
    <row r="315" spans="1:6">
      <c r="A315" s="1">
        <v>9122239</v>
      </c>
      <c r="B315" s="1">
        <f t="shared" ca="1" si="16"/>
        <v>0.62345116765580488</v>
      </c>
      <c r="C315" s="1">
        <v>314</v>
      </c>
      <c r="D315" s="1">
        <f t="shared" ca="1" si="17"/>
        <v>439</v>
      </c>
      <c r="E315" s="2">
        <f t="shared" ca="1" si="18"/>
        <v>43108</v>
      </c>
      <c r="F315" s="6">
        <f t="shared" ca="1" si="19"/>
        <v>3.2070731472781087</v>
      </c>
    </row>
    <row r="316" spans="1:6">
      <c r="A316" s="1">
        <v>9122242</v>
      </c>
      <c r="B316" s="1">
        <f t="shared" ca="1" si="16"/>
        <v>0.28685108996979536</v>
      </c>
      <c r="C316" s="1">
        <v>315</v>
      </c>
      <c r="D316" s="1">
        <f t="shared" ca="1" si="17"/>
        <v>291</v>
      </c>
      <c r="E316" s="2">
        <f t="shared" ca="1" si="18"/>
        <v>42776</v>
      </c>
      <c r="F316" s="6">
        <f t="shared" ca="1" si="19"/>
        <v>365.5097378619414</v>
      </c>
    </row>
    <row r="317" spans="1:6">
      <c r="A317" s="1">
        <v>9122245</v>
      </c>
      <c r="B317" s="1">
        <f t="shared" ca="1" si="16"/>
        <v>0.27363752474795378</v>
      </c>
      <c r="C317" s="1">
        <v>316</v>
      </c>
      <c r="D317" s="1">
        <f t="shared" ca="1" si="17"/>
        <v>448</v>
      </c>
      <c r="E317" s="2">
        <f t="shared" ca="1" si="18"/>
        <v>43244</v>
      </c>
      <c r="F317" s="6">
        <f t="shared" ca="1" si="19"/>
        <v>31.509206898844546</v>
      </c>
    </row>
    <row r="318" spans="1:6">
      <c r="A318" s="1">
        <v>9122248</v>
      </c>
      <c r="B318" s="1">
        <f t="shared" ca="1" si="16"/>
        <v>0.22861929247411095</v>
      </c>
      <c r="C318" s="1">
        <v>317</v>
      </c>
      <c r="D318" s="1">
        <f t="shared" ca="1" si="17"/>
        <v>38</v>
      </c>
      <c r="E318" s="2">
        <f t="shared" ca="1" si="18"/>
        <v>42767</v>
      </c>
      <c r="F318" s="6">
        <f t="shared" ca="1" si="19"/>
        <v>9.4758204707040097</v>
      </c>
    </row>
    <row r="319" spans="1:6">
      <c r="A319" s="1">
        <v>9122251</v>
      </c>
      <c r="B319" s="1">
        <f t="shared" ca="1" si="16"/>
        <v>0.28138319835642644</v>
      </c>
      <c r="C319" s="1">
        <v>318</v>
      </c>
      <c r="D319" s="1">
        <f t="shared" ca="1" si="17"/>
        <v>355</v>
      </c>
      <c r="E319" s="2">
        <f t="shared" ca="1" si="18"/>
        <v>43133</v>
      </c>
      <c r="F319" s="6">
        <f t="shared" ca="1" si="19"/>
        <v>37.171352283832007</v>
      </c>
    </row>
    <row r="320" spans="1:6">
      <c r="A320" s="1">
        <v>9122254</v>
      </c>
      <c r="B320" s="1">
        <f t="shared" ca="1" si="16"/>
        <v>0.69927917673186102</v>
      </c>
      <c r="C320" s="1">
        <v>319</v>
      </c>
      <c r="D320" s="1">
        <f t="shared" ca="1" si="17"/>
        <v>532</v>
      </c>
      <c r="E320" s="2">
        <f t="shared" ca="1" si="18"/>
        <v>43069</v>
      </c>
      <c r="F320" s="6">
        <f t="shared" ca="1" si="19"/>
        <v>3.0004659314297655</v>
      </c>
    </row>
    <row r="321" spans="1:6">
      <c r="A321" s="1">
        <v>9122257</v>
      </c>
      <c r="B321" s="1">
        <f t="shared" ca="1" si="16"/>
        <v>0.79052796742374998</v>
      </c>
      <c r="C321" s="1">
        <v>320</v>
      </c>
      <c r="D321" s="1">
        <f t="shared" ca="1" si="17"/>
        <v>322</v>
      </c>
      <c r="E321" s="2">
        <f t="shared" ca="1" si="18"/>
        <v>42789</v>
      </c>
      <c r="F321" s="6">
        <f t="shared" ca="1" si="19"/>
        <v>78.443428790993394</v>
      </c>
    </row>
    <row r="322" spans="1:6">
      <c r="A322" s="1">
        <v>9122260</v>
      </c>
      <c r="B322" s="1">
        <f t="shared" ref="B322:B385" ca="1" si="20">RAND()</f>
        <v>0.95022021344517116</v>
      </c>
      <c r="C322" s="1">
        <v>321</v>
      </c>
      <c r="D322" s="1">
        <f t="shared" ca="1" si="17"/>
        <v>358</v>
      </c>
      <c r="E322" s="2">
        <f t="shared" ca="1" si="18"/>
        <v>43248</v>
      </c>
      <c r="F322" s="6">
        <f t="shared" ca="1" si="19"/>
        <v>30.902399690654732</v>
      </c>
    </row>
    <row r="323" spans="1:6">
      <c r="A323" s="1">
        <v>9122263</v>
      </c>
      <c r="B323" s="1">
        <f t="shared" ca="1" si="20"/>
        <v>0.53216161680407126</v>
      </c>
      <c r="C323" s="1">
        <v>322</v>
      </c>
      <c r="D323" s="1">
        <f t="shared" ref="D323:D386" ca="1" si="21">VLOOKUP(SMALL($B$2:$B$601,C323),$B$2:$C$601,2,FALSE)</f>
        <v>569</v>
      </c>
      <c r="E323" s="2">
        <f t="shared" ref="E323:E386" ca="1" si="22">RANDBETWEEN("1/1/17","2/1/19")</f>
        <v>43148</v>
      </c>
      <c r="F323" s="6">
        <f t="shared" ref="F323:F386" ca="1" si="23">_xlfn.GAMMA.INV(RAND(),$J$6,$J$7)*100+3</f>
        <v>6.1046300352718053</v>
      </c>
    </row>
    <row r="324" spans="1:6">
      <c r="A324" s="1">
        <v>9122266</v>
      </c>
      <c r="B324" s="1">
        <f t="shared" ca="1" si="20"/>
        <v>0.92197629053442554</v>
      </c>
      <c r="C324" s="1">
        <v>323</v>
      </c>
      <c r="D324" s="1">
        <f t="shared" ca="1" si="21"/>
        <v>452</v>
      </c>
      <c r="E324" s="2">
        <f t="shared" ca="1" si="22"/>
        <v>43009</v>
      </c>
      <c r="F324" s="6">
        <f t="shared" ca="1" si="23"/>
        <v>3.3305330183772472</v>
      </c>
    </row>
    <row r="325" spans="1:6">
      <c r="A325" s="1">
        <v>9122269</v>
      </c>
      <c r="B325" s="1">
        <f t="shared" ca="1" si="20"/>
        <v>0.33554353883650434</v>
      </c>
      <c r="C325" s="1">
        <v>324</v>
      </c>
      <c r="D325" s="1">
        <f t="shared" ca="1" si="21"/>
        <v>507</v>
      </c>
      <c r="E325" s="2">
        <f t="shared" ca="1" si="22"/>
        <v>43444</v>
      </c>
      <c r="F325" s="6">
        <f t="shared" ca="1" si="23"/>
        <v>7.0278558760277594</v>
      </c>
    </row>
    <row r="326" spans="1:6">
      <c r="A326" s="1">
        <v>9122272</v>
      </c>
      <c r="B326" s="1">
        <f t="shared" ca="1" si="20"/>
        <v>0.66029856391809905</v>
      </c>
      <c r="C326" s="1">
        <v>325</v>
      </c>
      <c r="D326" s="1">
        <f t="shared" ca="1" si="21"/>
        <v>397</v>
      </c>
      <c r="E326" s="2">
        <f t="shared" ca="1" si="22"/>
        <v>42969</v>
      </c>
      <c r="F326" s="6">
        <f t="shared" ca="1" si="23"/>
        <v>127.85809175680933</v>
      </c>
    </row>
    <row r="327" spans="1:6">
      <c r="A327" s="1">
        <v>9122275</v>
      </c>
      <c r="B327" s="1">
        <f t="shared" ca="1" si="20"/>
        <v>0.98980167470629099</v>
      </c>
      <c r="C327" s="1">
        <v>326</v>
      </c>
      <c r="D327" s="1">
        <f t="shared" ca="1" si="21"/>
        <v>409</v>
      </c>
      <c r="E327" s="2">
        <f t="shared" ca="1" si="22"/>
        <v>43448</v>
      </c>
      <c r="F327" s="6">
        <f t="shared" ca="1" si="23"/>
        <v>26.545928957418859</v>
      </c>
    </row>
    <row r="328" spans="1:6">
      <c r="A328" s="1">
        <v>9122278</v>
      </c>
      <c r="B328" s="1">
        <f t="shared" ca="1" si="20"/>
        <v>0.882687479903556</v>
      </c>
      <c r="C328" s="1">
        <v>327</v>
      </c>
      <c r="D328" s="1">
        <f t="shared" ca="1" si="21"/>
        <v>562</v>
      </c>
      <c r="E328" s="2">
        <f t="shared" ca="1" si="22"/>
        <v>43112</v>
      </c>
      <c r="F328" s="6">
        <f t="shared" ca="1" si="23"/>
        <v>3.4852389311727774</v>
      </c>
    </row>
    <row r="329" spans="1:6">
      <c r="A329" s="1">
        <v>9122281</v>
      </c>
      <c r="B329" s="1">
        <f t="shared" ca="1" si="20"/>
        <v>0.64534331763650021</v>
      </c>
      <c r="C329" s="1">
        <v>328</v>
      </c>
      <c r="D329" s="1">
        <f t="shared" ca="1" si="21"/>
        <v>557</v>
      </c>
      <c r="E329" s="2">
        <f t="shared" ca="1" si="22"/>
        <v>42771</v>
      </c>
      <c r="F329" s="6">
        <f t="shared" ca="1" si="23"/>
        <v>20.902071278014979</v>
      </c>
    </row>
    <row r="330" spans="1:6">
      <c r="A330" s="1">
        <v>9122284</v>
      </c>
      <c r="B330" s="1">
        <f t="shared" ca="1" si="20"/>
        <v>0.44300559545680507</v>
      </c>
      <c r="C330" s="1">
        <v>329</v>
      </c>
      <c r="D330" s="1">
        <f t="shared" ca="1" si="21"/>
        <v>199</v>
      </c>
      <c r="E330" s="2">
        <f t="shared" ca="1" si="22"/>
        <v>43338</v>
      </c>
      <c r="F330" s="6">
        <f t="shared" ca="1" si="23"/>
        <v>70.950758164677708</v>
      </c>
    </row>
    <row r="331" spans="1:6">
      <c r="A331" s="1">
        <v>9122287</v>
      </c>
      <c r="B331" s="1">
        <f t="shared" ca="1" si="20"/>
        <v>0.19601735686731558</v>
      </c>
      <c r="C331" s="1">
        <v>330</v>
      </c>
      <c r="D331" s="1">
        <f t="shared" ca="1" si="21"/>
        <v>311</v>
      </c>
      <c r="E331" s="2">
        <f t="shared" ca="1" si="22"/>
        <v>43223</v>
      </c>
      <c r="F331" s="6">
        <f t="shared" ca="1" si="23"/>
        <v>145.17360575180294</v>
      </c>
    </row>
    <row r="332" spans="1:6">
      <c r="A332" s="1">
        <v>9122290</v>
      </c>
      <c r="B332" s="1">
        <f t="shared" ca="1" si="20"/>
        <v>0.45642527658085319</v>
      </c>
      <c r="C332" s="1">
        <v>331</v>
      </c>
      <c r="D332" s="1">
        <f t="shared" ca="1" si="21"/>
        <v>61</v>
      </c>
      <c r="E332" s="2">
        <f t="shared" ca="1" si="22"/>
        <v>43009</v>
      </c>
      <c r="F332" s="6">
        <f t="shared" ca="1" si="23"/>
        <v>3.1157789297063441</v>
      </c>
    </row>
    <row r="333" spans="1:6">
      <c r="A333" s="1">
        <v>9122293</v>
      </c>
      <c r="B333" s="1">
        <f t="shared" ca="1" si="20"/>
        <v>0.59519143057034107</v>
      </c>
      <c r="C333" s="1">
        <v>332</v>
      </c>
      <c r="D333" s="1">
        <f t="shared" ca="1" si="21"/>
        <v>279</v>
      </c>
      <c r="E333" s="2">
        <f t="shared" ca="1" si="22"/>
        <v>43430</v>
      </c>
      <c r="F333" s="6">
        <f t="shared" ca="1" si="23"/>
        <v>127.55551532284885</v>
      </c>
    </row>
    <row r="334" spans="1:6">
      <c r="A334" s="1">
        <v>9122296</v>
      </c>
      <c r="B334" s="1">
        <f t="shared" ca="1" si="20"/>
        <v>0.92670516168949391</v>
      </c>
      <c r="C334" s="1">
        <v>333</v>
      </c>
      <c r="D334" s="1">
        <f t="shared" ca="1" si="21"/>
        <v>403</v>
      </c>
      <c r="E334" s="2">
        <f t="shared" ca="1" si="22"/>
        <v>43408</v>
      </c>
      <c r="F334" s="6">
        <f t="shared" ca="1" si="23"/>
        <v>103.90301245531275</v>
      </c>
    </row>
    <row r="335" spans="1:6">
      <c r="A335" s="1">
        <v>9122299</v>
      </c>
      <c r="B335" s="1">
        <f t="shared" ca="1" si="20"/>
        <v>4.5274028223141416E-2</v>
      </c>
      <c r="C335" s="1">
        <v>334</v>
      </c>
      <c r="D335" s="1">
        <f t="shared" ca="1" si="21"/>
        <v>97</v>
      </c>
      <c r="E335" s="2">
        <f t="shared" ca="1" si="22"/>
        <v>43479</v>
      </c>
      <c r="F335" s="6">
        <f t="shared" ca="1" si="23"/>
        <v>25.700546566426187</v>
      </c>
    </row>
    <row r="336" spans="1:6">
      <c r="A336" s="1">
        <v>9122302</v>
      </c>
      <c r="B336" s="1">
        <f t="shared" ca="1" si="20"/>
        <v>0.46194336965165028</v>
      </c>
      <c r="C336" s="1">
        <v>335</v>
      </c>
      <c r="D336" s="1">
        <f t="shared" ca="1" si="21"/>
        <v>250</v>
      </c>
      <c r="E336" s="2">
        <f t="shared" ca="1" si="22"/>
        <v>42789</v>
      </c>
      <c r="F336" s="6">
        <f t="shared" ca="1" si="23"/>
        <v>112.51266108175713</v>
      </c>
    </row>
    <row r="337" spans="1:6">
      <c r="A337" s="1">
        <v>9122305</v>
      </c>
      <c r="B337" s="1">
        <f t="shared" ca="1" si="20"/>
        <v>0.96143008942116592</v>
      </c>
      <c r="C337" s="1">
        <v>336</v>
      </c>
      <c r="D337" s="1">
        <f t="shared" ca="1" si="21"/>
        <v>162</v>
      </c>
      <c r="E337" s="2">
        <f t="shared" ca="1" si="22"/>
        <v>43117</v>
      </c>
      <c r="F337" s="6">
        <f t="shared" ca="1" si="23"/>
        <v>39.521733129025222</v>
      </c>
    </row>
    <row r="338" spans="1:6">
      <c r="A338" s="1">
        <v>9122308</v>
      </c>
      <c r="B338" s="1">
        <f t="shared" ca="1" si="20"/>
        <v>0.99575243464514451</v>
      </c>
      <c r="C338" s="1">
        <v>337</v>
      </c>
      <c r="D338" s="1">
        <f t="shared" ca="1" si="21"/>
        <v>399</v>
      </c>
      <c r="E338" s="2">
        <f t="shared" ca="1" si="22"/>
        <v>42956</v>
      </c>
      <c r="F338" s="6">
        <f t="shared" ca="1" si="23"/>
        <v>70.68523669322056</v>
      </c>
    </row>
    <row r="339" spans="1:6">
      <c r="A339" s="1">
        <v>9122311</v>
      </c>
      <c r="B339" s="1">
        <f t="shared" ca="1" si="20"/>
        <v>0.57410816661218322</v>
      </c>
      <c r="C339" s="1">
        <v>338</v>
      </c>
      <c r="D339" s="1">
        <f t="shared" ca="1" si="21"/>
        <v>190</v>
      </c>
      <c r="E339" s="2">
        <f t="shared" ca="1" si="22"/>
        <v>43279</v>
      </c>
      <c r="F339" s="6">
        <f t="shared" ca="1" si="23"/>
        <v>19.964197054289187</v>
      </c>
    </row>
    <row r="340" spans="1:6">
      <c r="A340" s="1">
        <v>9122314</v>
      </c>
      <c r="B340" s="1">
        <f t="shared" ca="1" si="20"/>
        <v>0.77202416123216289</v>
      </c>
      <c r="C340" s="1">
        <v>339</v>
      </c>
      <c r="D340" s="1">
        <f t="shared" ca="1" si="21"/>
        <v>584</v>
      </c>
      <c r="E340" s="2">
        <f t="shared" ca="1" si="22"/>
        <v>43462</v>
      </c>
      <c r="F340" s="6">
        <f t="shared" ca="1" si="23"/>
        <v>32.020779798371464</v>
      </c>
    </row>
    <row r="341" spans="1:6">
      <c r="A341" s="1">
        <v>9122317</v>
      </c>
      <c r="B341" s="1">
        <f t="shared" ca="1" si="20"/>
        <v>0.1494343472617562</v>
      </c>
      <c r="C341" s="1">
        <v>340</v>
      </c>
      <c r="D341" s="1">
        <f t="shared" ca="1" si="21"/>
        <v>457</v>
      </c>
      <c r="E341" s="2">
        <f t="shared" ca="1" si="22"/>
        <v>43063</v>
      </c>
      <c r="F341" s="6">
        <f t="shared" ca="1" si="23"/>
        <v>4.2009758821918046</v>
      </c>
    </row>
    <row r="342" spans="1:6">
      <c r="A342" s="1">
        <v>9122320</v>
      </c>
      <c r="B342" s="1">
        <f t="shared" ca="1" si="20"/>
        <v>0.72154614721160881</v>
      </c>
      <c r="C342" s="1">
        <v>341</v>
      </c>
      <c r="D342" s="1">
        <f t="shared" ca="1" si="21"/>
        <v>496</v>
      </c>
      <c r="E342" s="2">
        <f t="shared" ca="1" si="22"/>
        <v>43282</v>
      </c>
      <c r="F342" s="6">
        <f t="shared" ca="1" si="23"/>
        <v>85.519056324892134</v>
      </c>
    </row>
    <row r="343" spans="1:6">
      <c r="A343" s="1">
        <v>9122323</v>
      </c>
      <c r="B343" s="1">
        <f t="shared" ca="1" si="20"/>
        <v>0.83522697157943016</v>
      </c>
      <c r="C343" s="1">
        <v>342</v>
      </c>
      <c r="D343" s="1">
        <f t="shared" ca="1" si="21"/>
        <v>297</v>
      </c>
      <c r="E343" s="2">
        <f t="shared" ca="1" si="22"/>
        <v>43447</v>
      </c>
      <c r="F343" s="6">
        <f t="shared" ca="1" si="23"/>
        <v>11.199722747478011</v>
      </c>
    </row>
    <row r="344" spans="1:6">
      <c r="A344" s="1">
        <v>9122326</v>
      </c>
      <c r="B344" s="1">
        <f t="shared" ca="1" si="20"/>
        <v>0.90220872451511647</v>
      </c>
      <c r="C344" s="1">
        <v>343</v>
      </c>
      <c r="D344" s="1">
        <f t="shared" ca="1" si="21"/>
        <v>489</v>
      </c>
      <c r="E344" s="2">
        <f t="shared" ca="1" si="22"/>
        <v>43065</v>
      </c>
      <c r="F344" s="6">
        <f t="shared" ca="1" si="23"/>
        <v>40.415075802662159</v>
      </c>
    </row>
    <row r="345" spans="1:6">
      <c r="A345" s="1">
        <v>9122329</v>
      </c>
      <c r="B345" s="1">
        <f t="shared" ca="1" si="20"/>
        <v>0.89119779215814332</v>
      </c>
      <c r="C345" s="1">
        <v>344</v>
      </c>
      <c r="D345" s="1">
        <f t="shared" ca="1" si="21"/>
        <v>386</v>
      </c>
      <c r="E345" s="2">
        <f t="shared" ca="1" si="22"/>
        <v>42791</v>
      </c>
      <c r="F345" s="6">
        <f t="shared" ca="1" si="23"/>
        <v>6.1475141096482853</v>
      </c>
    </row>
    <row r="346" spans="1:6">
      <c r="A346" s="1">
        <v>9122332</v>
      </c>
      <c r="B346" s="1">
        <f t="shared" ca="1" si="20"/>
        <v>0.37929905931889407</v>
      </c>
      <c r="C346" s="1">
        <v>345</v>
      </c>
      <c r="D346" s="1">
        <f t="shared" ca="1" si="21"/>
        <v>105</v>
      </c>
      <c r="E346" s="2">
        <f t="shared" ca="1" si="22"/>
        <v>43069</v>
      </c>
      <c r="F346" s="6">
        <f t="shared" ca="1" si="23"/>
        <v>91.930551772634672</v>
      </c>
    </row>
    <row r="347" spans="1:6">
      <c r="A347" s="1">
        <v>9122335</v>
      </c>
      <c r="B347" s="1">
        <f t="shared" ca="1" si="20"/>
        <v>0.3476290348442358</v>
      </c>
      <c r="C347" s="1">
        <v>346</v>
      </c>
      <c r="D347" s="1">
        <f t="shared" ca="1" si="21"/>
        <v>420</v>
      </c>
      <c r="E347" s="2">
        <f t="shared" ca="1" si="22"/>
        <v>42831</v>
      </c>
      <c r="F347" s="6">
        <f t="shared" ca="1" si="23"/>
        <v>8.1568302793107836</v>
      </c>
    </row>
    <row r="348" spans="1:6">
      <c r="A348" s="1">
        <v>9122338</v>
      </c>
      <c r="B348" s="1">
        <f t="shared" ca="1" si="20"/>
        <v>0.27395153597911182</v>
      </c>
      <c r="C348" s="1">
        <v>347</v>
      </c>
      <c r="D348" s="1">
        <f t="shared" ca="1" si="21"/>
        <v>64</v>
      </c>
      <c r="E348" s="2">
        <f t="shared" ca="1" si="22"/>
        <v>43232</v>
      </c>
      <c r="F348" s="6">
        <f t="shared" ca="1" si="23"/>
        <v>8.7620358878802378</v>
      </c>
    </row>
    <row r="349" spans="1:6">
      <c r="A349" s="1">
        <v>9122341</v>
      </c>
      <c r="B349" s="1">
        <f t="shared" ca="1" si="20"/>
        <v>0.30396020225227871</v>
      </c>
      <c r="C349" s="1">
        <v>348</v>
      </c>
      <c r="D349" s="1">
        <f t="shared" ca="1" si="21"/>
        <v>196</v>
      </c>
      <c r="E349" s="2">
        <f t="shared" ca="1" si="22"/>
        <v>43494</v>
      </c>
      <c r="F349" s="6">
        <f t="shared" ca="1" si="23"/>
        <v>43.967312533530581</v>
      </c>
    </row>
    <row r="350" spans="1:6">
      <c r="A350" s="1">
        <v>9122344</v>
      </c>
      <c r="B350" s="1">
        <f t="shared" ca="1" si="20"/>
        <v>0.925502303687599</v>
      </c>
      <c r="C350" s="1">
        <v>349</v>
      </c>
      <c r="D350" s="1">
        <f t="shared" ca="1" si="21"/>
        <v>556</v>
      </c>
      <c r="E350" s="2">
        <f t="shared" ca="1" si="22"/>
        <v>42964</v>
      </c>
      <c r="F350" s="6">
        <f t="shared" ca="1" si="23"/>
        <v>8.0557347736562299</v>
      </c>
    </row>
    <row r="351" spans="1:6">
      <c r="A351" s="1">
        <v>9122347</v>
      </c>
      <c r="B351" s="1">
        <f t="shared" ca="1" si="20"/>
        <v>0.90379327108977059</v>
      </c>
      <c r="C351" s="1">
        <v>350</v>
      </c>
      <c r="D351" s="1">
        <f t="shared" ca="1" si="21"/>
        <v>63</v>
      </c>
      <c r="E351" s="2">
        <f t="shared" ca="1" si="22"/>
        <v>43335</v>
      </c>
      <c r="F351" s="6">
        <f t="shared" ca="1" si="23"/>
        <v>7.7578683331275666</v>
      </c>
    </row>
    <row r="352" spans="1:6">
      <c r="A352" s="1">
        <v>9122350</v>
      </c>
      <c r="B352" s="1">
        <f t="shared" ca="1" si="20"/>
        <v>0.57254778625172498</v>
      </c>
      <c r="C352" s="1">
        <v>351</v>
      </c>
      <c r="D352" s="1">
        <f t="shared" ca="1" si="21"/>
        <v>306</v>
      </c>
      <c r="E352" s="2">
        <f t="shared" ca="1" si="22"/>
        <v>42785</v>
      </c>
      <c r="F352" s="6">
        <f t="shared" ca="1" si="23"/>
        <v>74.102890006714972</v>
      </c>
    </row>
    <row r="353" spans="1:6">
      <c r="A353" s="1">
        <v>9122353</v>
      </c>
      <c r="B353" s="1">
        <f t="shared" ca="1" si="20"/>
        <v>0.81390817979568952</v>
      </c>
      <c r="C353" s="1">
        <v>352</v>
      </c>
      <c r="D353" s="1">
        <f t="shared" ca="1" si="21"/>
        <v>449</v>
      </c>
      <c r="E353" s="2">
        <f t="shared" ca="1" si="22"/>
        <v>43362</v>
      </c>
      <c r="F353" s="6">
        <f t="shared" ca="1" si="23"/>
        <v>3.0581215943177544</v>
      </c>
    </row>
    <row r="354" spans="1:6">
      <c r="A354" s="1">
        <v>9122356</v>
      </c>
      <c r="B354" s="1">
        <f t="shared" ca="1" si="20"/>
        <v>0.76457407162637858</v>
      </c>
      <c r="C354" s="1">
        <v>353</v>
      </c>
      <c r="D354" s="1">
        <f t="shared" ca="1" si="21"/>
        <v>561</v>
      </c>
      <c r="E354" s="2">
        <f t="shared" ca="1" si="22"/>
        <v>43064</v>
      </c>
      <c r="F354" s="6">
        <f t="shared" ca="1" si="23"/>
        <v>5.8092192685028792</v>
      </c>
    </row>
    <row r="355" spans="1:6">
      <c r="A355" s="1">
        <v>9122359</v>
      </c>
      <c r="B355" s="1">
        <f t="shared" ca="1" si="20"/>
        <v>0.29023887444259777</v>
      </c>
      <c r="C355" s="1">
        <v>354</v>
      </c>
      <c r="D355" s="1">
        <f t="shared" ca="1" si="21"/>
        <v>351</v>
      </c>
      <c r="E355" s="2">
        <f t="shared" ca="1" si="22"/>
        <v>42794</v>
      </c>
      <c r="F355" s="6">
        <f t="shared" ca="1" si="23"/>
        <v>3.0106684813507929</v>
      </c>
    </row>
    <row r="356" spans="1:6">
      <c r="A356" s="1">
        <v>9122362</v>
      </c>
      <c r="B356" s="1">
        <f t="shared" ca="1" si="20"/>
        <v>0.53048220646791355</v>
      </c>
      <c r="C356" s="1">
        <v>355</v>
      </c>
      <c r="D356" s="1">
        <f t="shared" ca="1" si="21"/>
        <v>40</v>
      </c>
      <c r="E356" s="2">
        <f t="shared" ca="1" si="22"/>
        <v>42866</v>
      </c>
      <c r="F356" s="6">
        <f t="shared" ca="1" si="23"/>
        <v>6.6442436408946524</v>
      </c>
    </row>
    <row r="357" spans="1:6">
      <c r="A357" s="1">
        <v>9122365</v>
      </c>
      <c r="B357" s="1">
        <f t="shared" ca="1" si="20"/>
        <v>0.88362749214255099</v>
      </c>
      <c r="C357" s="1">
        <v>356</v>
      </c>
      <c r="D357" s="1">
        <f t="shared" ca="1" si="21"/>
        <v>338</v>
      </c>
      <c r="E357" s="2">
        <f t="shared" ca="1" si="22"/>
        <v>42773</v>
      </c>
      <c r="F357" s="6">
        <f t="shared" ca="1" si="23"/>
        <v>134.17198517668575</v>
      </c>
    </row>
    <row r="358" spans="1:6">
      <c r="A358" s="1">
        <v>9122368</v>
      </c>
      <c r="B358" s="1">
        <f t="shared" ca="1" si="20"/>
        <v>0.61382578200534876</v>
      </c>
      <c r="C358" s="1">
        <v>357</v>
      </c>
      <c r="D358" s="1">
        <f t="shared" ca="1" si="21"/>
        <v>46</v>
      </c>
      <c r="E358" s="2">
        <f t="shared" ca="1" si="22"/>
        <v>42770</v>
      </c>
      <c r="F358" s="6">
        <f t="shared" ca="1" si="23"/>
        <v>17.867090575081082</v>
      </c>
    </row>
    <row r="359" spans="1:6">
      <c r="A359" s="1">
        <v>9122371</v>
      </c>
      <c r="B359" s="1">
        <f t="shared" ca="1" si="20"/>
        <v>0.53358084875009737</v>
      </c>
      <c r="C359" s="1">
        <v>358</v>
      </c>
      <c r="D359" s="1">
        <f t="shared" ca="1" si="21"/>
        <v>312</v>
      </c>
      <c r="E359" s="2">
        <f t="shared" ca="1" si="22"/>
        <v>42746</v>
      </c>
      <c r="F359" s="6">
        <f t="shared" ca="1" si="23"/>
        <v>3.0031275275796823</v>
      </c>
    </row>
    <row r="360" spans="1:6">
      <c r="A360" s="1">
        <v>9122374</v>
      </c>
      <c r="B360" s="1">
        <f t="shared" ca="1" si="20"/>
        <v>0.8359890341457421</v>
      </c>
      <c r="C360" s="1">
        <v>359</v>
      </c>
      <c r="D360" s="1">
        <f t="shared" ca="1" si="21"/>
        <v>520</v>
      </c>
      <c r="E360" s="2">
        <f t="shared" ca="1" si="22"/>
        <v>43183</v>
      </c>
      <c r="F360" s="6">
        <f t="shared" ca="1" si="23"/>
        <v>22.133366484268759</v>
      </c>
    </row>
    <row r="361" spans="1:6">
      <c r="A361" s="1">
        <v>9122377</v>
      </c>
      <c r="B361" s="1">
        <f t="shared" ca="1" si="20"/>
        <v>0.99235771537122508</v>
      </c>
      <c r="C361" s="1">
        <v>360</v>
      </c>
      <c r="D361" s="1">
        <f t="shared" ca="1" si="21"/>
        <v>126</v>
      </c>
      <c r="E361" s="2">
        <f t="shared" ca="1" si="22"/>
        <v>43462</v>
      </c>
      <c r="F361" s="6">
        <f t="shared" ca="1" si="23"/>
        <v>30.241025672489787</v>
      </c>
    </row>
    <row r="362" spans="1:6">
      <c r="A362" s="1">
        <v>9122380</v>
      </c>
      <c r="B362" s="1">
        <f t="shared" ca="1" si="20"/>
        <v>0.36997238850166669</v>
      </c>
      <c r="C362" s="1">
        <v>361</v>
      </c>
      <c r="D362" s="1">
        <f t="shared" ca="1" si="21"/>
        <v>492</v>
      </c>
      <c r="E362" s="2">
        <f t="shared" ca="1" si="22"/>
        <v>43100</v>
      </c>
      <c r="F362" s="6">
        <f t="shared" ca="1" si="23"/>
        <v>90.995468787857035</v>
      </c>
    </row>
    <row r="363" spans="1:6">
      <c r="A363" s="1">
        <v>9122383</v>
      </c>
      <c r="B363" s="1">
        <f t="shared" ca="1" si="20"/>
        <v>0.46309666782135661</v>
      </c>
      <c r="C363" s="1">
        <v>362</v>
      </c>
      <c r="D363" s="1">
        <f t="shared" ca="1" si="21"/>
        <v>534</v>
      </c>
      <c r="E363" s="2">
        <f t="shared" ca="1" si="22"/>
        <v>42869</v>
      </c>
      <c r="F363" s="6">
        <f t="shared" ca="1" si="23"/>
        <v>7.6981804614096658</v>
      </c>
    </row>
    <row r="364" spans="1:6">
      <c r="A364" s="1">
        <v>9122386</v>
      </c>
      <c r="B364" s="1">
        <f t="shared" ca="1" si="20"/>
        <v>6.0420356354681237E-3</v>
      </c>
      <c r="C364" s="1">
        <v>363</v>
      </c>
      <c r="D364" s="1">
        <f t="shared" ca="1" si="21"/>
        <v>395</v>
      </c>
      <c r="E364" s="2">
        <f t="shared" ca="1" si="22"/>
        <v>43274</v>
      </c>
      <c r="F364" s="6">
        <f t="shared" ca="1" si="23"/>
        <v>38.366146647412869</v>
      </c>
    </row>
    <row r="365" spans="1:6">
      <c r="A365" s="1">
        <v>9122389</v>
      </c>
      <c r="B365" s="1">
        <f t="shared" ca="1" si="20"/>
        <v>0.71733433577874772</v>
      </c>
      <c r="C365" s="1">
        <v>364</v>
      </c>
      <c r="D365" s="1">
        <f t="shared" ca="1" si="21"/>
        <v>232</v>
      </c>
      <c r="E365" s="2">
        <f t="shared" ca="1" si="22"/>
        <v>42738</v>
      </c>
      <c r="F365" s="6">
        <f t="shared" ca="1" si="23"/>
        <v>5.2118714152592567</v>
      </c>
    </row>
    <row r="366" spans="1:6">
      <c r="A366" s="1">
        <v>9122392</v>
      </c>
      <c r="B366" s="1">
        <f t="shared" ca="1" si="20"/>
        <v>0.76518479868455491</v>
      </c>
      <c r="C366" s="1">
        <v>365</v>
      </c>
      <c r="D366" s="1">
        <f t="shared" ca="1" si="21"/>
        <v>418</v>
      </c>
      <c r="E366" s="2">
        <f t="shared" ca="1" si="22"/>
        <v>43335</v>
      </c>
      <c r="F366" s="6">
        <f t="shared" ca="1" si="23"/>
        <v>8.4329518646917592</v>
      </c>
    </row>
    <row r="367" spans="1:6">
      <c r="A367" s="1">
        <v>9122395</v>
      </c>
      <c r="B367" s="1">
        <f t="shared" ca="1" si="20"/>
        <v>0.17039184820286835</v>
      </c>
      <c r="C367" s="1">
        <v>366</v>
      </c>
      <c r="D367" s="1">
        <f t="shared" ca="1" si="21"/>
        <v>429</v>
      </c>
      <c r="E367" s="2">
        <f t="shared" ca="1" si="22"/>
        <v>43046</v>
      </c>
      <c r="F367" s="6">
        <f t="shared" ca="1" si="23"/>
        <v>49.666241442418084</v>
      </c>
    </row>
    <row r="368" spans="1:6">
      <c r="A368" s="1">
        <v>9122398</v>
      </c>
      <c r="B368" s="1">
        <f t="shared" ca="1" si="20"/>
        <v>0.67118632218319829</v>
      </c>
      <c r="C368" s="1">
        <v>367</v>
      </c>
      <c r="D368" s="1">
        <f t="shared" ca="1" si="21"/>
        <v>391</v>
      </c>
      <c r="E368" s="2">
        <f t="shared" ca="1" si="22"/>
        <v>43023</v>
      </c>
      <c r="F368" s="6">
        <f t="shared" ca="1" si="23"/>
        <v>87.056138012553845</v>
      </c>
    </row>
    <row r="369" spans="1:6">
      <c r="A369" s="1">
        <v>9122401</v>
      </c>
      <c r="B369" s="1">
        <f t="shared" ca="1" si="20"/>
        <v>0.96767238301565572</v>
      </c>
      <c r="C369" s="1">
        <v>368</v>
      </c>
      <c r="D369" s="1">
        <f t="shared" ca="1" si="21"/>
        <v>131</v>
      </c>
      <c r="E369" s="2">
        <f t="shared" ca="1" si="22"/>
        <v>42917</v>
      </c>
      <c r="F369" s="6">
        <f t="shared" ca="1" si="23"/>
        <v>19.390878253722374</v>
      </c>
    </row>
    <row r="370" spans="1:6">
      <c r="A370" s="1">
        <v>9122404</v>
      </c>
      <c r="B370" s="1">
        <f t="shared" ca="1" si="20"/>
        <v>0.60046202804553828</v>
      </c>
      <c r="C370" s="1">
        <v>369</v>
      </c>
      <c r="D370" s="1">
        <f t="shared" ca="1" si="21"/>
        <v>432</v>
      </c>
      <c r="E370" s="2">
        <f t="shared" ca="1" si="22"/>
        <v>43188</v>
      </c>
      <c r="F370" s="6">
        <f t="shared" ca="1" si="23"/>
        <v>27.346942729210099</v>
      </c>
    </row>
    <row r="371" spans="1:6">
      <c r="A371" s="1">
        <v>9122407</v>
      </c>
      <c r="B371" s="1">
        <f t="shared" ca="1" si="20"/>
        <v>0.98970057913765974</v>
      </c>
      <c r="C371" s="1">
        <v>370</v>
      </c>
      <c r="D371" s="1">
        <f t="shared" ca="1" si="21"/>
        <v>116</v>
      </c>
      <c r="E371" s="2">
        <f t="shared" ca="1" si="22"/>
        <v>43046</v>
      </c>
      <c r="F371" s="6">
        <f t="shared" ca="1" si="23"/>
        <v>3.1182108478427621</v>
      </c>
    </row>
    <row r="372" spans="1:6">
      <c r="A372" s="1">
        <v>9122410</v>
      </c>
      <c r="B372" s="1">
        <f t="shared" ca="1" si="20"/>
        <v>0.37804766554808766</v>
      </c>
      <c r="C372" s="1">
        <v>371</v>
      </c>
      <c r="D372" s="1">
        <f t="shared" ca="1" si="21"/>
        <v>332</v>
      </c>
      <c r="E372" s="2">
        <f t="shared" ca="1" si="22"/>
        <v>42972</v>
      </c>
      <c r="F372" s="6">
        <f t="shared" ca="1" si="23"/>
        <v>76.031601975790878</v>
      </c>
    </row>
    <row r="373" spans="1:6">
      <c r="A373" s="1">
        <v>9122413</v>
      </c>
      <c r="B373" s="1">
        <f t="shared" ca="1" si="20"/>
        <v>0.64237684591459054</v>
      </c>
      <c r="C373" s="1">
        <v>372</v>
      </c>
      <c r="D373" s="1">
        <f t="shared" ca="1" si="21"/>
        <v>145</v>
      </c>
      <c r="E373" s="2">
        <f t="shared" ca="1" si="22"/>
        <v>43399</v>
      </c>
      <c r="F373" s="6">
        <f t="shared" ca="1" si="23"/>
        <v>9.5131931524159334</v>
      </c>
    </row>
    <row r="374" spans="1:6">
      <c r="A374" s="1">
        <v>9122416</v>
      </c>
      <c r="B374" s="1">
        <f t="shared" ca="1" si="20"/>
        <v>0.92385354072614312</v>
      </c>
      <c r="C374" s="1">
        <v>373</v>
      </c>
      <c r="D374" s="1">
        <f t="shared" ca="1" si="21"/>
        <v>106</v>
      </c>
      <c r="E374" s="2">
        <f t="shared" ca="1" si="22"/>
        <v>43483</v>
      </c>
      <c r="F374" s="6">
        <f t="shared" ca="1" si="23"/>
        <v>14.352247654344746</v>
      </c>
    </row>
    <row r="375" spans="1:6">
      <c r="A375" s="1">
        <v>9122419</v>
      </c>
      <c r="B375" s="1">
        <f t="shared" ca="1" si="20"/>
        <v>0.23906838113618945</v>
      </c>
      <c r="C375" s="1">
        <v>374</v>
      </c>
      <c r="D375" s="1">
        <f t="shared" ca="1" si="21"/>
        <v>595</v>
      </c>
      <c r="E375" s="2">
        <f t="shared" ca="1" si="22"/>
        <v>43284</v>
      </c>
      <c r="F375" s="6">
        <f t="shared" ca="1" si="23"/>
        <v>131.86414339087528</v>
      </c>
    </row>
    <row r="376" spans="1:6">
      <c r="A376" s="1">
        <v>9122422</v>
      </c>
      <c r="B376" s="1">
        <f t="shared" ca="1" si="20"/>
        <v>0.4798021812553076</v>
      </c>
      <c r="C376" s="1">
        <v>375</v>
      </c>
      <c r="D376" s="1">
        <f t="shared" ca="1" si="21"/>
        <v>431</v>
      </c>
      <c r="E376" s="2">
        <f t="shared" ca="1" si="22"/>
        <v>42808</v>
      </c>
      <c r="F376" s="6">
        <f t="shared" ca="1" si="23"/>
        <v>105.25609772769167</v>
      </c>
    </row>
    <row r="377" spans="1:6">
      <c r="A377" s="1">
        <v>9122425</v>
      </c>
      <c r="B377" s="1">
        <f t="shared" ca="1" si="20"/>
        <v>0.43844801653747656</v>
      </c>
      <c r="C377" s="1">
        <v>376</v>
      </c>
      <c r="D377" s="1">
        <f t="shared" ca="1" si="21"/>
        <v>67</v>
      </c>
      <c r="E377" s="2">
        <f t="shared" ca="1" si="22"/>
        <v>43066</v>
      </c>
      <c r="F377" s="6">
        <f t="shared" ca="1" si="23"/>
        <v>14.091334809931157</v>
      </c>
    </row>
    <row r="378" spans="1:6">
      <c r="A378" s="1">
        <v>9122428</v>
      </c>
      <c r="B378" s="1">
        <f t="shared" ca="1" si="20"/>
        <v>0.49558168433335381</v>
      </c>
      <c r="C378" s="1">
        <v>377</v>
      </c>
      <c r="D378" s="1">
        <f t="shared" ca="1" si="21"/>
        <v>90</v>
      </c>
      <c r="E378" s="2">
        <f t="shared" ca="1" si="22"/>
        <v>43327</v>
      </c>
      <c r="F378" s="6">
        <f t="shared" ca="1" si="23"/>
        <v>158.70288692074016</v>
      </c>
    </row>
    <row r="379" spans="1:6">
      <c r="A379" s="1">
        <v>9122431</v>
      </c>
      <c r="B379" s="1">
        <f t="shared" ca="1" si="20"/>
        <v>0.31395041025795367</v>
      </c>
      <c r="C379" s="1">
        <v>378</v>
      </c>
      <c r="D379" s="1">
        <f t="shared" ca="1" si="21"/>
        <v>369</v>
      </c>
      <c r="E379" s="2">
        <f t="shared" ca="1" si="22"/>
        <v>43213</v>
      </c>
      <c r="F379" s="6">
        <f t="shared" ca="1" si="23"/>
        <v>40.082599083531647</v>
      </c>
    </row>
    <row r="380" spans="1:6">
      <c r="A380" s="1">
        <v>9122434</v>
      </c>
      <c r="B380" s="1">
        <f t="shared" ca="1" si="20"/>
        <v>0.97247257557913458</v>
      </c>
      <c r="C380" s="1">
        <v>379</v>
      </c>
      <c r="D380" s="1">
        <f t="shared" ca="1" si="21"/>
        <v>16</v>
      </c>
      <c r="E380" s="2">
        <f t="shared" ca="1" si="22"/>
        <v>43425</v>
      </c>
      <c r="F380" s="6">
        <f t="shared" ca="1" si="23"/>
        <v>20.190692942270296</v>
      </c>
    </row>
    <row r="381" spans="1:6">
      <c r="A381" s="1">
        <v>9122437</v>
      </c>
      <c r="B381" s="1">
        <f t="shared" ca="1" si="20"/>
        <v>0.93362355316134105</v>
      </c>
      <c r="C381" s="1">
        <v>380</v>
      </c>
      <c r="D381" s="1">
        <f t="shared" ca="1" si="21"/>
        <v>159</v>
      </c>
      <c r="E381" s="2">
        <f t="shared" ca="1" si="22"/>
        <v>43285</v>
      </c>
      <c r="F381" s="6">
        <f t="shared" ca="1" si="23"/>
        <v>106.11716093316899</v>
      </c>
    </row>
    <row r="382" spans="1:6">
      <c r="A382" s="1">
        <v>9122440</v>
      </c>
      <c r="B382" s="1">
        <f t="shared" ca="1" si="20"/>
        <v>0.52905620764384065</v>
      </c>
      <c r="C382" s="1">
        <v>381</v>
      </c>
      <c r="D382" s="1">
        <f t="shared" ca="1" si="21"/>
        <v>583</v>
      </c>
      <c r="E382" s="2">
        <f t="shared" ca="1" si="22"/>
        <v>43206</v>
      </c>
      <c r="F382" s="6">
        <f t="shared" ca="1" si="23"/>
        <v>76.101597374394871</v>
      </c>
    </row>
    <row r="383" spans="1:6">
      <c r="A383" s="1">
        <v>9122443</v>
      </c>
      <c r="B383" s="1">
        <f t="shared" ca="1" si="20"/>
        <v>0.7253432824148337</v>
      </c>
      <c r="C383" s="1">
        <v>382</v>
      </c>
      <c r="D383" s="1">
        <f t="shared" ca="1" si="21"/>
        <v>240</v>
      </c>
      <c r="E383" s="2">
        <f t="shared" ca="1" si="22"/>
        <v>42935</v>
      </c>
      <c r="F383" s="6">
        <f t="shared" ca="1" si="23"/>
        <v>17.053393326396947</v>
      </c>
    </row>
    <row r="384" spans="1:6">
      <c r="A384" s="1">
        <v>9122446</v>
      </c>
      <c r="B384" s="1">
        <f t="shared" ca="1" si="20"/>
        <v>0.38640403658392175</v>
      </c>
      <c r="C384" s="1">
        <v>383</v>
      </c>
      <c r="D384" s="1">
        <f t="shared" ca="1" si="21"/>
        <v>305</v>
      </c>
      <c r="E384" s="2">
        <f t="shared" ca="1" si="22"/>
        <v>43197</v>
      </c>
      <c r="F384" s="6">
        <f t="shared" ca="1" si="23"/>
        <v>9.4282509304926485</v>
      </c>
    </row>
    <row r="385" spans="1:6">
      <c r="A385" s="1">
        <v>9122449</v>
      </c>
      <c r="B385" s="1">
        <f t="shared" ca="1" si="20"/>
        <v>0.39827090849665747</v>
      </c>
      <c r="C385" s="1">
        <v>384</v>
      </c>
      <c r="D385" s="1">
        <f t="shared" ca="1" si="21"/>
        <v>66</v>
      </c>
      <c r="E385" s="2">
        <f t="shared" ca="1" si="22"/>
        <v>43024</v>
      </c>
      <c r="F385" s="6">
        <f t="shared" ca="1" si="23"/>
        <v>9.0392445544194011</v>
      </c>
    </row>
    <row r="386" spans="1:6">
      <c r="A386" s="1">
        <v>9122452</v>
      </c>
      <c r="B386" s="1">
        <f t="shared" ref="B386:B449" ca="1" si="24">RAND()</f>
        <v>0.23301886802168115</v>
      </c>
      <c r="C386" s="1">
        <v>385</v>
      </c>
      <c r="D386" s="1">
        <f t="shared" ca="1" si="21"/>
        <v>188</v>
      </c>
      <c r="E386" s="2">
        <f t="shared" ca="1" si="22"/>
        <v>43151</v>
      </c>
      <c r="F386" s="6">
        <f t="shared" ca="1" si="23"/>
        <v>34.70211587103681</v>
      </c>
    </row>
    <row r="387" spans="1:6">
      <c r="A387" s="1">
        <v>9122455</v>
      </c>
      <c r="B387" s="1">
        <f t="shared" ca="1" si="24"/>
        <v>0.55895924424450971</v>
      </c>
      <c r="C387" s="1">
        <v>386</v>
      </c>
      <c r="D387" s="1">
        <f t="shared" ref="D387:D450" ca="1" si="25">VLOOKUP(SMALL($B$2:$B$601,C387),$B$2:$C$601,2,FALSE)</f>
        <v>270</v>
      </c>
      <c r="E387" s="2">
        <f t="shared" ref="E387:E450" ca="1" si="26">RANDBETWEEN("1/1/17","2/1/19")</f>
        <v>43354</v>
      </c>
      <c r="F387" s="6">
        <f t="shared" ref="F387:F450" ca="1" si="27">_xlfn.GAMMA.INV(RAND(),$J$6,$J$7)*100+3</f>
        <v>5.5981962772473084</v>
      </c>
    </row>
    <row r="388" spans="1:6">
      <c r="A388" s="1">
        <v>9122458</v>
      </c>
      <c r="B388" s="1">
        <f t="shared" ca="1" si="24"/>
        <v>0.31548015018480047</v>
      </c>
      <c r="C388" s="1">
        <v>387</v>
      </c>
      <c r="D388" s="1">
        <f t="shared" ca="1" si="25"/>
        <v>357</v>
      </c>
      <c r="E388" s="2">
        <f t="shared" ca="1" si="26"/>
        <v>42960</v>
      </c>
      <c r="F388" s="6">
        <f t="shared" ca="1" si="27"/>
        <v>4.3637200507042024</v>
      </c>
    </row>
    <row r="389" spans="1:6">
      <c r="A389" s="1">
        <v>9122461</v>
      </c>
      <c r="B389" s="1">
        <f t="shared" ca="1" si="24"/>
        <v>0.86373279318464213</v>
      </c>
      <c r="C389" s="1">
        <v>388</v>
      </c>
      <c r="D389" s="1">
        <f t="shared" ca="1" si="25"/>
        <v>425</v>
      </c>
      <c r="E389" s="2">
        <f t="shared" ca="1" si="26"/>
        <v>42905</v>
      </c>
      <c r="F389" s="6">
        <f t="shared" ca="1" si="27"/>
        <v>11.373722278922685</v>
      </c>
    </row>
    <row r="390" spans="1:6">
      <c r="A390" s="1">
        <v>9122464</v>
      </c>
      <c r="B390" s="1">
        <f t="shared" ca="1" si="24"/>
        <v>0.26485721553321528</v>
      </c>
      <c r="C390" s="1">
        <v>389</v>
      </c>
      <c r="D390" s="1">
        <f t="shared" ca="1" si="25"/>
        <v>89</v>
      </c>
      <c r="E390" s="2">
        <f t="shared" ca="1" si="26"/>
        <v>43281</v>
      </c>
      <c r="F390" s="6">
        <f t="shared" ca="1" si="27"/>
        <v>33.569718875696132</v>
      </c>
    </row>
    <row r="391" spans="1:6">
      <c r="A391" s="1">
        <v>9122467</v>
      </c>
      <c r="B391" s="1">
        <f t="shared" ca="1" si="24"/>
        <v>0.31367394058700027</v>
      </c>
      <c r="C391" s="1">
        <v>390</v>
      </c>
      <c r="D391" s="1">
        <f t="shared" ca="1" si="25"/>
        <v>573</v>
      </c>
      <c r="E391" s="2">
        <f t="shared" ca="1" si="26"/>
        <v>43092</v>
      </c>
      <c r="F391" s="6">
        <f t="shared" ca="1" si="27"/>
        <v>132.38660721704443</v>
      </c>
    </row>
    <row r="392" spans="1:6">
      <c r="A392" s="1">
        <v>9122470</v>
      </c>
      <c r="B392" s="1">
        <f t="shared" ca="1" si="24"/>
        <v>0.59199279584984899</v>
      </c>
      <c r="C392" s="1">
        <v>391</v>
      </c>
      <c r="D392" s="1">
        <f t="shared" ca="1" si="25"/>
        <v>51</v>
      </c>
      <c r="E392" s="2">
        <f t="shared" ca="1" si="26"/>
        <v>43314</v>
      </c>
      <c r="F392" s="6">
        <f t="shared" ca="1" si="27"/>
        <v>14.844394163037846</v>
      </c>
    </row>
    <row r="393" spans="1:6">
      <c r="A393" s="1">
        <v>9122473</v>
      </c>
      <c r="B393" s="1">
        <f t="shared" ca="1" si="24"/>
        <v>0.73249628115145005</v>
      </c>
      <c r="C393" s="1">
        <v>392</v>
      </c>
      <c r="D393" s="1">
        <f t="shared" ca="1" si="25"/>
        <v>481</v>
      </c>
      <c r="E393" s="2">
        <f t="shared" ca="1" si="26"/>
        <v>42980</v>
      </c>
      <c r="F393" s="6">
        <f t="shared" ca="1" si="27"/>
        <v>4.2702887150712581</v>
      </c>
    </row>
    <row r="394" spans="1:6">
      <c r="A394" s="1">
        <v>9122476</v>
      </c>
      <c r="B394" s="1">
        <f t="shared" ca="1" si="24"/>
        <v>0.22945962968750666</v>
      </c>
      <c r="C394" s="1">
        <v>393</v>
      </c>
      <c r="D394" s="1">
        <f t="shared" ca="1" si="25"/>
        <v>528</v>
      </c>
      <c r="E394" s="2">
        <f t="shared" ca="1" si="26"/>
        <v>43234</v>
      </c>
      <c r="F394" s="6">
        <f t="shared" ca="1" si="27"/>
        <v>4.2626740853241536</v>
      </c>
    </row>
    <row r="395" spans="1:6">
      <c r="A395" s="1">
        <v>9122479</v>
      </c>
      <c r="B395" s="1">
        <f t="shared" ca="1" si="24"/>
        <v>0.75285184800632399</v>
      </c>
      <c r="C395" s="1">
        <v>394</v>
      </c>
      <c r="D395" s="1">
        <f t="shared" ca="1" si="25"/>
        <v>314</v>
      </c>
      <c r="E395" s="2">
        <f t="shared" ca="1" si="26"/>
        <v>42883</v>
      </c>
      <c r="F395" s="6">
        <f t="shared" ca="1" si="27"/>
        <v>4.3349208552163354</v>
      </c>
    </row>
    <row r="396" spans="1:6">
      <c r="A396" s="1">
        <v>9122482</v>
      </c>
      <c r="B396" s="1">
        <f t="shared" ca="1" si="24"/>
        <v>0.58311643029355142</v>
      </c>
      <c r="C396" s="1">
        <v>395</v>
      </c>
      <c r="D396" s="1">
        <f t="shared" ca="1" si="25"/>
        <v>29</v>
      </c>
      <c r="E396" s="2">
        <f t="shared" ca="1" si="26"/>
        <v>42784</v>
      </c>
      <c r="F396" s="6">
        <f t="shared" ca="1" si="27"/>
        <v>4.9297361766250836</v>
      </c>
    </row>
    <row r="397" spans="1:6">
      <c r="A397" s="1">
        <v>9122485</v>
      </c>
      <c r="B397" s="1">
        <f t="shared" ca="1" si="24"/>
        <v>0.15132386315698976</v>
      </c>
      <c r="C397" s="1">
        <v>396</v>
      </c>
      <c r="D397" s="1">
        <f t="shared" ca="1" si="25"/>
        <v>436</v>
      </c>
      <c r="E397" s="2">
        <f t="shared" ca="1" si="26"/>
        <v>43267</v>
      </c>
      <c r="F397" s="6">
        <f t="shared" ca="1" si="27"/>
        <v>8.4981741759176721</v>
      </c>
    </row>
    <row r="398" spans="1:6">
      <c r="A398" s="1">
        <v>9122488</v>
      </c>
      <c r="B398" s="1">
        <f t="shared" ca="1" si="24"/>
        <v>0.53781642687225528</v>
      </c>
      <c r="C398" s="1">
        <v>397</v>
      </c>
      <c r="D398" s="1">
        <f t="shared" ca="1" si="25"/>
        <v>158</v>
      </c>
      <c r="E398" s="2">
        <f t="shared" ca="1" si="26"/>
        <v>43260</v>
      </c>
      <c r="F398" s="6">
        <f t="shared" ca="1" si="27"/>
        <v>19.790794752072383</v>
      </c>
    </row>
    <row r="399" spans="1:6">
      <c r="A399" s="1">
        <v>9122491</v>
      </c>
      <c r="B399" s="1">
        <f t="shared" ca="1" si="24"/>
        <v>5.3736724764239963E-2</v>
      </c>
      <c r="C399" s="1">
        <v>398</v>
      </c>
      <c r="D399" s="1">
        <f t="shared" ca="1" si="25"/>
        <v>567</v>
      </c>
      <c r="E399" s="2">
        <f t="shared" ca="1" si="26"/>
        <v>42956</v>
      </c>
      <c r="F399" s="6">
        <f t="shared" ca="1" si="27"/>
        <v>14.8214224044173</v>
      </c>
    </row>
    <row r="400" spans="1:6">
      <c r="A400" s="1">
        <v>9122494</v>
      </c>
      <c r="B400" s="1">
        <f t="shared" ca="1" si="24"/>
        <v>0.55251209762769726</v>
      </c>
      <c r="C400" s="1">
        <v>399</v>
      </c>
      <c r="D400" s="1">
        <f t="shared" ca="1" si="25"/>
        <v>479</v>
      </c>
      <c r="E400" s="2">
        <f t="shared" ca="1" si="26"/>
        <v>43071</v>
      </c>
      <c r="F400" s="6">
        <f t="shared" ca="1" si="27"/>
        <v>48.96974870495832</v>
      </c>
    </row>
    <row r="401" spans="1:6">
      <c r="A401" s="1">
        <v>9122497</v>
      </c>
      <c r="B401" s="1">
        <f t="shared" ca="1" si="24"/>
        <v>6.9639825056115767E-2</v>
      </c>
      <c r="C401" s="1">
        <v>400</v>
      </c>
      <c r="D401" s="1">
        <f t="shared" ca="1" si="25"/>
        <v>491</v>
      </c>
      <c r="E401" s="2">
        <f t="shared" ca="1" si="26"/>
        <v>43323</v>
      </c>
      <c r="F401" s="6">
        <f t="shared" ca="1" si="27"/>
        <v>18.460952587785467</v>
      </c>
    </row>
    <row r="402" spans="1:6">
      <c r="A402" s="1">
        <v>9122500</v>
      </c>
      <c r="B402" s="1">
        <f t="shared" ca="1" si="24"/>
        <v>5.416492335668166E-2</v>
      </c>
      <c r="C402" s="1">
        <v>401</v>
      </c>
      <c r="D402" s="1">
        <f t="shared" ca="1" si="25"/>
        <v>204</v>
      </c>
      <c r="E402" s="2">
        <f t="shared" ca="1" si="26"/>
        <v>42842</v>
      </c>
      <c r="F402" s="6">
        <f t="shared" ca="1" si="27"/>
        <v>70.679178543881264</v>
      </c>
    </row>
    <row r="403" spans="1:6">
      <c r="A403" s="1">
        <v>9122503</v>
      </c>
      <c r="B403" s="1">
        <f t="shared" ca="1" si="24"/>
        <v>7.1860660961512779E-2</v>
      </c>
      <c r="C403" s="1">
        <v>402</v>
      </c>
      <c r="D403" s="1">
        <f t="shared" ca="1" si="25"/>
        <v>161</v>
      </c>
      <c r="E403" s="2">
        <f t="shared" ca="1" si="26"/>
        <v>43392</v>
      </c>
      <c r="F403" s="6">
        <f t="shared" ca="1" si="27"/>
        <v>156.67466846136045</v>
      </c>
    </row>
    <row r="404" spans="1:6">
      <c r="A404" s="1">
        <v>9122506</v>
      </c>
      <c r="B404" s="1">
        <f t="shared" ca="1" si="24"/>
        <v>0.54897053357946113</v>
      </c>
      <c r="C404" s="1">
        <v>403</v>
      </c>
      <c r="D404" s="1">
        <f t="shared" ca="1" si="25"/>
        <v>35</v>
      </c>
      <c r="E404" s="2">
        <f t="shared" ca="1" si="26"/>
        <v>43226</v>
      </c>
      <c r="F404" s="6">
        <f t="shared" ca="1" si="27"/>
        <v>68.816348622201048</v>
      </c>
    </row>
    <row r="405" spans="1:6">
      <c r="A405" s="1">
        <v>9122509</v>
      </c>
      <c r="B405" s="1">
        <f t="shared" ca="1" si="24"/>
        <v>0.66716319357767428</v>
      </c>
      <c r="C405" s="1">
        <v>404</v>
      </c>
      <c r="D405" s="1">
        <f t="shared" ca="1" si="25"/>
        <v>475</v>
      </c>
      <c r="E405" s="2">
        <f t="shared" ca="1" si="26"/>
        <v>43201</v>
      </c>
      <c r="F405" s="6">
        <f t="shared" ca="1" si="27"/>
        <v>35.622060471204065</v>
      </c>
    </row>
    <row r="406" spans="1:6">
      <c r="A406" s="1">
        <v>9122512</v>
      </c>
      <c r="B406" s="1">
        <f t="shared" ca="1" si="24"/>
        <v>0.64751081189346804</v>
      </c>
      <c r="C406" s="1">
        <v>405</v>
      </c>
      <c r="D406" s="1">
        <f t="shared" ca="1" si="25"/>
        <v>372</v>
      </c>
      <c r="E406" s="2">
        <f t="shared" ca="1" si="26"/>
        <v>43071</v>
      </c>
      <c r="F406" s="6">
        <f t="shared" ca="1" si="27"/>
        <v>3.0466113048309622</v>
      </c>
    </row>
    <row r="407" spans="1:6">
      <c r="A407" s="1">
        <v>9122515</v>
      </c>
      <c r="B407" s="1">
        <f t="shared" ca="1" si="24"/>
        <v>0.24195385702578664</v>
      </c>
      <c r="C407" s="1">
        <v>406</v>
      </c>
      <c r="D407" s="1">
        <f t="shared" ca="1" si="25"/>
        <v>28</v>
      </c>
      <c r="E407" s="2">
        <f t="shared" ca="1" si="26"/>
        <v>43295</v>
      </c>
      <c r="F407" s="6">
        <f t="shared" ca="1" si="27"/>
        <v>19.532649914196789</v>
      </c>
    </row>
    <row r="408" spans="1:6">
      <c r="A408" s="1">
        <v>9122518</v>
      </c>
      <c r="B408" s="1">
        <f t="shared" ca="1" si="24"/>
        <v>0.43204118164246386</v>
      </c>
      <c r="C408" s="1">
        <v>407</v>
      </c>
      <c r="D408" s="1">
        <f t="shared" ca="1" si="25"/>
        <v>328</v>
      </c>
      <c r="E408" s="2">
        <f t="shared" ca="1" si="26"/>
        <v>43019</v>
      </c>
      <c r="F408" s="6">
        <f t="shared" ca="1" si="27"/>
        <v>4.6843380775648695</v>
      </c>
    </row>
    <row r="409" spans="1:6">
      <c r="A409" s="1">
        <v>9122521</v>
      </c>
      <c r="B409" s="1">
        <f t="shared" ca="1" si="24"/>
        <v>0.74225151674182299</v>
      </c>
      <c r="C409" s="1">
        <v>408</v>
      </c>
      <c r="D409" s="1">
        <f t="shared" ca="1" si="25"/>
        <v>43</v>
      </c>
      <c r="E409" s="2">
        <f t="shared" ca="1" si="26"/>
        <v>43059</v>
      </c>
      <c r="F409" s="6">
        <f t="shared" ca="1" si="27"/>
        <v>16.448267461988067</v>
      </c>
    </row>
    <row r="410" spans="1:6">
      <c r="A410" s="1">
        <v>9122524</v>
      </c>
      <c r="B410" s="1">
        <f t="shared" ca="1" si="24"/>
        <v>0.5385680652290058</v>
      </c>
      <c r="C410" s="1">
        <v>409</v>
      </c>
      <c r="D410" s="1">
        <f t="shared" ca="1" si="25"/>
        <v>405</v>
      </c>
      <c r="E410" s="2">
        <f t="shared" ca="1" si="26"/>
        <v>43171</v>
      </c>
      <c r="F410" s="6">
        <f t="shared" ca="1" si="27"/>
        <v>191.52365310226844</v>
      </c>
    </row>
    <row r="411" spans="1:6">
      <c r="A411" s="1">
        <v>9122527</v>
      </c>
      <c r="B411" s="1">
        <f t="shared" ca="1" si="24"/>
        <v>0.75932445818980088</v>
      </c>
      <c r="C411" s="1">
        <v>410</v>
      </c>
      <c r="D411" s="1">
        <f t="shared" ca="1" si="25"/>
        <v>290</v>
      </c>
      <c r="E411" s="2">
        <f t="shared" ca="1" si="26"/>
        <v>43121</v>
      </c>
      <c r="F411" s="6">
        <f t="shared" ca="1" si="27"/>
        <v>32.975144642314795</v>
      </c>
    </row>
    <row r="412" spans="1:6">
      <c r="A412" s="1">
        <v>9122530</v>
      </c>
      <c r="B412" s="1">
        <f t="shared" ca="1" si="24"/>
        <v>0.8707778556054897</v>
      </c>
      <c r="C412" s="1">
        <v>411</v>
      </c>
      <c r="D412" s="1">
        <f t="shared" ca="1" si="25"/>
        <v>531</v>
      </c>
      <c r="E412" s="2">
        <f t="shared" ca="1" si="26"/>
        <v>42916</v>
      </c>
      <c r="F412" s="6">
        <f t="shared" ca="1" si="27"/>
        <v>67.945538253983386</v>
      </c>
    </row>
    <row r="413" spans="1:6">
      <c r="A413" s="1">
        <v>9122533</v>
      </c>
      <c r="B413" s="1">
        <f t="shared" ca="1" si="24"/>
        <v>0.36054568773847506</v>
      </c>
      <c r="C413" s="1">
        <v>412</v>
      </c>
      <c r="D413" s="1">
        <f t="shared" ca="1" si="25"/>
        <v>72</v>
      </c>
      <c r="E413" s="2">
        <f t="shared" ca="1" si="26"/>
        <v>43174</v>
      </c>
      <c r="F413" s="6">
        <f t="shared" ca="1" si="27"/>
        <v>25.955273436777748</v>
      </c>
    </row>
    <row r="414" spans="1:6">
      <c r="A414" s="1">
        <v>9122536</v>
      </c>
      <c r="B414" s="1">
        <f t="shared" ca="1" si="24"/>
        <v>4.3824138867630036E-2</v>
      </c>
      <c r="C414" s="1">
        <v>413</v>
      </c>
      <c r="D414" s="1">
        <f t="shared" ca="1" si="25"/>
        <v>225</v>
      </c>
      <c r="E414" s="2">
        <f t="shared" ca="1" si="26"/>
        <v>42772</v>
      </c>
      <c r="F414" s="6">
        <f t="shared" ca="1" si="27"/>
        <v>35.414866503170551</v>
      </c>
    </row>
    <row r="415" spans="1:6">
      <c r="A415" s="1">
        <v>9122539</v>
      </c>
      <c r="B415" s="1">
        <f t="shared" ca="1" si="24"/>
        <v>0.73765088586552241</v>
      </c>
      <c r="C415" s="1">
        <v>414</v>
      </c>
      <c r="D415" s="1">
        <f t="shared" ca="1" si="25"/>
        <v>590</v>
      </c>
      <c r="E415" s="2">
        <f t="shared" ca="1" si="26"/>
        <v>43284</v>
      </c>
      <c r="F415" s="6">
        <f t="shared" ca="1" si="27"/>
        <v>25.440408268219812</v>
      </c>
    </row>
    <row r="416" spans="1:6">
      <c r="A416" s="1">
        <v>9122542</v>
      </c>
      <c r="B416" s="1">
        <f t="shared" ca="1" si="24"/>
        <v>8.9297096781694285E-2</v>
      </c>
      <c r="C416" s="1">
        <v>415</v>
      </c>
      <c r="D416" s="1">
        <f t="shared" ca="1" si="25"/>
        <v>462</v>
      </c>
      <c r="E416" s="2">
        <f t="shared" ca="1" si="26"/>
        <v>43356</v>
      </c>
      <c r="F416" s="6">
        <f t="shared" ca="1" si="27"/>
        <v>56.074601057754613</v>
      </c>
    </row>
    <row r="417" spans="1:6">
      <c r="A417" s="1">
        <v>9122545</v>
      </c>
      <c r="B417" s="1">
        <f t="shared" ca="1" si="24"/>
        <v>0.24067949255230414</v>
      </c>
      <c r="C417" s="1">
        <v>416</v>
      </c>
      <c r="D417" s="1">
        <f t="shared" ca="1" si="25"/>
        <v>160</v>
      </c>
      <c r="E417" s="2">
        <f t="shared" ca="1" si="26"/>
        <v>43487</v>
      </c>
      <c r="F417" s="6">
        <f t="shared" ca="1" si="27"/>
        <v>20.977798624741339</v>
      </c>
    </row>
    <row r="418" spans="1:6">
      <c r="A418" s="1">
        <v>9122548</v>
      </c>
      <c r="B418" s="1">
        <f t="shared" ca="1" si="24"/>
        <v>0.14985391010866123</v>
      </c>
      <c r="C418" s="1">
        <v>417</v>
      </c>
      <c r="D418" s="1">
        <f t="shared" ca="1" si="25"/>
        <v>325</v>
      </c>
      <c r="E418" s="2">
        <f t="shared" ca="1" si="26"/>
        <v>43218</v>
      </c>
      <c r="F418" s="6">
        <f t="shared" ca="1" si="27"/>
        <v>7.6586923609984536</v>
      </c>
    </row>
    <row r="419" spans="1:6">
      <c r="A419" s="1">
        <v>9122551</v>
      </c>
      <c r="B419" s="1">
        <f t="shared" ca="1" si="24"/>
        <v>0.58810882353502036</v>
      </c>
      <c r="C419" s="1">
        <v>418</v>
      </c>
      <c r="D419" s="1">
        <f t="shared" ca="1" si="25"/>
        <v>550</v>
      </c>
      <c r="E419" s="2">
        <f t="shared" ca="1" si="26"/>
        <v>42822</v>
      </c>
      <c r="F419" s="6">
        <f t="shared" ca="1" si="27"/>
        <v>138.00532862655226</v>
      </c>
    </row>
    <row r="420" spans="1:6">
      <c r="A420" s="1">
        <v>9122554</v>
      </c>
      <c r="B420" s="1">
        <f t="shared" ca="1" si="24"/>
        <v>0.93339926483312774</v>
      </c>
      <c r="C420" s="1">
        <v>419</v>
      </c>
      <c r="D420" s="1">
        <f t="shared" ca="1" si="25"/>
        <v>404</v>
      </c>
      <c r="E420" s="2">
        <f t="shared" ca="1" si="26"/>
        <v>43232</v>
      </c>
      <c r="F420" s="6">
        <f t="shared" ca="1" si="27"/>
        <v>5.2452351849689567</v>
      </c>
    </row>
    <row r="421" spans="1:6">
      <c r="A421" s="1">
        <v>9122557</v>
      </c>
      <c r="B421" s="1">
        <f t="shared" ca="1" si="24"/>
        <v>0.55920320437860316</v>
      </c>
      <c r="C421" s="1">
        <v>420</v>
      </c>
      <c r="D421" s="1">
        <f t="shared" ca="1" si="25"/>
        <v>454</v>
      </c>
      <c r="E421" s="2">
        <f t="shared" ca="1" si="26"/>
        <v>43051</v>
      </c>
      <c r="F421" s="6">
        <f t="shared" ca="1" si="27"/>
        <v>377.24172202895454</v>
      </c>
    </row>
    <row r="422" spans="1:6">
      <c r="A422" s="1">
        <v>9122560</v>
      </c>
      <c r="B422" s="1">
        <f t="shared" ca="1" si="24"/>
        <v>0.92889080640920818</v>
      </c>
      <c r="C422" s="1">
        <v>421</v>
      </c>
      <c r="D422" s="1">
        <f t="shared" ca="1" si="25"/>
        <v>506</v>
      </c>
      <c r="E422" s="2">
        <f t="shared" ca="1" si="26"/>
        <v>43491</v>
      </c>
      <c r="F422" s="6">
        <f t="shared" ca="1" si="27"/>
        <v>151.01968766252668</v>
      </c>
    </row>
    <row r="423" spans="1:6">
      <c r="A423" s="1">
        <v>9122563</v>
      </c>
      <c r="B423" s="1">
        <f t="shared" ca="1" si="24"/>
        <v>0.10586278939481164</v>
      </c>
      <c r="C423" s="1">
        <v>422</v>
      </c>
      <c r="D423" s="1">
        <f t="shared" ca="1" si="25"/>
        <v>367</v>
      </c>
      <c r="E423" s="2">
        <f t="shared" ca="1" si="26"/>
        <v>43217</v>
      </c>
      <c r="F423" s="6">
        <f t="shared" ca="1" si="27"/>
        <v>9.0433560309221335</v>
      </c>
    </row>
    <row r="424" spans="1:6">
      <c r="A424" s="1">
        <v>9122566</v>
      </c>
      <c r="B424" s="1">
        <f t="shared" ca="1" si="24"/>
        <v>6.4758918468726723E-2</v>
      </c>
      <c r="C424" s="1">
        <v>423</v>
      </c>
      <c r="D424" s="1">
        <f t="shared" ca="1" si="25"/>
        <v>525</v>
      </c>
      <c r="E424" s="2">
        <f t="shared" ca="1" si="26"/>
        <v>42830</v>
      </c>
      <c r="F424" s="6">
        <f t="shared" ca="1" si="27"/>
        <v>9.2247036004071923</v>
      </c>
    </row>
    <row r="425" spans="1:6">
      <c r="A425" s="1">
        <v>9122569</v>
      </c>
      <c r="B425" s="1">
        <f t="shared" ca="1" si="24"/>
        <v>8.7283699188746011E-2</v>
      </c>
      <c r="C425" s="1">
        <v>424</v>
      </c>
      <c r="D425" s="1">
        <f t="shared" ca="1" si="25"/>
        <v>7</v>
      </c>
      <c r="E425" s="2">
        <f t="shared" ca="1" si="26"/>
        <v>42918</v>
      </c>
      <c r="F425" s="6">
        <f t="shared" ca="1" si="27"/>
        <v>54.898088751158355</v>
      </c>
    </row>
    <row r="426" spans="1:6">
      <c r="A426" s="1">
        <v>9122572</v>
      </c>
      <c r="B426" s="1">
        <f t="shared" ca="1" si="24"/>
        <v>0.61385088960646572</v>
      </c>
      <c r="C426" s="1">
        <v>425</v>
      </c>
      <c r="D426" s="1">
        <f t="shared" ca="1" si="25"/>
        <v>198</v>
      </c>
      <c r="E426" s="2">
        <f t="shared" ca="1" si="26"/>
        <v>43328</v>
      </c>
      <c r="F426" s="6">
        <f t="shared" ca="1" si="27"/>
        <v>23.574827555188048</v>
      </c>
    </row>
    <row r="427" spans="1:6">
      <c r="A427" s="1">
        <v>9122575</v>
      </c>
      <c r="B427" s="1">
        <f t="shared" ca="1" si="24"/>
        <v>7.32729134505965E-2</v>
      </c>
      <c r="C427" s="1">
        <v>426</v>
      </c>
      <c r="D427" s="1">
        <f t="shared" ca="1" si="25"/>
        <v>241</v>
      </c>
      <c r="E427" s="2">
        <f t="shared" ca="1" si="26"/>
        <v>43074</v>
      </c>
      <c r="F427" s="6">
        <f t="shared" ca="1" si="27"/>
        <v>27.772357944061536</v>
      </c>
    </row>
    <row r="428" spans="1:6">
      <c r="A428" s="1">
        <v>9122578</v>
      </c>
      <c r="B428" s="1">
        <f t="shared" ca="1" si="24"/>
        <v>8.0903614792889211E-2</v>
      </c>
      <c r="C428" s="1">
        <v>427</v>
      </c>
      <c r="D428" s="1">
        <f t="shared" ca="1" si="25"/>
        <v>104</v>
      </c>
      <c r="E428" s="2">
        <f t="shared" ca="1" si="26"/>
        <v>43124</v>
      </c>
      <c r="F428" s="6">
        <f t="shared" ca="1" si="27"/>
        <v>114.47315230505137</v>
      </c>
    </row>
    <row r="429" spans="1:6">
      <c r="A429" s="1">
        <v>9122581</v>
      </c>
      <c r="B429" s="1">
        <f t="shared" ca="1" si="24"/>
        <v>0.9705171099423936</v>
      </c>
      <c r="C429" s="1">
        <v>428</v>
      </c>
      <c r="D429" s="1">
        <f t="shared" ca="1" si="25"/>
        <v>14</v>
      </c>
      <c r="E429" s="2">
        <f t="shared" ca="1" si="26"/>
        <v>43475</v>
      </c>
      <c r="F429" s="6">
        <f t="shared" ca="1" si="27"/>
        <v>3.0059631331536276</v>
      </c>
    </row>
    <row r="430" spans="1:6">
      <c r="A430" s="1">
        <v>9122584</v>
      </c>
      <c r="B430" s="1">
        <f t="shared" ca="1" si="24"/>
        <v>0.58865298219529349</v>
      </c>
      <c r="C430" s="1">
        <v>429</v>
      </c>
      <c r="D430" s="1">
        <f t="shared" ca="1" si="25"/>
        <v>593</v>
      </c>
      <c r="E430" s="2">
        <f t="shared" ca="1" si="26"/>
        <v>42826</v>
      </c>
      <c r="F430" s="6">
        <f t="shared" ca="1" si="27"/>
        <v>5.6894808405467785</v>
      </c>
    </row>
    <row r="431" spans="1:6">
      <c r="A431" s="1">
        <v>9122587</v>
      </c>
      <c r="B431" s="1">
        <f t="shared" ca="1" si="24"/>
        <v>0.78827510130945788</v>
      </c>
      <c r="C431" s="1">
        <v>430</v>
      </c>
      <c r="D431" s="1">
        <f t="shared" ca="1" si="25"/>
        <v>249</v>
      </c>
      <c r="E431" s="2">
        <f t="shared" ca="1" si="26"/>
        <v>43068</v>
      </c>
      <c r="F431" s="6">
        <f t="shared" ca="1" si="27"/>
        <v>59.530343087834453</v>
      </c>
    </row>
    <row r="432" spans="1:6">
      <c r="A432" s="1">
        <v>9122590</v>
      </c>
      <c r="B432" s="1">
        <f t="shared" ca="1" si="24"/>
        <v>0.59793423684942526</v>
      </c>
      <c r="C432" s="1">
        <v>431</v>
      </c>
      <c r="D432" s="1">
        <f t="shared" ca="1" si="25"/>
        <v>189</v>
      </c>
      <c r="E432" s="2">
        <f t="shared" ca="1" si="26"/>
        <v>43314</v>
      </c>
      <c r="F432" s="6">
        <f t="shared" ca="1" si="27"/>
        <v>3.1803660379483372</v>
      </c>
    </row>
    <row r="433" spans="1:6">
      <c r="A433" s="1">
        <v>9122593</v>
      </c>
      <c r="B433" s="1">
        <f t="shared" ca="1" si="24"/>
        <v>0.59375582717864595</v>
      </c>
      <c r="C433" s="1">
        <v>432</v>
      </c>
      <c r="D433" s="1">
        <f t="shared" ca="1" si="25"/>
        <v>282</v>
      </c>
      <c r="E433" s="2">
        <f t="shared" ca="1" si="26"/>
        <v>43065</v>
      </c>
      <c r="F433" s="6">
        <f t="shared" ca="1" si="27"/>
        <v>43.066009251785992</v>
      </c>
    </row>
    <row r="434" spans="1:6">
      <c r="A434" s="1">
        <v>9122596</v>
      </c>
      <c r="B434" s="1">
        <f t="shared" ca="1" si="24"/>
        <v>0.76195938104136796</v>
      </c>
      <c r="C434" s="1">
        <v>433</v>
      </c>
      <c r="D434" s="1">
        <f t="shared" ca="1" si="25"/>
        <v>319</v>
      </c>
      <c r="E434" s="2">
        <f t="shared" ca="1" si="26"/>
        <v>43071</v>
      </c>
      <c r="F434" s="6">
        <f t="shared" ca="1" si="27"/>
        <v>327.08593574686859</v>
      </c>
    </row>
    <row r="435" spans="1:6">
      <c r="A435" s="1">
        <v>9122599</v>
      </c>
      <c r="B435" s="1">
        <f t="shared" ca="1" si="24"/>
        <v>0.46793413086583568</v>
      </c>
      <c r="C435" s="1">
        <v>434</v>
      </c>
      <c r="D435" s="1">
        <f t="shared" ca="1" si="25"/>
        <v>140</v>
      </c>
      <c r="E435" s="2">
        <f t="shared" ca="1" si="26"/>
        <v>43026</v>
      </c>
      <c r="F435" s="6">
        <f t="shared" ca="1" si="27"/>
        <v>175.32130757764722</v>
      </c>
    </row>
    <row r="436" spans="1:6">
      <c r="A436" s="1">
        <v>9122602</v>
      </c>
      <c r="B436" s="1">
        <f t="shared" ca="1" si="24"/>
        <v>0.99432791710503643</v>
      </c>
      <c r="C436" s="1">
        <v>435</v>
      </c>
      <c r="D436" s="1">
        <f t="shared" ca="1" si="25"/>
        <v>157</v>
      </c>
      <c r="E436" s="2">
        <f t="shared" ca="1" si="26"/>
        <v>42849</v>
      </c>
      <c r="F436" s="6">
        <f t="shared" ca="1" si="27"/>
        <v>8.1878331441256336</v>
      </c>
    </row>
    <row r="437" spans="1:6">
      <c r="A437" s="1">
        <v>9122605</v>
      </c>
      <c r="B437" s="1">
        <f t="shared" ca="1" si="24"/>
        <v>0.62711957010931807</v>
      </c>
      <c r="C437" s="1">
        <v>436</v>
      </c>
      <c r="D437" s="1">
        <f t="shared" ca="1" si="25"/>
        <v>447</v>
      </c>
      <c r="E437" s="2">
        <f t="shared" ca="1" si="26"/>
        <v>42895</v>
      </c>
      <c r="F437" s="6">
        <f t="shared" ca="1" si="27"/>
        <v>30.060672847170991</v>
      </c>
    </row>
    <row r="438" spans="1:6">
      <c r="A438" s="1">
        <v>9122608</v>
      </c>
      <c r="B438" s="1">
        <f t="shared" ca="1" si="24"/>
        <v>1.4915022149884938E-2</v>
      </c>
      <c r="C438" s="1">
        <v>437</v>
      </c>
      <c r="D438" s="1">
        <f t="shared" ca="1" si="25"/>
        <v>596</v>
      </c>
      <c r="E438" s="2">
        <f t="shared" ca="1" si="26"/>
        <v>42883</v>
      </c>
      <c r="F438" s="6">
        <f t="shared" ca="1" si="27"/>
        <v>31.538660640656598</v>
      </c>
    </row>
    <row r="439" spans="1:6">
      <c r="A439" s="1">
        <v>9122611</v>
      </c>
      <c r="B439" s="1">
        <f t="shared" ca="1" si="24"/>
        <v>0.25705881476746939</v>
      </c>
      <c r="C439" s="1">
        <v>438</v>
      </c>
      <c r="D439" s="1">
        <f t="shared" ca="1" si="25"/>
        <v>471</v>
      </c>
      <c r="E439" s="2">
        <f t="shared" ca="1" si="26"/>
        <v>42754</v>
      </c>
      <c r="F439" s="6">
        <f t="shared" ca="1" si="27"/>
        <v>5.8093255274872861</v>
      </c>
    </row>
    <row r="440" spans="1:6">
      <c r="A440" s="1">
        <v>9122614</v>
      </c>
      <c r="B440" s="1">
        <f t="shared" ca="1" si="24"/>
        <v>0.52916036931721266</v>
      </c>
      <c r="C440" s="1">
        <v>439</v>
      </c>
      <c r="D440" s="1">
        <f t="shared" ca="1" si="25"/>
        <v>555</v>
      </c>
      <c r="E440" s="2">
        <f t="shared" ca="1" si="26"/>
        <v>43170</v>
      </c>
      <c r="F440" s="6">
        <f t="shared" ca="1" si="27"/>
        <v>207.10733107871107</v>
      </c>
    </row>
    <row r="441" spans="1:6">
      <c r="A441" s="1">
        <v>9122617</v>
      </c>
      <c r="B441" s="1">
        <f t="shared" ca="1" si="24"/>
        <v>0.49784645243934134</v>
      </c>
      <c r="C441" s="1">
        <v>440</v>
      </c>
      <c r="D441" s="1">
        <f t="shared" ca="1" si="25"/>
        <v>498</v>
      </c>
      <c r="E441" s="2">
        <f t="shared" ca="1" si="26"/>
        <v>42811</v>
      </c>
      <c r="F441" s="6">
        <f t="shared" ca="1" si="27"/>
        <v>20.722283910249569</v>
      </c>
    </row>
    <row r="442" spans="1:6">
      <c r="A442" s="1">
        <v>9122620</v>
      </c>
      <c r="B442" s="1">
        <f t="shared" ca="1" si="24"/>
        <v>0.48765518521611484</v>
      </c>
      <c r="C442" s="1">
        <v>441</v>
      </c>
      <c r="D442" s="1">
        <f t="shared" ca="1" si="25"/>
        <v>364</v>
      </c>
      <c r="E442" s="2">
        <f t="shared" ca="1" si="26"/>
        <v>43378</v>
      </c>
      <c r="F442" s="6">
        <f t="shared" ca="1" si="27"/>
        <v>95.196788655781091</v>
      </c>
    </row>
    <row r="443" spans="1:6">
      <c r="A443" s="1">
        <v>9122623</v>
      </c>
      <c r="B443" s="1">
        <f t="shared" ca="1" si="24"/>
        <v>0.96653912508582829</v>
      </c>
      <c r="C443" s="1">
        <v>442</v>
      </c>
      <c r="D443" s="1">
        <f t="shared" ca="1" si="25"/>
        <v>219</v>
      </c>
      <c r="E443" s="2">
        <f t="shared" ca="1" si="26"/>
        <v>43340</v>
      </c>
      <c r="F443" s="6">
        <f t="shared" ca="1" si="27"/>
        <v>3.7102101621738406</v>
      </c>
    </row>
    <row r="444" spans="1:6">
      <c r="A444" s="1">
        <v>9122626</v>
      </c>
      <c r="B444" s="1">
        <f t="shared" ca="1" si="24"/>
        <v>0.29859680884376127</v>
      </c>
      <c r="C444" s="1">
        <v>443</v>
      </c>
      <c r="D444" s="1">
        <f t="shared" ca="1" si="25"/>
        <v>575</v>
      </c>
      <c r="E444" s="2">
        <f t="shared" ca="1" si="26"/>
        <v>43283</v>
      </c>
      <c r="F444" s="6">
        <f t="shared" ca="1" si="27"/>
        <v>58.684716631655206</v>
      </c>
    </row>
    <row r="445" spans="1:6">
      <c r="A445" s="1">
        <v>9122629</v>
      </c>
      <c r="B445" s="1">
        <f t="shared" ca="1" si="24"/>
        <v>4.0796091490452824E-2</v>
      </c>
      <c r="C445" s="1">
        <v>444</v>
      </c>
      <c r="D445" s="1">
        <f t="shared" ca="1" si="25"/>
        <v>341</v>
      </c>
      <c r="E445" s="2">
        <f t="shared" ca="1" si="26"/>
        <v>42739</v>
      </c>
      <c r="F445" s="6">
        <f t="shared" ca="1" si="27"/>
        <v>12.726721204200356</v>
      </c>
    </row>
    <row r="446" spans="1:6">
      <c r="A446" s="1">
        <v>9122632</v>
      </c>
      <c r="B446" s="1">
        <f t="shared" ca="1" si="24"/>
        <v>0.90537894663208029</v>
      </c>
      <c r="C446" s="1">
        <v>445</v>
      </c>
      <c r="D446" s="1">
        <f t="shared" ca="1" si="25"/>
        <v>382</v>
      </c>
      <c r="E446" s="2">
        <f t="shared" ca="1" si="26"/>
        <v>43477</v>
      </c>
      <c r="F446" s="6">
        <f t="shared" ca="1" si="27"/>
        <v>5.3478220366759412</v>
      </c>
    </row>
    <row r="447" spans="1:6">
      <c r="A447" s="1">
        <v>9122635</v>
      </c>
      <c r="B447" s="1">
        <f t="shared" ca="1" si="24"/>
        <v>0.78383390359071703</v>
      </c>
      <c r="C447" s="1">
        <v>446</v>
      </c>
      <c r="D447" s="1">
        <f t="shared" ca="1" si="25"/>
        <v>586</v>
      </c>
      <c r="E447" s="2">
        <f t="shared" ca="1" si="26"/>
        <v>42974</v>
      </c>
      <c r="F447" s="6">
        <f t="shared" ca="1" si="27"/>
        <v>4.822648190530705</v>
      </c>
    </row>
    <row r="448" spans="1:6">
      <c r="A448" s="1">
        <v>9122638</v>
      </c>
      <c r="B448" s="1">
        <f t="shared" ca="1" si="24"/>
        <v>0.70573564354027629</v>
      </c>
      <c r="C448" s="1">
        <v>447</v>
      </c>
      <c r="D448" s="1">
        <f t="shared" ca="1" si="25"/>
        <v>6</v>
      </c>
      <c r="E448" s="2">
        <f t="shared" ca="1" si="26"/>
        <v>42939</v>
      </c>
      <c r="F448" s="6">
        <f t="shared" ca="1" si="27"/>
        <v>84.952321396689428</v>
      </c>
    </row>
    <row r="449" spans="1:6">
      <c r="A449" s="1">
        <v>9122641</v>
      </c>
      <c r="B449" s="1">
        <f t="shared" ca="1" si="24"/>
        <v>0.52952574892759607</v>
      </c>
      <c r="C449" s="1">
        <v>448</v>
      </c>
      <c r="D449" s="1">
        <f t="shared" ca="1" si="25"/>
        <v>228</v>
      </c>
      <c r="E449" s="2">
        <f t="shared" ca="1" si="26"/>
        <v>43048</v>
      </c>
      <c r="F449" s="6">
        <f t="shared" ca="1" si="27"/>
        <v>35.492902341406278</v>
      </c>
    </row>
    <row r="450" spans="1:6">
      <c r="A450" s="1">
        <v>9122644</v>
      </c>
      <c r="B450" s="1">
        <f t="shared" ref="B450:B513" ca="1" si="28">RAND()</f>
        <v>0.56617464558588015</v>
      </c>
      <c r="C450" s="1">
        <v>449</v>
      </c>
      <c r="D450" s="1">
        <f t="shared" ca="1" si="25"/>
        <v>392</v>
      </c>
      <c r="E450" s="2">
        <f t="shared" ca="1" si="26"/>
        <v>42819</v>
      </c>
      <c r="F450" s="6">
        <f t="shared" ca="1" si="27"/>
        <v>36.03322518682355</v>
      </c>
    </row>
    <row r="451" spans="1:6">
      <c r="A451" s="1">
        <v>9122647</v>
      </c>
      <c r="B451" s="1">
        <f t="shared" ca="1" si="28"/>
        <v>0.11670720574874427</v>
      </c>
      <c r="C451" s="1">
        <v>450</v>
      </c>
      <c r="D451" s="1">
        <f t="shared" ref="D451:D514" ca="1" si="29">VLOOKUP(SMALL($B$2:$B$601,C451),$B$2:$C$601,2,FALSE)</f>
        <v>11</v>
      </c>
      <c r="E451" s="2">
        <f t="shared" ref="E451:E514" ca="1" si="30">RANDBETWEEN("1/1/17","2/1/19")</f>
        <v>43267</v>
      </c>
      <c r="F451" s="6">
        <f t="shared" ref="F451:F514" ca="1" si="31">_xlfn.GAMMA.INV(RAND(),$J$6,$J$7)*100+3</f>
        <v>8.1516222603749284</v>
      </c>
    </row>
    <row r="452" spans="1:6">
      <c r="A452" s="1">
        <v>9122650</v>
      </c>
      <c r="B452" s="1">
        <f t="shared" ca="1" si="28"/>
        <v>0.76072110848939678</v>
      </c>
      <c r="C452" s="1">
        <v>451</v>
      </c>
      <c r="D452" s="1">
        <f t="shared" ca="1" si="29"/>
        <v>9</v>
      </c>
      <c r="E452" s="2">
        <f t="shared" ca="1" si="30"/>
        <v>43256</v>
      </c>
      <c r="F452" s="6">
        <f t="shared" ca="1" si="31"/>
        <v>130.92082385022488</v>
      </c>
    </row>
    <row r="453" spans="1:6">
      <c r="A453" s="1">
        <v>9122653</v>
      </c>
      <c r="B453" s="1">
        <f t="shared" ca="1" si="28"/>
        <v>0.53618360973511425</v>
      </c>
      <c r="C453" s="1">
        <v>452</v>
      </c>
      <c r="D453" s="1">
        <f t="shared" ca="1" si="29"/>
        <v>472</v>
      </c>
      <c r="E453" s="2">
        <f t="shared" ca="1" si="30"/>
        <v>43477</v>
      </c>
      <c r="F453" s="6">
        <f t="shared" ca="1" si="31"/>
        <v>22.625483191483703</v>
      </c>
    </row>
    <row r="454" spans="1:6">
      <c r="A454" s="1">
        <v>9122656</v>
      </c>
      <c r="B454" s="1">
        <f t="shared" ca="1" si="28"/>
        <v>0.30873640970034233</v>
      </c>
      <c r="C454" s="1">
        <v>453</v>
      </c>
      <c r="D454" s="1">
        <f t="shared" ca="1" si="29"/>
        <v>414</v>
      </c>
      <c r="E454" s="2">
        <f t="shared" ca="1" si="30"/>
        <v>43021</v>
      </c>
      <c r="F454" s="6">
        <f t="shared" ca="1" si="31"/>
        <v>287.2591284603572</v>
      </c>
    </row>
    <row r="455" spans="1:6">
      <c r="A455" s="1">
        <v>9122659</v>
      </c>
      <c r="B455" s="1">
        <f t="shared" ca="1" si="28"/>
        <v>0.66895955365855564</v>
      </c>
      <c r="C455" s="1">
        <v>454</v>
      </c>
      <c r="D455" s="1">
        <f t="shared" ca="1" si="29"/>
        <v>495</v>
      </c>
      <c r="E455" s="2">
        <f t="shared" ca="1" si="30"/>
        <v>43444</v>
      </c>
      <c r="F455" s="6">
        <f t="shared" ca="1" si="31"/>
        <v>3.7323799240489959</v>
      </c>
    </row>
    <row r="456" spans="1:6">
      <c r="A456" s="1">
        <v>9122662</v>
      </c>
      <c r="B456" s="1">
        <f t="shared" ca="1" si="28"/>
        <v>0.86007629184436052</v>
      </c>
      <c r="C456" s="1">
        <v>455</v>
      </c>
      <c r="D456" s="1">
        <f t="shared" ca="1" si="29"/>
        <v>408</v>
      </c>
      <c r="E456" s="2">
        <f t="shared" ca="1" si="30"/>
        <v>42991</v>
      </c>
      <c r="F456" s="6">
        <f t="shared" ca="1" si="31"/>
        <v>12.806093767768331</v>
      </c>
    </row>
    <row r="457" spans="1:6">
      <c r="A457" s="1">
        <v>9122665</v>
      </c>
      <c r="B457" s="1">
        <f t="shared" ca="1" si="28"/>
        <v>1.081374290843129E-2</v>
      </c>
      <c r="C457" s="1">
        <v>456</v>
      </c>
      <c r="D457" s="1">
        <f t="shared" ca="1" si="29"/>
        <v>254</v>
      </c>
      <c r="E457" s="2">
        <f t="shared" ca="1" si="30"/>
        <v>42893</v>
      </c>
      <c r="F457" s="6">
        <f t="shared" ca="1" si="31"/>
        <v>120.10144425456281</v>
      </c>
    </row>
    <row r="458" spans="1:6">
      <c r="A458" s="1">
        <v>9122668</v>
      </c>
      <c r="B458" s="1">
        <f t="shared" ca="1" si="28"/>
        <v>0.55357947795245621</v>
      </c>
      <c r="C458" s="1">
        <v>457</v>
      </c>
      <c r="D458" s="1">
        <f t="shared" ca="1" si="29"/>
        <v>149</v>
      </c>
      <c r="E458" s="2">
        <f t="shared" ca="1" si="30"/>
        <v>43041</v>
      </c>
      <c r="F458" s="6">
        <f t="shared" ca="1" si="31"/>
        <v>122.29429958318426</v>
      </c>
    </row>
    <row r="459" spans="1:6">
      <c r="A459" s="1">
        <v>9122671</v>
      </c>
      <c r="B459" s="1">
        <f t="shared" ca="1" si="28"/>
        <v>0.15200880668189887</v>
      </c>
      <c r="C459" s="1">
        <v>458</v>
      </c>
      <c r="D459" s="1">
        <f t="shared" ca="1" si="29"/>
        <v>476</v>
      </c>
      <c r="E459" s="2">
        <f t="shared" ca="1" si="30"/>
        <v>42890</v>
      </c>
      <c r="F459" s="6">
        <f t="shared" ca="1" si="31"/>
        <v>3.0799037252014623</v>
      </c>
    </row>
    <row r="460" spans="1:6">
      <c r="A460" s="1">
        <v>9122674</v>
      </c>
      <c r="B460" s="1">
        <f t="shared" ca="1" si="28"/>
        <v>0.94228345253345303</v>
      </c>
      <c r="C460" s="1">
        <v>459</v>
      </c>
      <c r="D460" s="1">
        <f t="shared" ca="1" si="29"/>
        <v>286</v>
      </c>
      <c r="E460" s="2">
        <f t="shared" ca="1" si="30"/>
        <v>43022</v>
      </c>
      <c r="F460" s="6">
        <f t="shared" ca="1" si="31"/>
        <v>12.996983571907487</v>
      </c>
    </row>
    <row r="461" spans="1:6">
      <c r="A461" s="1">
        <v>9122677</v>
      </c>
      <c r="B461" s="1">
        <f t="shared" ca="1" si="28"/>
        <v>0.15810953785726389</v>
      </c>
      <c r="C461" s="1">
        <v>460</v>
      </c>
      <c r="D461" s="1">
        <f t="shared" ca="1" si="29"/>
        <v>222</v>
      </c>
      <c r="E461" s="2">
        <f t="shared" ca="1" si="30"/>
        <v>43302</v>
      </c>
      <c r="F461" s="6">
        <f t="shared" ca="1" si="31"/>
        <v>10.094215378031489</v>
      </c>
    </row>
    <row r="462" spans="1:6">
      <c r="A462" s="1">
        <v>9122680</v>
      </c>
      <c r="B462" s="1">
        <f t="shared" ca="1" si="28"/>
        <v>0.92396873399973545</v>
      </c>
      <c r="C462" s="1">
        <v>461</v>
      </c>
      <c r="D462" s="1">
        <f t="shared" ca="1" si="29"/>
        <v>548</v>
      </c>
      <c r="E462" s="2">
        <f t="shared" ca="1" si="30"/>
        <v>43151</v>
      </c>
      <c r="F462" s="6">
        <f t="shared" ca="1" si="31"/>
        <v>3.3595558410352693</v>
      </c>
    </row>
    <row r="463" spans="1:6">
      <c r="A463" s="1">
        <v>9122683</v>
      </c>
      <c r="B463" s="1">
        <f t="shared" ca="1" si="28"/>
        <v>0.6549136134282123</v>
      </c>
      <c r="C463" s="1">
        <v>462</v>
      </c>
      <c r="D463" s="1">
        <f t="shared" ca="1" si="29"/>
        <v>394</v>
      </c>
      <c r="E463" s="2">
        <f t="shared" ca="1" si="30"/>
        <v>42771</v>
      </c>
      <c r="F463" s="6">
        <f t="shared" ca="1" si="31"/>
        <v>19.445622249209517</v>
      </c>
    </row>
    <row r="464" spans="1:6">
      <c r="A464" s="1">
        <v>9122686</v>
      </c>
      <c r="B464" s="1">
        <f t="shared" ca="1" si="28"/>
        <v>0.10950775208559316</v>
      </c>
      <c r="C464" s="1">
        <v>463</v>
      </c>
      <c r="D464" s="1">
        <f t="shared" ca="1" si="29"/>
        <v>114</v>
      </c>
      <c r="E464" s="2">
        <f t="shared" ca="1" si="30"/>
        <v>43300</v>
      </c>
      <c r="F464" s="6">
        <f t="shared" ca="1" si="31"/>
        <v>3.9049907950904306</v>
      </c>
    </row>
    <row r="465" spans="1:6">
      <c r="A465" s="1">
        <v>9122689</v>
      </c>
      <c r="B465" s="1">
        <f t="shared" ca="1" si="28"/>
        <v>0.15918507374469559</v>
      </c>
      <c r="C465" s="1">
        <v>464</v>
      </c>
      <c r="D465" s="1">
        <f t="shared" ca="1" si="29"/>
        <v>65</v>
      </c>
      <c r="E465" s="2">
        <f t="shared" ca="1" si="30"/>
        <v>43440</v>
      </c>
      <c r="F465" s="6">
        <f t="shared" ca="1" si="31"/>
        <v>5.4386419516991218</v>
      </c>
    </row>
    <row r="466" spans="1:6">
      <c r="A466" s="1">
        <v>9122692</v>
      </c>
      <c r="B466" s="1">
        <f t="shared" ca="1" si="28"/>
        <v>2.2598369644572625E-2</v>
      </c>
      <c r="C466" s="1">
        <v>465</v>
      </c>
      <c r="D466" s="1">
        <f t="shared" ca="1" si="29"/>
        <v>558</v>
      </c>
      <c r="E466" s="2">
        <f t="shared" ca="1" si="30"/>
        <v>43320</v>
      </c>
      <c r="F466" s="6">
        <f t="shared" ca="1" si="31"/>
        <v>119.821526397029</v>
      </c>
    </row>
    <row r="467" spans="1:6">
      <c r="A467" s="1">
        <v>9122695</v>
      </c>
      <c r="B467" s="1">
        <f t="shared" ca="1" si="28"/>
        <v>0.30965579517082564</v>
      </c>
      <c r="C467" s="1">
        <v>466</v>
      </c>
      <c r="D467" s="1">
        <f t="shared" ca="1" si="29"/>
        <v>410</v>
      </c>
      <c r="E467" s="2">
        <f t="shared" ca="1" si="30"/>
        <v>43331</v>
      </c>
      <c r="F467" s="6">
        <f t="shared" ca="1" si="31"/>
        <v>91.440342786084955</v>
      </c>
    </row>
    <row r="468" spans="1:6">
      <c r="A468" s="1">
        <v>9122698</v>
      </c>
      <c r="B468" s="1">
        <f t="shared" ca="1" si="28"/>
        <v>0.11013641432739874</v>
      </c>
      <c r="C468" s="1">
        <v>467</v>
      </c>
      <c r="D468" s="1">
        <f t="shared" ca="1" si="29"/>
        <v>269</v>
      </c>
      <c r="E468" s="2">
        <f t="shared" ca="1" si="30"/>
        <v>43021</v>
      </c>
      <c r="F468" s="6">
        <f t="shared" ca="1" si="31"/>
        <v>20.781464523238242</v>
      </c>
    </row>
    <row r="469" spans="1:6">
      <c r="A469" s="1">
        <v>9122701</v>
      </c>
      <c r="B469" s="1">
        <f t="shared" ca="1" si="28"/>
        <v>0.79798020466320085</v>
      </c>
      <c r="C469" s="1">
        <v>468</v>
      </c>
      <c r="D469" s="1">
        <f t="shared" ca="1" si="29"/>
        <v>451</v>
      </c>
      <c r="E469" s="2">
        <f t="shared" ca="1" si="30"/>
        <v>43362</v>
      </c>
      <c r="F469" s="6">
        <f t="shared" ca="1" si="31"/>
        <v>424.06862994766266</v>
      </c>
    </row>
    <row r="470" spans="1:6">
      <c r="A470" s="1">
        <v>9122704</v>
      </c>
      <c r="B470" s="1">
        <f t="shared" ca="1" si="28"/>
        <v>0.40297509706409573</v>
      </c>
      <c r="C470" s="1">
        <v>469</v>
      </c>
      <c r="D470" s="1">
        <f t="shared" ca="1" si="29"/>
        <v>433</v>
      </c>
      <c r="E470" s="2">
        <f t="shared" ca="1" si="30"/>
        <v>43450</v>
      </c>
      <c r="F470" s="6">
        <f t="shared" ca="1" si="31"/>
        <v>109.59521596763344</v>
      </c>
    </row>
    <row r="471" spans="1:6">
      <c r="A471" s="1">
        <v>9122707</v>
      </c>
      <c r="B471" s="1">
        <f t="shared" ca="1" si="28"/>
        <v>0.31987710680254888</v>
      </c>
      <c r="C471" s="1">
        <v>470</v>
      </c>
      <c r="D471" s="1">
        <f t="shared" ca="1" si="29"/>
        <v>86</v>
      </c>
      <c r="E471" s="2">
        <f t="shared" ca="1" si="30"/>
        <v>43313</v>
      </c>
      <c r="F471" s="6">
        <f t="shared" ca="1" si="31"/>
        <v>46.905782751338904</v>
      </c>
    </row>
    <row r="472" spans="1:6">
      <c r="A472" s="1">
        <v>9122710</v>
      </c>
      <c r="B472" s="1">
        <f t="shared" ca="1" si="28"/>
        <v>0.70803815377803658</v>
      </c>
      <c r="C472" s="1">
        <v>471</v>
      </c>
      <c r="D472" s="1">
        <f t="shared" ca="1" si="29"/>
        <v>75</v>
      </c>
      <c r="E472" s="2">
        <f t="shared" ca="1" si="30"/>
        <v>43096</v>
      </c>
      <c r="F472" s="6">
        <f t="shared" ca="1" si="31"/>
        <v>127.75384174340016</v>
      </c>
    </row>
    <row r="473" spans="1:6">
      <c r="A473" s="1">
        <v>9122713</v>
      </c>
      <c r="B473" s="1">
        <f t="shared" ca="1" si="28"/>
        <v>0.73616113971646546</v>
      </c>
      <c r="C473" s="1">
        <v>472</v>
      </c>
      <c r="D473" s="1">
        <f t="shared" ca="1" si="29"/>
        <v>353</v>
      </c>
      <c r="E473" s="2">
        <f t="shared" ca="1" si="30"/>
        <v>42894</v>
      </c>
      <c r="F473" s="6">
        <f t="shared" ca="1" si="31"/>
        <v>28.772864818458181</v>
      </c>
    </row>
    <row r="474" spans="1:6">
      <c r="A474" s="1">
        <v>9122716</v>
      </c>
      <c r="B474" s="1">
        <f t="shared" ca="1" si="28"/>
        <v>0.3817432490241115</v>
      </c>
      <c r="C474" s="1">
        <v>473</v>
      </c>
      <c r="D474" s="1">
        <f t="shared" ca="1" si="29"/>
        <v>365</v>
      </c>
      <c r="E474" s="2">
        <f t="shared" ca="1" si="30"/>
        <v>43158</v>
      </c>
      <c r="F474" s="6">
        <f t="shared" ca="1" si="31"/>
        <v>21.987586991405713</v>
      </c>
    </row>
    <row r="475" spans="1:6">
      <c r="A475" s="1">
        <v>9122719</v>
      </c>
      <c r="B475" s="1">
        <f t="shared" ca="1" si="28"/>
        <v>4.2605462934230953E-4</v>
      </c>
      <c r="C475" s="1">
        <v>474</v>
      </c>
      <c r="D475" s="1">
        <f t="shared" ca="1" si="29"/>
        <v>307</v>
      </c>
      <c r="E475" s="2">
        <f t="shared" ca="1" si="30"/>
        <v>43050</v>
      </c>
      <c r="F475" s="6">
        <f t="shared" ca="1" si="31"/>
        <v>58.987874370056787</v>
      </c>
    </row>
    <row r="476" spans="1:6">
      <c r="A476" s="1">
        <v>9122722</v>
      </c>
      <c r="B476" s="1">
        <f t="shared" ca="1" si="28"/>
        <v>0.6417505169096559</v>
      </c>
      <c r="C476" s="1">
        <v>475</v>
      </c>
      <c r="D476" s="1">
        <f t="shared" ca="1" si="29"/>
        <v>79</v>
      </c>
      <c r="E476" s="2">
        <f t="shared" ca="1" si="30"/>
        <v>42825</v>
      </c>
      <c r="F476" s="6">
        <f t="shared" ca="1" si="31"/>
        <v>62.328753183765073</v>
      </c>
    </row>
    <row r="477" spans="1:6">
      <c r="A477" s="1">
        <v>9122725</v>
      </c>
      <c r="B477" s="1">
        <f t="shared" ca="1" si="28"/>
        <v>0.74889834375641207</v>
      </c>
      <c r="C477" s="1">
        <v>476</v>
      </c>
      <c r="D477" s="1">
        <f t="shared" ca="1" si="29"/>
        <v>59</v>
      </c>
      <c r="E477" s="2">
        <f t="shared" ca="1" si="30"/>
        <v>43359</v>
      </c>
      <c r="F477" s="6">
        <f t="shared" ca="1" si="31"/>
        <v>274.56977328428644</v>
      </c>
    </row>
    <row r="478" spans="1:6">
      <c r="A478" s="1">
        <v>9122728</v>
      </c>
      <c r="B478" s="1">
        <f t="shared" ca="1" si="28"/>
        <v>0.30680572118956762</v>
      </c>
      <c r="C478" s="1">
        <v>477</v>
      </c>
      <c r="D478" s="1">
        <f t="shared" ca="1" si="29"/>
        <v>544</v>
      </c>
      <c r="E478" s="2">
        <f t="shared" ca="1" si="30"/>
        <v>43113</v>
      </c>
      <c r="F478" s="6">
        <f t="shared" ca="1" si="31"/>
        <v>9.0724280196035689</v>
      </c>
    </row>
    <row r="479" spans="1:6">
      <c r="A479" s="1">
        <v>9122731</v>
      </c>
      <c r="B479" s="1">
        <f t="shared" ca="1" si="28"/>
        <v>0.8375825774346255</v>
      </c>
      <c r="C479" s="1">
        <v>478</v>
      </c>
      <c r="D479" s="1">
        <f t="shared" ca="1" si="29"/>
        <v>339</v>
      </c>
      <c r="E479" s="2">
        <f t="shared" ca="1" si="30"/>
        <v>43144</v>
      </c>
      <c r="F479" s="6">
        <f t="shared" ca="1" si="31"/>
        <v>83.174338962523777</v>
      </c>
    </row>
    <row r="480" spans="1:6">
      <c r="A480" s="1">
        <v>9122734</v>
      </c>
      <c r="B480" s="1">
        <f t="shared" ca="1" si="28"/>
        <v>0.6361498867608566</v>
      </c>
      <c r="C480" s="1">
        <v>479</v>
      </c>
      <c r="D480" s="1">
        <f t="shared" ca="1" si="29"/>
        <v>167</v>
      </c>
      <c r="E480" s="2">
        <f t="shared" ca="1" si="30"/>
        <v>42949</v>
      </c>
      <c r="F480" s="6">
        <f t="shared" ca="1" si="31"/>
        <v>10.067691075209115</v>
      </c>
    </row>
    <row r="481" spans="1:6">
      <c r="A481" s="1">
        <v>9122737</v>
      </c>
      <c r="B481" s="1">
        <f t="shared" ca="1" si="28"/>
        <v>0.3910580985345451</v>
      </c>
      <c r="C481" s="1">
        <v>480</v>
      </c>
      <c r="D481" s="1">
        <f t="shared" ca="1" si="29"/>
        <v>524</v>
      </c>
      <c r="E481" s="2">
        <f t="shared" ca="1" si="30"/>
        <v>43302</v>
      </c>
      <c r="F481" s="6">
        <f t="shared" ca="1" si="31"/>
        <v>9.5735408666459865</v>
      </c>
    </row>
    <row r="482" spans="1:6">
      <c r="A482" s="1">
        <v>9122740</v>
      </c>
      <c r="B482" s="1">
        <f t="shared" ca="1" si="28"/>
        <v>0.62168576903666584</v>
      </c>
      <c r="C482" s="1">
        <v>481</v>
      </c>
      <c r="D482" s="1">
        <f t="shared" ca="1" si="29"/>
        <v>123</v>
      </c>
      <c r="E482" s="2">
        <f t="shared" ca="1" si="30"/>
        <v>43194</v>
      </c>
      <c r="F482" s="6">
        <f t="shared" ca="1" si="31"/>
        <v>46.544545703649746</v>
      </c>
    </row>
    <row r="483" spans="1:6">
      <c r="A483" s="1">
        <v>9122743</v>
      </c>
      <c r="B483" s="1">
        <f t="shared" ca="1" si="28"/>
        <v>8.1502974148772056E-2</v>
      </c>
      <c r="C483" s="1">
        <v>482</v>
      </c>
      <c r="D483" s="1">
        <f t="shared" ca="1" si="29"/>
        <v>446</v>
      </c>
      <c r="E483" s="2">
        <f t="shared" ca="1" si="30"/>
        <v>43227</v>
      </c>
      <c r="F483" s="6">
        <f t="shared" ca="1" si="31"/>
        <v>79.999876100691793</v>
      </c>
    </row>
    <row r="484" spans="1:6">
      <c r="A484" s="1">
        <v>9122746</v>
      </c>
      <c r="B484" s="1">
        <f t="shared" ca="1" si="28"/>
        <v>0.4380524233868448</v>
      </c>
      <c r="C484" s="1">
        <v>483</v>
      </c>
      <c r="D484" s="1">
        <f t="shared" ca="1" si="29"/>
        <v>110</v>
      </c>
      <c r="E484" s="2">
        <f t="shared" ca="1" si="30"/>
        <v>43347</v>
      </c>
      <c r="F484" s="6">
        <f t="shared" ca="1" si="31"/>
        <v>5.6276670821038071</v>
      </c>
    </row>
    <row r="485" spans="1:6">
      <c r="A485" s="1">
        <v>9122749</v>
      </c>
      <c r="B485" s="1">
        <f t="shared" ca="1" si="28"/>
        <v>0.80169606332473109</v>
      </c>
      <c r="C485" s="1">
        <v>484</v>
      </c>
      <c r="D485" s="1">
        <f t="shared" ca="1" si="29"/>
        <v>210</v>
      </c>
      <c r="E485" s="2">
        <f t="shared" ca="1" si="30"/>
        <v>43078</v>
      </c>
      <c r="F485" s="6">
        <f t="shared" ca="1" si="31"/>
        <v>40.700286152724289</v>
      </c>
    </row>
    <row r="486" spans="1:6">
      <c r="A486" s="1">
        <v>9122752</v>
      </c>
      <c r="B486" s="1">
        <f t="shared" ca="1" si="28"/>
        <v>0.96450174262494859</v>
      </c>
      <c r="C486" s="1">
        <v>485</v>
      </c>
      <c r="D486" s="1">
        <f t="shared" ca="1" si="29"/>
        <v>430</v>
      </c>
      <c r="E486" s="2">
        <f t="shared" ca="1" si="30"/>
        <v>43228</v>
      </c>
      <c r="F486" s="6">
        <f t="shared" ca="1" si="31"/>
        <v>3.3522481347011164</v>
      </c>
    </row>
    <row r="487" spans="1:6">
      <c r="A487" s="1">
        <v>9122755</v>
      </c>
      <c r="B487" s="1">
        <f t="shared" ca="1" si="28"/>
        <v>0.15639297670348373</v>
      </c>
      <c r="C487" s="1">
        <v>486</v>
      </c>
      <c r="D487" s="1">
        <f t="shared" ca="1" si="29"/>
        <v>268</v>
      </c>
      <c r="E487" s="2">
        <f t="shared" ca="1" si="30"/>
        <v>43295</v>
      </c>
      <c r="F487" s="6">
        <f t="shared" ca="1" si="31"/>
        <v>26.957207689404665</v>
      </c>
    </row>
    <row r="488" spans="1:6">
      <c r="A488" s="1">
        <v>9122758</v>
      </c>
      <c r="B488" s="1">
        <f t="shared" ca="1" si="28"/>
        <v>0.38101531642582787</v>
      </c>
      <c r="C488" s="1">
        <v>487</v>
      </c>
      <c r="D488" s="1">
        <f t="shared" ca="1" si="29"/>
        <v>320</v>
      </c>
      <c r="E488" s="2">
        <f t="shared" ca="1" si="30"/>
        <v>43405</v>
      </c>
      <c r="F488" s="6">
        <f t="shared" ca="1" si="31"/>
        <v>277.96415347276741</v>
      </c>
    </row>
    <row r="489" spans="1:6">
      <c r="A489" s="1">
        <v>9122761</v>
      </c>
      <c r="B489" s="1">
        <f t="shared" ca="1" si="28"/>
        <v>0.50008534254124137</v>
      </c>
      <c r="C489" s="1">
        <v>488</v>
      </c>
      <c r="D489" s="1">
        <f t="shared" ca="1" si="29"/>
        <v>109</v>
      </c>
      <c r="E489" s="2">
        <f t="shared" ca="1" si="30"/>
        <v>43442</v>
      </c>
      <c r="F489" s="6">
        <f t="shared" ca="1" si="31"/>
        <v>6.9556551905216111</v>
      </c>
    </row>
    <row r="490" spans="1:6">
      <c r="A490" s="1">
        <v>9122764</v>
      </c>
      <c r="B490" s="1">
        <f t="shared" ca="1" si="28"/>
        <v>0.55539347615209789</v>
      </c>
      <c r="C490" s="1">
        <v>489</v>
      </c>
      <c r="D490" s="1">
        <f t="shared" ca="1" si="29"/>
        <v>171</v>
      </c>
      <c r="E490" s="2">
        <f t="shared" ca="1" si="30"/>
        <v>42967</v>
      </c>
      <c r="F490" s="6">
        <f t="shared" ca="1" si="31"/>
        <v>20.948000426801872</v>
      </c>
    </row>
    <row r="491" spans="1:6">
      <c r="A491" s="1">
        <v>9122767</v>
      </c>
      <c r="B491" s="1">
        <f t="shared" ca="1" si="28"/>
        <v>0.36921233352699923</v>
      </c>
      <c r="C491" s="1">
        <v>490</v>
      </c>
      <c r="D491" s="1">
        <f t="shared" ca="1" si="29"/>
        <v>468</v>
      </c>
      <c r="E491" s="2">
        <f t="shared" ca="1" si="30"/>
        <v>43117</v>
      </c>
      <c r="F491" s="6">
        <f t="shared" ca="1" si="31"/>
        <v>82.691233460839456</v>
      </c>
    </row>
    <row r="492" spans="1:6">
      <c r="A492" s="1">
        <v>9122770</v>
      </c>
      <c r="B492" s="1">
        <f t="shared" ca="1" si="28"/>
        <v>0.63958798885345991</v>
      </c>
      <c r="C492" s="1">
        <v>491</v>
      </c>
      <c r="D492" s="1">
        <f t="shared" ca="1" si="29"/>
        <v>133</v>
      </c>
      <c r="E492" s="2">
        <f t="shared" ca="1" si="30"/>
        <v>42741</v>
      </c>
      <c r="F492" s="6">
        <f t="shared" ca="1" si="31"/>
        <v>154.18299117326595</v>
      </c>
    </row>
    <row r="493" spans="1:6">
      <c r="A493" s="1">
        <v>9122773</v>
      </c>
      <c r="B493" s="1">
        <f t="shared" ca="1" si="28"/>
        <v>0.57849126776590565</v>
      </c>
      <c r="C493" s="1">
        <v>492</v>
      </c>
      <c r="D493" s="1">
        <f t="shared" ca="1" si="29"/>
        <v>484</v>
      </c>
      <c r="E493" s="2">
        <f t="shared" ca="1" si="30"/>
        <v>43282</v>
      </c>
      <c r="F493" s="6">
        <f t="shared" ca="1" si="31"/>
        <v>140.0554317177492</v>
      </c>
    </row>
    <row r="494" spans="1:6">
      <c r="A494" s="1">
        <v>9122776</v>
      </c>
      <c r="B494" s="1">
        <f t="shared" ca="1" si="28"/>
        <v>4.5766376344650306E-3</v>
      </c>
      <c r="C494" s="1">
        <v>493</v>
      </c>
      <c r="D494" s="1">
        <f t="shared" ca="1" si="29"/>
        <v>597</v>
      </c>
      <c r="E494" s="2">
        <f t="shared" ca="1" si="30"/>
        <v>42756</v>
      </c>
      <c r="F494" s="6">
        <f t="shared" ca="1" si="31"/>
        <v>45.176796607981665</v>
      </c>
    </row>
    <row r="495" spans="1:6">
      <c r="A495" s="1">
        <v>9122779</v>
      </c>
      <c r="B495" s="1">
        <f t="shared" ca="1" si="28"/>
        <v>0.8405516118288624</v>
      </c>
      <c r="C495" s="1">
        <v>494</v>
      </c>
      <c r="D495" s="1">
        <f t="shared" ca="1" si="29"/>
        <v>251</v>
      </c>
      <c r="E495" s="2">
        <f t="shared" ca="1" si="30"/>
        <v>42918</v>
      </c>
      <c r="F495" s="6">
        <f t="shared" ca="1" si="31"/>
        <v>33.796276223385284</v>
      </c>
    </row>
    <row r="496" spans="1:6">
      <c r="A496" s="1">
        <v>9122782</v>
      </c>
      <c r="B496" s="1">
        <f t="shared" ca="1" si="28"/>
        <v>0.73815811933218745</v>
      </c>
      <c r="C496" s="1">
        <v>495</v>
      </c>
      <c r="D496" s="1">
        <f t="shared" ca="1" si="29"/>
        <v>103</v>
      </c>
      <c r="E496" s="2">
        <f t="shared" ca="1" si="30"/>
        <v>43111</v>
      </c>
      <c r="F496" s="6">
        <f t="shared" ca="1" si="31"/>
        <v>26.697172209274068</v>
      </c>
    </row>
    <row r="497" spans="1:6">
      <c r="A497" s="1">
        <v>9122785</v>
      </c>
      <c r="B497" s="1">
        <f t="shared" ca="1" si="28"/>
        <v>0.55459222119805918</v>
      </c>
      <c r="C497" s="1">
        <v>496</v>
      </c>
      <c r="D497" s="1">
        <f t="shared" ca="1" si="29"/>
        <v>211</v>
      </c>
      <c r="E497" s="2">
        <f t="shared" ca="1" si="30"/>
        <v>42981</v>
      </c>
      <c r="F497" s="6">
        <f t="shared" ca="1" si="31"/>
        <v>3.7652420821151726</v>
      </c>
    </row>
    <row r="498" spans="1:6">
      <c r="A498" s="1">
        <v>9122788</v>
      </c>
      <c r="B498" s="1">
        <f t="shared" ca="1" si="28"/>
        <v>5.8492523685509834E-2</v>
      </c>
      <c r="C498" s="1">
        <v>497</v>
      </c>
      <c r="D498" s="1">
        <f t="shared" ca="1" si="29"/>
        <v>352</v>
      </c>
      <c r="E498" s="2">
        <f t="shared" ca="1" si="30"/>
        <v>43418</v>
      </c>
      <c r="F498" s="6">
        <f t="shared" ca="1" si="31"/>
        <v>47.673736881612633</v>
      </c>
    </row>
    <row r="499" spans="1:6">
      <c r="A499" s="1">
        <v>9122791</v>
      </c>
      <c r="B499" s="1">
        <f t="shared" ca="1" si="28"/>
        <v>0.71420702087472254</v>
      </c>
      <c r="C499" s="1">
        <v>498</v>
      </c>
      <c r="D499" s="1">
        <f t="shared" ca="1" si="29"/>
        <v>589</v>
      </c>
      <c r="E499" s="2">
        <f t="shared" ca="1" si="30"/>
        <v>42994</v>
      </c>
      <c r="F499" s="6">
        <f t="shared" ca="1" si="31"/>
        <v>43.269924081071323</v>
      </c>
    </row>
    <row r="500" spans="1:6">
      <c r="A500" s="1">
        <v>9122794</v>
      </c>
      <c r="B500" s="1">
        <f t="shared" ca="1" si="28"/>
        <v>0.48681415525890837</v>
      </c>
      <c r="C500" s="1">
        <v>499</v>
      </c>
      <c r="D500" s="1">
        <f t="shared" ca="1" si="29"/>
        <v>533</v>
      </c>
      <c r="E500" s="2">
        <f t="shared" ca="1" si="30"/>
        <v>43267</v>
      </c>
      <c r="F500" s="6">
        <f t="shared" ca="1" si="31"/>
        <v>33.30581781598616</v>
      </c>
    </row>
    <row r="501" spans="1:6">
      <c r="A501" s="1">
        <v>9122797</v>
      </c>
      <c r="B501" s="1">
        <f t="shared" ca="1" si="28"/>
        <v>0.88852071185446602</v>
      </c>
      <c r="C501" s="1">
        <v>500</v>
      </c>
      <c r="D501" s="1">
        <f t="shared" ca="1" si="29"/>
        <v>300</v>
      </c>
      <c r="E501" s="2">
        <f t="shared" ca="1" si="30"/>
        <v>42865</v>
      </c>
      <c r="F501" s="6">
        <f t="shared" ca="1" si="31"/>
        <v>281.98237744153289</v>
      </c>
    </row>
    <row r="502" spans="1:6">
      <c r="A502" s="1">
        <v>9122800</v>
      </c>
      <c r="B502" s="1">
        <f t="shared" ca="1" si="28"/>
        <v>5.9107856385858359E-2</v>
      </c>
      <c r="C502" s="1">
        <v>501</v>
      </c>
      <c r="D502" s="1">
        <f t="shared" ca="1" si="29"/>
        <v>565</v>
      </c>
      <c r="E502" s="2">
        <f t="shared" ca="1" si="30"/>
        <v>43199</v>
      </c>
      <c r="F502" s="6">
        <f t="shared" ca="1" si="31"/>
        <v>120.60792797237318</v>
      </c>
    </row>
    <row r="503" spans="1:6">
      <c r="A503" s="1">
        <v>9122803</v>
      </c>
      <c r="B503" s="1">
        <f t="shared" ca="1" si="28"/>
        <v>0.89734799144575328</v>
      </c>
      <c r="C503" s="1">
        <v>502</v>
      </c>
      <c r="D503" s="1">
        <f t="shared" ca="1" si="29"/>
        <v>539</v>
      </c>
      <c r="E503" s="2">
        <f t="shared" ca="1" si="30"/>
        <v>43163</v>
      </c>
      <c r="F503" s="6">
        <f t="shared" ca="1" si="31"/>
        <v>25.738374500017134</v>
      </c>
    </row>
    <row r="504" spans="1:6">
      <c r="A504" s="1">
        <v>9122806</v>
      </c>
      <c r="B504" s="1">
        <f t="shared" ca="1" si="28"/>
        <v>6.4441378193847987E-2</v>
      </c>
      <c r="C504" s="1">
        <v>503</v>
      </c>
      <c r="D504" s="1">
        <f t="shared" ca="1" si="29"/>
        <v>136</v>
      </c>
      <c r="E504" s="2">
        <f t="shared" ca="1" si="30"/>
        <v>42992</v>
      </c>
      <c r="F504" s="6">
        <f t="shared" ca="1" si="31"/>
        <v>13.805006743897462</v>
      </c>
    </row>
    <row r="505" spans="1:6">
      <c r="A505" s="1">
        <v>9122809</v>
      </c>
      <c r="B505" s="1">
        <f t="shared" ca="1" si="28"/>
        <v>0.40237011493779062</v>
      </c>
      <c r="C505" s="1">
        <v>504</v>
      </c>
      <c r="D505" s="1">
        <f t="shared" ca="1" si="29"/>
        <v>170</v>
      </c>
      <c r="E505" s="2">
        <f t="shared" ca="1" si="30"/>
        <v>43233</v>
      </c>
      <c r="F505" s="6">
        <f t="shared" ca="1" si="31"/>
        <v>317.9032889017725</v>
      </c>
    </row>
    <row r="506" spans="1:6">
      <c r="A506" s="1">
        <v>9122812</v>
      </c>
      <c r="B506" s="1">
        <f t="shared" ca="1" si="28"/>
        <v>0.86509503422889744</v>
      </c>
      <c r="C506" s="1">
        <v>505</v>
      </c>
      <c r="D506" s="1">
        <f t="shared" ca="1" si="29"/>
        <v>554</v>
      </c>
      <c r="E506" s="2">
        <f t="shared" ca="1" si="30"/>
        <v>42968</v>
      </c>
      <c r="F506" s="6">
        <f t="shared" ca="1" si="31"/>
        <v>51.419748096706741</v>
      </c>
    </row>
    <row r="507" spans="1:6">
      <c r="A507" s="1">
        <v>9122815</v>
      </c>
      <c r="B507" s="1">
        <f t="shared" ca="1" si="28"/>
        <v>0.66903933816400896</v>
      </c>
      <c r="C507" s="1">
        <v>506</v>
      </c>
      <c r="D507" s="1">
        <f t="shared" ca="1" si="29"/>
        <v>577</v>
      </c>
      <c r="E507" s="2">
        <f t="shared" ca="1" si="30"/>
        <v>42812</v>
      </c>
      <c r="F507" s="6">
        <f t="shared" ca="1" si="31"/>
        <v>54.615584458278228</v>
      </c>
    </row>
    <row r="508" spans="1:6">
      <c r="A508" s="1">
        <v>9122818</v>
      </c>
      <c r="B508" s="1">
        <f t="shared" ca="1" si="28"/>
        <v>0.53678637976951915</v>
      </c>
      <c r="C508" s="1">
        <v>507</v>
      </c>
      <c r="D508" s="1">
        <f t="shared" ca="1" si="29"/>
        <v>274</v>
      </c>
      <c r="E508" s="2">
        <f t="shared" ca="1" si="30"/>
        <v>42991</v>
      </c>
      <c r="F508" s="6">
        <f t="shared" ca="1" si="31"/>
        <v>27.387159844494853</v>
      </c>
    </row>
    <row r="509" spans="1:6">
      <c r="A509" s="1">
        <v>9122821</v>
      </c>
      <c r="B509" s="1">
        <f t="shared" ca="1" si="28"/>
        <v>0.20047238995064887</v>
      </c>
      <c r="C509" s="1">
        <v>508</v>
      </c>
      <c r="D509" s="1">
        <f t="shared" ca="1" si="29"/>
        <v>342</v>
      </c>
      <c r="E509" s="2">
        <f t="shared" ca="1" si="30"/>
        <v>42782</v>
      </c>
      <c r="F509" s="6">
        <f t="shared" ca="1" si="31"/>
        <v>85.092639937089317</v>
      </c>
    </row>
    <row r="510" spans="1:6">
      <c r="A510" s="1">
        <v>9122824</v>
      </c>
      <c r="B510" s="1">
        <f t="shared" ca="1" si="28"/>
        <v>0.85487464644201216</v>
      </c>
      <c r="C510" s="1">
        <v>509</v>
      </c>
      <c r="D510" s="1">
        <f t="shared" ca="1" si="29"/>
        <v>359</v>
      </c>
      <c r="E510" s="2">
        <f t="shared" ca="1" si="30"/>
        <v>42999</v>
      </c>
      <c r="F510" s="6">
        <f t="shared" ca="1" si="31"/>
        <v>12.500530478002357</v>
      </c>
    </row>
    <row r="511" spans="1:6">
      <c r="A511" s="1">
        <v>9122827</v>
      </c>
      <c r="B511" s="1">
        <f t="shared" ca="1" si="28"/>
        <v>0.92690725714503697</v>
      </c>
      <c r="C511" s="1">
        <v>510</v>
      </c>
      <c r="D511" s="1">
        <f t="shared" ca="1" si="29"/>
        <v>478</v>
      </c>
      <c r="E511" s="2">
        <f t="shared" ca="1" si="30"/>
        <v>42777</v>
      </c>
      <c r="F511" s="6">
        <f t="shared" ca="1" si="31"/>
        <v>136.98755654484074</v>
      </c>
    </row>
    <row r="512" spans="1:6">
      <c r="A512" s="1">
        <v>9122830</v>
      </c>
      <c r="B512" s="1">
        <f t="shared" ca="1" si="28"/>
        <v>2.7373081057860849E-2</v>
      </c>
      <c r="C512" s="1">
        <v>511</v>
      </c>
      <c r="D512" s="1">
        <f t="shared" ca="1" si="29"/>
        <v>27</v>
      </c>
      <c r="E512" s="2">
        <f t="shared" ca="1" si="30"/>
        <v>43232</v>
      </c>
      <c r="F512" s="6">
        <f t="shared" ca="1" si="31"/>
        <v>55.610130756118863</v>
      </c>
    </row>
    <row r="513" spans="1:6">
      <c r="A513" s="1">
        <v>9122833</v>
      </c>
      <c r="B513" s="1">
        <f t="shared" ca="1" si="28"/>
        <v>0.27277042153752595</v>
      </c>
      <c r="C513" s="1">
        <v>512</v>
      </c>
      <c r="D513" s="1">
        <f t="shared" ca="1" si="29"/>
        <v>494</v>
      </c>
      <c r="E513" s="2">
        <f t="shared" ca="1" si="30"/>
        <v>43205</v>
      </c>
      <c r="F513" s="6">
        <f t="shared" ca="1" si="31"/>
        <v>3.4609603194199119</v>
      </c>
    </row>
    <row r="514" spans="1:6">
      <c r="A514" s="1">
        <v>9122836</v>
      </c>
      <c r="B514" s="1">
        <f t="shared" ref="B514:B577" ca="1" si="32">RAND()</f>
        <v>0.4088342194044251</v>
      </c>
      <c r="C514" s="1">
        <v>513</v>
      </c>
      <c r="D514" s="1">
        <f t="shared" ca="1" si="29"/>
        <v>100</v>
      </c>
      <c r="E514" s="2">
        <f t="shared" ca="1" si="30"/>
        <v>43318</v>
      </c>
      <c r="F514" s="6">
        <f t="shared" ca="1" si="31"/>
        <v>41.282622932654213</v>
      </c>
    </row>
    <row r="515" spans="1:6">
      <c r="A515" s="1">
        <v>9122839</v>
      </c>
      <c r="B515" s="1">
        <f t="shared" ca="1" si="32"/>
        <v>5.5311375636565074E-2</v>
      </c>
      <c r="C515" s="1">
        <v>514</v>
      </c>
      <c r="D515" s="1">
        <f t="shared" ref="D515:D578" ca="1" si="33">VLOOKUP(SMALL($B$2:$B$601,C515),$B$2:$C$601,2,FALSE)</f>
        <v>180</v>
      </c>
      <c r="E515" s="2">
        <f t="shared" ref="E515:E578" ca="1" si="34">RANDBETWEEN("1/1/17","2/1/19")</f>
        <v>42993</v>
      </c>
      <c r="F515" s="6">
        <f t="shared" ref="F515:F578" ca="1" si="35">_xlfn.GAMMA.INV(RAND(),$J$6,$J$7)*100+3</f>
        <v>5.3445181697512361</v>
      </c>
    </row>
    <row r="516" spans="1:6">
      <c r="A516" s="1">
        <v>9122842</v>
      </c>
      <c r="B516" s="1">
        <f t="shared" ca="1" si="32"/>
        <v>8.3464086513219016E-2</v>
      </c>
      <c r="C516" s="1">
        <v>515</v>
      </c>
      <c r="D516" s="1">
        <f t="shared" ca="1" si="33"/>
        <v>39</v>
      </c>
      <c r="E516" s="2">
        <f t="shared" ca="1" si="34"/>
        <v>43452</v>
      </c>
      <c r="F516" s="6">
        <f t="shared" ca="1" si="35"/>
        <v>36.287523787974123</v>
      </c>
    </row>
    <row r="517" spans="1:6">
      <c r="A517" s="1">
        <v>9122845</v>
      </c>
      <c r="B517" s="1">
        <f t="shared" ca="1" si="32"/>
        <v>4.505799210061856E-2</v>
      </c>
      <c r="C517" s="1">
        <v>516</v>
      </c>
      <c r="D517" s="1">
        <f t="shared" ca="1" si="33"/>
        <v>585</v>
      </c>
      <c r="E517" s="2">
        <f t="shared" ca="1" si="34"/>
        <v>43247</v>
      </c>
      <c r="F517" s="6">
        <f t="shared" ca="1" si="35"/>
        <v>5.887780960189084</v>
      </c>
    </row>
    <row r="518" spans="1:6">
      <c r="A518" s="1">
        <v>9122848</v>
      </c>
      <c r="B518" s="1">
        <f t="shared" ca="1" si="32"/>
        <v>6.7375735456071673E-2</v>
      </c>
      <c r="C518" s="1">
        <v>517</v>
      </c>
      <c r="D518" s="1">
        <f t="shared" ca="1" si="33"/>
        <v>182</v>
      </c>
      <c r="E518" s="2">
        <f t="shared" ca="1" si="34"/>
        <v>43015</v>
      </c>
      <c r="F518" s="6">
        <f t="shared" ca="1" si="35"/>
        <v>52.445972199570804</v>
      </c>
    </row>
    <row r="519" spans="1:6">
      <c r="A519" s="1">
        <v>9122851</v>
      </c>
      <c r="B519" s="1">
        <f t="shared" ca="1" si="32"/>
        <v>0.15440623649582197</v>
      </c>
      <c r="C519" s="1">
        <v>518</v>
      </c>
      <c r="D519" s="1">
        <f t="shared" ca="1" si="33"/>
        <v>509</v>
      </c>
      <c r="E519" s="2">
        <f t="shared" ca="1" si="34"/>
        <v>42943</v>
      </c>
      <c r="F519" s="6">
        <f t="shared" ca="1" si="35"/>
        <v>33.585115485453684</v>
      </c>
    </row>
    <row r="520" spans="1:6">
      <c r="A520" s="1">
        <v>9122854</v>
      </c>
      <c r="B520" s="1">
        <f t="shared" ca="1" si="32"/>
        <v>0.85870352717959786</v>
      </c>
      <c r="C520" s="1">
        <v>519</v>
      </c>
      <c r="D520" s="1">
        <f t="shared" ca="1" si="33"/>
        <v>69</v>
      </c>
      <c r="E520" s="2">
        <f t="shared" ca="1" si="34"/>
        <v>43433</v>
      </c>
      <c r="F520" s="6">
        <f t="shared" ca="1" si="35"/>
        <v>163.10585619835288</v>
      </c>
    </row>
    <row r="521" spans="1:6">
      <c r="A521" s="1">
        <v>9122857</v>
      </c>
      <c r="B521" s="1">
        <f t="shared" ca="1" si="32"/>
        <v>0.57725851342387613</v>
      </c>
      <c r="C521" s="1">
        <v>520</v>
      </c>
      <c r="D521" s="1">
        <f t="shared" ca="1" si="33"/>
        <v>519</v>
      </c>
      <c r="E521" s="2">
        <f t="shared" ca="1" si="34"/>
        <v>43398</v>
      </c>
      <c r="F521" s="6">
        <f t="shared" ca="1" si="35"/>
        <v>64.235776290640956</v>
      </c>
    </row>
    <row r="522" spans="1:6">
      <c r="A522" s="1">
        <v>9122860</v>
      </c>
      <c r="B522" s="1">
        <f t="shared" ca="1" si="32"/>
        <v>0.30344238540854507</v>
      </c>
      <c r="C522" s="1">
        <v>521</v>
      </c>
      <c r="D522" s="1">
        <f t="shared" ca="1" si="33"/>
        <v>455</v>
      </c>
      <c r="E522" s="2">
        <f t="shared" ca="1" si="34"/>
        <v>42885</v>
      </c>
      <c r="F522" s="6">
        <f t="shared" ca="1" si="35"/>
        <v>3.8985242808596459</v>
      </c>
    </row>
    <row r="523" spans="1:6">
      <c r="A523" s="1">
        <v>9122863</v>
      </c>
      <c r="B523" s="1">
        <f t="shared" ca="1" si="32"/>
        <v>0.34708308572244495</v>
      </c>
      <c r="C523" s="1">
        <v>522</v>
      </c>
      <c r="D523" s="1">
        <f t="shared" ca="1" si="33"/>
        <v>108</v>
      </c>
      <c r="E523" s="2">
        <f t="shared" ca="1" si="34"/>
        <v>42810</v>
      </c>
      <c r="F523" s="6">
        <f t="shared" ca="1" si="35"/>
        <v>69.439857975179066</v>
      </c>
    </row>
    <row r="524" spans="1:6">
      <c r="A524" s="1">
        <v>9122866</v>
      </c>
      <c r="B524" s="1">
        <f t="shared" ca="1" si="32"/>
        <v>0.30695696150157781</v>
      </c>
      <c r="C524" s="1">
        <v>523</v>
      </c>
      <c r="D524" s="1">
        <f t="shared" ca="1" si="33"/>
        <v>388</v>
      </c>
      <c r="E524" s="2">
        <f t="shared" ca="1" si="34"/>
        <v>42774</v>
      </c>
      <c r="F524" s="6">
        <f t="shared" ca="1" si="35"/>
        <v>6.6049001323414753</v>
      </c>
    </row>
    <row r="525" spans="1:6">
      <c r="A525" s="1">
        <v>9122869</v>
      </c>
      <c r="B525" s="1">
        <f t="shared" ca="1" si="32"/>
        <v>0.7799930519031596</v>
      </c>
      <c r="C525" s="1">
        <v>524</v>
      </c>
      <c r="D525" s="1">
        <f t="shared" ca="1" si="33"/>
        <v>301</v>
      </c>
      <c r="E525" s="2">
        <f t="shared" ca="1" si="34"/>
        <v>42813</v>
      </c>
      <c r="F525" s="6">
        <f t="shared" ca="1" si="35"/>
        <v>26.083775530189492</v>
      </c>
    </row>
    <row r="526" spans="1:6">
      <c r="A526" s="1">
        <v>9122872</v>
      </c>
      <c r="B526" s="1">
        <f t="shared" ca="1" si="32"/>
        <v>0.67967951676878979</v>
      </c>
      <c r="C526" s="1">
        <v>525</v>
      </c>
      <c r="D526" s="1">
        <f t="shared" ca="1" si="33"/>
        <v>505</v>
      </c>
      <c r="E526" s="2">
        <f t="shared" ca="1" si="34"/>
        <v>43204</v>
      </c>
      <c r="F526" s="6">
        <f t="shared" ca="1" si="35"/>
        <v>100.97732772988</v>
      </c>
    </row>
    <row r="527" spans="1:6">
      <c r="A527" s="1">
        <v>9122875</v>
      </c>
      <c r="B527" s="1">
        <f t="shared" ca="1" si="32"/>
        <v>0.14305015093040863</v>
      </c>
      <c r="C527" s="1">
        <v>526</v>
      </c>
      <c r="D527" s="1">
        <f t="shared" ca="1" si="33"/>
        <v>13</v>
      </c>
      <c r="E527" s="2">
        <f t="shared" ca="1" si="34"/>
        <v>43004</v>
      </c>
      <c r="F527" s="6">
        <f t="shared" ca="1" si="35"/>
        <v>4.4283244831870778</v>
      </c>
    </row>
    <row r="528" spans="1:6">
      <c r="A528" s="1">
        <v>9122878</v>
      </c>
      <c r="B528" s="1">
        <f t="shared" ca="1" si="32"/>
        <v>0.31072522577950901</v>
      </c>
      <c r="C528" s="1">
        <v>527</v>
      </c>
      <c r="D528" s="1">
        <f t="shared" ca="1" si="33"/>
        <v>137</v>
      </c>
      <c r="E528" s="2">
        <f t="shared" ca="1" si="34"/>
        <v>43196</v>
      </c>
      <c r="F528" s="6">
        <f t="shared" ca="1" si="35"/>
        <v>4.0461937459586714</v>
      </c>
    </row>
    <row r="529" spans="1:6">
      <c r="A529" s="1">
        <v>9122881</v>
      </c>
      <c r="B529" s="1">
        <f t="shared" ca="1" si="32"/>
        <v>0.62261044397397725</v>
      </c>
      <c r="C529" s="1">
        <v>528</v>
      </c>
      <c r="D529" s="1">
        <f t="shared" ca="1" si="33"/>
        <v>411</v>
      </c>
      <c r="E529" s="2">
        <f t="shared" ca="1" si="34"/>
        <v>43297</v>
      </c>
      <c r="F529" s="6">
        <f t="shared" ca="1" si="35"/>
        <v>198.25029719054513</v>
      </c>
    </row>
    <row r="530" spans="1:6">
      <c r="A530" s="1">
        <v>9122884</v>
      </c>
      <c r="B530" s="1">
        <f t="shared" ca="1" si="32"/>
        <v>6.7130765131490189E-2</v>
      </c>
      <c r="C530" s="1">
        <v>529</v>
      </c>
      <c r="D530" s="1">
        <f t="shared" ca="1" si="33"/>
        <v>559</v>
      </c>
      <c r="E530" s="2">
        <f t="shared" ca="1" si="34"/>
        <v>43180</v>
      </c>
      <c r="F530" s="6">
        <f t="shared" ca="1" si="35"/>
        <v>38.909575759381411</v>
      </c>
    </row>
    <row r="531" spans="1:6">
      <c r="A531" s="1">
        <v>9122887</v>
      </c>
      <c r="B531" s="1">
        <f t="shared" ca="1" si="32"/>
        <v>0.18056687892207302</v>
      </c>
      <c r="C531" s="1">
        <v>530</v>
      </c>
      <c r="D531" s="1">
        <f t="shared" ca="1" si="33"/>
        <v>146</v>
      </c>
      <c r="E531" s="2">
        <f t="shared" ca="1" si="34"/>
        <v>43375</v>
      </c>
      <c r="F531" s="6">
        <f t="shared" ca="1" si="35"/>
        <v>8.1072016484695411</v>
      </c>
    </row>
    <row r="532" spans="1:6">
      <c r="A532" s="1">
        <v>9122890</v>
      </c>
      <c r="B532" s="1">
        <f t="shared" ca="1" si="32"/>
        <v>0.64832692864279484</v>
      </c>
      <c r="C532" s="1">
        <v>531</v>
      </c>
      <c r="D532" s="1">
        <f t="shared" ca="1" si="33"/>
        <v>299</v>
      </c>
      <c r="E532" s="2">
        <f t="shared" ca="1" si="34"/>
        <v>43303</v>
      </c>
      <c r="F532" s="6">
        <f t="shared" ca="1" si="35"/>
        <v>53.879961823542111</v>
      </c>
    </row>
    <row r="533" spans="1:6">
      <c r="A533" s="1">
        <v>9122893</v>
      </c>
      <c r="B533" s="1">
        <f t="shared" ca="1" si="32"/>
        <v>0.53082458527417853</v>
      </c>
      <c r="C533" s="1">
        <v>532</v>
      </c>
      <c r="D533" s="1">
        <f t="shared" ca="1" si="33"/>
        <v>76</v>
      </c>
      <c r="E533" s="2">
        <f t="shared" ca="1" si="34"/>
        <v>43263</v>
      </c>
      <c r="F533" s="6">
        <f t="shared" ca="1" si="35"/>
        <v>42.200030352483914</v>
      </c>
    </row>
    <row r="534" spans="1:6">
      <c r="A534" s="1">
        <v>9122896</v>
      </c>
      <c r="B534" s="1">
        <f t="shared" ca="1" si="32"/>
        <v>0.82032566634542647</v>
      </c>
      <c r="C534" s="1">
        <v>533</v>
      </c>
      <c r="D534" s="1">
        <f t="shared" ca="1" si="33"/>
        <v>212</v>
      </c>
      <c r="E534" s="2">
        <f t="shared" ca="1" si="34"/>
        <v>43454</v>
      </c>
      <c r="F534" s="6">
        <f t="shared" ca="1" si="35"/>
        <v>3.0251923832905887</v>
      </c>
    </row>
    <row r="535" spans="1:6">
      <c r="A535" s="1">
        <v>9122899</v>
      </c>
      <c r="B535" s="1">
        <f t="shared" ca="1" si="32"/>
        <v>0.57891872740841799</v>
      </c>
      <c r="C535" s="1">
        <v>534</v>
      </c>
      <c r="D535" s="1">
        <f t="shared" ca="1" si="33"/>
        <v>141</v>
      </c>
      <c r="E535" s="2">
        <f t="shared" ca="1" si="34"/>
        <v>43134</v>
      </c>
      <c r="F535" s="6">
        <f t="shared" ca="1" si="35"/>
        <v>118.03629061359213</v>
      </c>
    </row>
    <row r="536" spans="1:6">
      <c r="A536" s="1">
        <v>9122902</v>
      </c>
      <c r="B536" s="1">
        <f t="shared" ca="1" si="32"/>
        <v>5.6520618433040015E-2</v>
      </c>
      <c r="C536" s="1">
        <v>535</v>
      </c>
      <c r="D536" s="1">
        <f t="shared" ca="1" si="33"/>
        <v>34</v>
      </c>
      <c r="E536" s="2">
        <f t="shared" ca="1" si="34"/>
        <v>42916</v>
      </c>
      <c r="F536" s="6">
        <f t="shared" ca="1" si="35"/>
        <v>281.13657923023436</v>
      </c>
    </row>
    <row r="537" spans="1:6">
      <c r="A537" s="1">
        <v>9122905</v>
      </c>
      <c r="B537" s="1">
        <f t="shared" ca="1" si="32"/>
        <v>0.14093871039273242</v>
      </c>
      <c r="C537" s="1">
        <v>536</v>
      </c>
      <c r="D537" s="1">
        <f t="shared" ca="1" si="33"/>
        <v>327</v>
      </c>
      <c r="E537" s="2">
        <f t="shared" ca="1" si="34"/>
        <v>43228</v>
      </c>
      <c r="F537" s="6">
        <f t="shared" ca="1" si="35"/>
        <v>126.78678895647714</v>
      </c>
    </row>
    <row r="538" spans="1:6">
      <c r="A538" s="1">
        <v>9122908</v>
      </c>
      <c r="B538" s="1">
        <f t="shared" ca="1" si="32"/>
        <v>0.9517942640480973</v>
      </c>
      <c r="C538" s="1">
        <v>537</v>
      </c>
      <c r="D538" s="1">
        <f t="shared" ca="1" si="33"/>
        <v>356</v>
      </c>
      <c r="E538" s="2">
        <f t="shared" ca="1" si="34"/>
        <v>43028</v>
      </c>
      <c r="F538" s="6">
        <f t="shared" ca="1" si="35"/>
        <v>4.711748445006041</v>
      </c>
    </row>
    <row r="539" spans="1:6">
      <c r="A539" s="1">
        <v>9122911</v>
      </c>
      <c r="B539" s="1">
        <f t="shared" ca="1" si="32"/>
        <v>0.41542250205523557</v>
      </c>
      <c r="C539" s="1">
        <v>538</v>
      </c>
      <c r="D539" s="1">
        <f t="shared" ca="1" si="33"/>
        <v>287</v>
      </c>
      <c r="E539" s="2">
        <f t="shared" ca="1" si="34"/>
        <v>43018</v>
      </c>
      <c r="F539" s="6">
        <f t="shared" ca="1" si="35"/>
        <v>8.8282243205745914</v>
      </c>
    </row>
    <row r="540" spans="1:6">
      <c r="A540" s="1">
        <v>9122914</v>
      </c>
      <c r="B540" s="1">
        <f t="shared" ca="1" si="32"/>
        <v>0.8258985812033095</v>
      </c>
      <c r="C540" s="1">
        <v>539</v>
      </c>
      <c r="D540" s="1">
        <f t="shared" ca="1" si="33"/>
        <v>500</v>
      </c>
      <c r="E540" s="2">
        <f t="shared" ca="1" si="34"/>
        <v>42755</v>
      </c>
      <c r="F540" s="6">
        <f t="shared" ca="1" si="35"/>
        <v>23.840846767891165</v>
      </c>
    </row>
    <row r="541" spans="1:6">
      <c r="A541" s="1">
        <v>9122917</v>
      </c>
      <c r="B541" s="1">
        <f t="shared" ca="1" si="32"/>
        <v>0.39563890838808913</v>
      </c>
      <c r="C541" s="1">
        <v>540</v>
      </c>
      <c r="D541" s="1">
        <f t="shared" ca="1" si="33"/>
        <v>344</v>
      </c>
      <c r="E541" s="2">
        <f t="shared" ca="1" si="34"/>
        <v>43193</v>
      </c>
      <c r="F541" s="6">
        <f t="shared" ca="1" si="35"/>
        <v>14.372039988947586</v>
      </c>
    </row>
    <row r="542" spans="1:6">
      <c r="A542" s="1">
        <v>9122920</v>
      </c>
      <c r="B542" s="1">
        <f t="shared" ca="1" si="32"/>
        <v>0.2685264273527076</v>
      </c>
      <c r="C542" s="1">
        <v>541</v>
      </c>
      <c r="D542" s="1">
        <f t="shared" ca="1" si="33"/>
        <v>45</v>
      </c>
      <c r="E542" s="2">
        <f t="shared" ca="1" si="34"/>
        <v>43398</v>
      </c>
      <c r="F542" s="6">
        <f t="shared" ca="1" si="35"/>
        <v>4.3355174564079473</v>
      </c>
    </row>
    <row r="543" spans="1:6">
      <c r="A543" s="1">
        <v>9122923</v>
      </c>
      <c r="B543" s="1">
        <f t="shared" ca="1" si="32"/>
        <v>0.50441404046784899</v>
      </c>
      <c r="C543" s="1">
        <v>542</v>
      </c>
      <c r="D543" s="1">
        <f t="shared" ca="1" si="33"/>
        <v>563</v>
      </c>
      <c r="E543" s="2">
        <f t="shared" ca="1" si="34"/>
        <v>43246</v>
      </c>
      <c r="F543" s="6">
        <f t="shared" ca="1" si="35"/>
        <v>17.200357686161247</v>
      </c>
    </row>
    <row r="544" spans="1:6">
      <c r="A544" s="1">
        <v>9122926</v>
      </c>
      <c r="B544" s="1">
        <f t="shared" ca="1" si="32"/>
        <v>0.21118978265890209</v>
      </c>
      <c r="C544" s="1">
        <v>543</v>
      </c>
      <c r="D544" s="1">
        <f t="shared" ca="1" si="33"/>
        <v>502</v>
      </c>
      <c r="E544" s="2">
        <f t="shared" ca="1" si="34"/>
        <v>43027</v>
      </c>
      <c r="F544" s="6">
        <f t="shared" ca="1" si="35"/>
        <v>3.0552918795797352</v>
      </c>
    </row>
    <row r="545" spans="1:6">
      <c r="A545" s="1">
        <v>9122929</v>
      </c>
      <c r="B545" s="1">
        <f t="shared" ca="1" si="32"/>
        <v>0.76997094137860478</v>
      </c>
      <c r="C545" s="1">
        <v>544</v>
      </c>
      <c r="D545" s="1">
        <f t="shared" ca="1" si="33"/>
        <v>50</v>
      </c>
      <c r="E545" s="2">
        <f t="shared" ca="1" si="34"/>
        <v>43247</v>
      </c>
      <c r="F545" s="6">
        <f t="shared" ca="1" si="35"/>
        <v>192.19109073833789</v>
      </c>
    </row>
    <row r="546" spans="1:6">
      <c r="A546" s="1">
        <v>9122932</v>
      </c>
      <c r="B546" s="1">
        <f t="shared" ca="1" si="32"/>
        <v>0.3896797117269637</v>
      </c>
      <c r="C546" s="1">
        <v>545</v>
      </c>
      <c r="D546" s="1">
        <f t="shared" ca="1" si="33"/>
        <v>265</v>
      </c>
      <c r="E546" s="2">
        <f t="shared" ca="1" si="34"/>
        <v>42915</v>
      </c>
      <c r="F546" s="6">
        <f t="shared" ca="1" si="35"/>
        <v>4.1388131459789097</v>
      </c>
    </row>
    <row r="547" spans="1:6">
      <c r="A547" s="1">
        <v>9122935</v>
      </c>
      <c r="B547" s="1">
        <f t="shared" ca="1" si="32"/>
        <v>0.34669208872322332</v>
      </c>
      <c r="C547" s="1">
        <v>546</v>
      </c>
      <c r="D547" s="1">
        <f t="shared" ca="1" si="33"/>
        <v>343</v>
      </c>
      <c r="E547" s="2">
        <f t="shared" ca="1" si="34"/>
        <v>43143</v>
      </c>
      <c r="F547" s="6">
        <f t="shared" ca="1" si="35"/>
        <v>10.819959191787415</v>
      </c>
    </row>
    <row r="548" spans="1:6">
      <c r="A548" s="1">
        <v>9122938</v>
      </c>
      <c r="B548" s="1">
        <f t="shared" ca="1" si="32"/>
        <v>0.12849834303747187</v>
      </c>
      <c r="C548" s="1">
        <v>547</v>
      </c>
      <c r="D548" s="1">
        <f t="shared" ca="1" si="33"/>
        <v>229</v>
      </c>
      <c r="E548" s="2">
        <f t="shared" ca="1" si="34"/>
        <v>43241</v>
      </c>
      <c r="F548" s="6">
        <f t="shared" ca="1" si="35"/>
        <v>48.845481556682984</v>
      </c>
    </row>
    <row r="549" spans="1:6">
      <c r="A549" s="1">
        <v>9122941</v>
      </c>
      <c r="B549" s="1">
        <f t="shared" ca="1" si="32"/>
        <v>0.75283867306821917</v>
      </c>
      <c r="C549" s="1">
        <v>548</v>
      </c>
      <c r="D549" s="1">
        <f t="shared" ca="1" si="33"/>
        <v>127</v>
      </c>
      <c r="E549" s="2">
        <f t="shared" ca="1" si="34"/>
        <v>43263</v>
      </c>
      <c r="F549" s="6">
        <f t="shared" ca="1" si="35"/>
        <v>21.805252688064261</v>
      </c>
    </row>
    <row r="550" spans="1:6">
      <c r="A550" s="1">
        <v>9122944</v>
      </c>
      <c r="B550" s="1">
        <f t="shared" ca="1" si="32"/>
        <v>0.94965221681515366</v>
      </c>
      <c r="C550" s="1">
        <v>549</v>
      </c>
      <c r="D550" s="1">
        <f t="shared" ca="1" si="33"/>
        <v>350</v>
      </c>
      <c r="E550" s="2">
        <f t="shared" ca="1" si="34"/>
        <v>42765</v>
      </c>
      <c r="F550" s="6">
        <f t="shared" ca="1" si="35"/>
        <v>50.827547459425581</v>
      </c>
    </row>
    <row r="551" spans="1:6">
      <c r="A551" s="1">
        <v>9122947</v>
      </c>
      <c r="B551" s="1">
        <f t="shared" ca="1" si="32"/>
        <v>0.66322156136318755</v>
      </c>
      <c r="C551" s="1">
        <v>550</v>
      </c>
      <c r="D551" s="1">
        <f t="shared" ca="1" si="33"/>
        <v>445</v>
      </c>
      <c r="E551" s="2">
        <f t="shared" ca="1" si="34"/>
        <v>43354</v>
      </c>
      <c r="F551" s="6">
        <f t="shared" ca="1" si="35"/>
        <v>3.4275395057291327</v>
      </c>
    </row>
    <row r="552" spans="1:6">
      <c r="A552" s="1">
        <v>9122950</v>
      </c>
      <c r="B552" s="1">
        <f t="shared" ca="1" si="32"/>
        <v>0.14432220697194031</v>
      </c>
      <c r="C552" s="1">
        <v>551</v>
      </c>
      <c r="D552" s="1">
        <f t="shared" ca="1" si="33"/>
        <v>283</v>
      </c>
      <c r="E552" s="2">
        <f t="shared" ca="1" si="34"/>
        <v>43457</v>
      </c>
      <c r="F552" s="6">
        <f t="shared" ca="1" si="35"/>
        <v>71.943788004441913</v>
      </c>
    </row>
    <row r="553" spans="1:6">
      <c r="A553" s="1">
        <v>9122953</v>
      </c>
      <c r="B553" s="1">
        <f t="shared" ca="1" si="32"/>
        <v>0.12279294335845925</v>
      </c>
      <c r="C553" s="1">
        <v>552</v>
      </c>
      <c r="D553" s="1">
        <f t="shared" ca="1" si="33"/>
        <v>218</v>
      </c>
      <c r="E553" s="2">
        <f t="shared" ca="1" si="34"/>
        <v>43390</v>
      </c>
      <c r="F553" s="6">
        <f t="shared" ca="1" si="35"/>
        <v>4.2796619755382093</v>
      </c>
    </row>
    <row r="554" spans="1:6">
      <c r="A554" s="1">
        <v>9122956</v>
      </c>
      <c r="B554" s="1">
        <f t="shared" ca="1" si="32"/>
        <v>0.50053625067005592</v>
      </c>
      <c r="C554" s="1">
        <v>553</v>
      </c>
      <c r="D554" s="1">
        <f t="shared" ca="1" si="33"/>
        <v>234</v>
      </c>
      <c r="E554" s="2">
        <f t="shared" ca="1" si="34"/>
        <v>43467</v>
      </c>
      <c r="F554" s="6">
        <f t="shared" ca="1" si="35"/>
        <v>21.733952398934921</v>
      </c>
    </row>
    <row r="555" spans="1:6">
      <c r="A555" s="1">
        <v>9122959</v>
      </c>
      <c r="B555" s="1">
        <f t="shared" ca="1" si="32"/>
        <v>0.83130935249645499</v>
      </c>
      <c r="C555" s="1">
        <v>554</v>
      </c>
      <c r="D555" s="1">
        <f t="shared" ca="1" si="33"/>
        <v>214</v>
      </c>
      <c r="E555" s="2">
        <f t="shared" ca="1" si="34"/>
        <v>43083</v>
      </c>
      <c r="F555" s="6">
        <f t="shared" ca="1" si="35"/>
        <v>110.62948583731466</v>
      </c>
    </row>
    <row r="556" spans="1:6">
      <c r="A556" s="1">
        <v>9122962</v>
      </c>
      <c r="B556" s="1">
        <f t="shared" ca="1" si="32"/>
        <v>0.7097393660632223</v>
      </c>
      <c r="C556" s="1">
        <v>555</v>
      </c>
      <c r="D556" s="1">
        <f t="shared" ca="1" si="33"/>
        <v>323</v>
      </c>
      <c r="E556" s="2">
        <f t="shared" ca="1" si="34"/>
        <v>43031</v>
      </c>
      <c r="F556" s="6">
        <f t="shared" ca="1" si="35"/>
        <v>4.1371102709787451</v>
      </c>
    </row>
    <row r="557" spans="1:6">
      <c r="A557" s="1">
        <v>9122965</v>
      </c>
      <c r="B557" s="1">
        <f t="shared" ca="1" si="32"/>
        <v>0.56106239857676909</v>
      </c>
      <c r="C557" s="1">
        <v>556</v>
      </c>
      <c r="D557" s="1">
        <f t="shared" ca="1" si="33"/>
        <v>289</v>
      </c>
      <c r="E557" s="2">
        <f t="shared" ca="1" si="34"/>
        <v>43055</v>
      </c>
      <c r="F557" s="6">
        <f t="shared" ca="1" si="35"/>
        <v>3.0135056846370833</v>
      </c>
    </row>
    <row r="558" spans="1:6">
      <c r="A558" s="1">
        <v>9122968</v>
      </c>
      <c r="B558" s="1">
        <f t="shared" ca="1" si="32"/>
        <v>0.54075357951909109</v>
      </c>
      <c r="C558" s="1">
        <v>557</v>
      </c>
      <c r="D558" s="1">
        <f t="shared" ca="1" si="33"/>
        <v>175</v>
      </c>
      <c r="E558" s="2">
        <f t="shared" ca="1" si="34"/>
        <v>43152</v>
      </c>
      <c r="F558" s="6">
        <f t="shared" ca="1" si="35"/>
        <v>7.8720780218333353</v>
      </c>
    </row>
    <row r="559" spans="1:6">
      <c r="A559" s="1">
        <v>9122971</v>
      </c>
      <c r="B559" s="1">
        <f t="shared" ca="1" si="32"/>
        <v>0.75900089288773287</v>
      </c>
      <c r="C559" s="1">
        <v>558</v>
      </c>
      <c r="D559" s="1">
        <f t="shared" ca="1" si="33"/>
        <v>373</v>
      </c>
      <c r="E559" s="2">
        <f t="shared" ca="1" si="34"/>
        <v>43190</v>
      </c>
      <c r="F559" s="6">
        <f t="shared" ca="1" si="35"/>
        <v>7.7741533735541157</v>
      </c>
    </row>
    <row r="560" spans="1:6">
      <c r="A560" s="1">
        <v>9122974</v>
      </c>
      <c r="B560" s="1">
        <f t="shared" ca="1" si="32"/>
        <v>0.87427561808115872</v>
      </c>
      <c r="C560" s="1">
        <v>559</v>
      </c>
      <c r="D560" s="1">
        <f t="shared" ca="1" si="33"/>
        <v>461</v>
      </c>
      <c r="E560" s="2">
        <f t="shared" ca="1" si="34"/>
        <v>42872</v>
      </c>
      <c r="F560" s="6">
        <f t="shared" ca="1" si="35"/>
        <v>91.181028183491776</v>
      </c>
    </row>
    <row r="561" spans="1:6">
      <c r="A561" s="1">
        <v>9122977</v>
      </c>
      <c r="B561" s="1">
        <f t="shared" ca="1" si="32"/>
        <v>0.17485200563911063</v>
      </c>
      <c r="C561" s="1">
        <v>560</v>
      </c>
      <c r="D561" s="1">
        <f t="shared" ca="1" si="33"/>
        <v>349</v>
      </c>
      <c r="E561" s="2">
        <f t="shared" ca="1" si="34"/>
        <v>43334</v>
      </c>
      <c r="F561" s="6">
        <f t="shared" ca="1" si="35"/>
        <v>11.721691206362529</v>
      </c>
    </row>
    <row r="562" spans="1:6">
      <c r="A562" s="1">
        <v>9122980</v>
      </c>
      <c r="B562" s="1">
        <f t="shared" ca="1" si="32"/>
        <v>0.57094990769441623</v>
      </c>
      <c r="C562" s="1">
        <v>561</v>
      </c>
      <c r="D562" s="1">
        <f t="shared" ca="1" si="33"/>
        <v>22</v>
      </c>
      <c r="E562" s="2">
        <f t="shared" ca="1" si="34"/>
        <v>42970</v>
      </c>
      <c r="F562" s="6">
        <f t="shared" ca="1" si="35"/>
        <v>25.253875137886983</v>
      </c>
    </row>
    <row r="563" spans="1:6">
      <c r="A563" s="1">
        <v>9122983</v>
      </c>
      <c r="B563" s="1">
        <f t="shared" ca="1" si="32"/>
        <v>0.53946226429111199</v>
      </c>
      <c r="C563" s="1">
        <v>562</v>
      </c>
      <c r="D563" s="1">
        <f t="shared" ca="1" si="33"/>
        <v>333</v>
      </c>
      <c r="E563" s="2">
        <f t="shared" ca="1" si="34"/>
        <v>43383</v>
      </c>
      <c r="F563" s="6">
        <f t="shared" ca="1" si="35"/>
        <v>40.010010770138784</v>
      </c>
    </row>
    <row r="564" spans="1:6">
      <c r="A564" s="1">
        <v>9122986</v>
      </c>
      <c r="B564" s="1">
        <f t="shared" ca="1" si="32"/>
        <v>0.89211048890233291</v>
      </c>
      <c r="C564" s="1">
        <v>563</v>
      </c>
      <c r="D564" s="1">
        <f t="shared" ca="1" si="33"/>
        <v>510</v>
      </c>
      <c r="E564" s="2">
        <f t="shared" ca="1" si="34"/>
        <v>42976</v>
      </c>
      <c r="F564" s="6">
        <f t="shared" ca="1" si="35"/>
        <v>6.9992760303505843</v>
      </c>
    </row>
    <row r="565" spans="1:6">
      <c r="A565" s="1">
        <v>9122989</v>
      </c>
      <c r="B565" s="1">
        <f t="shared" ca="1" si="32"/>
        <v>0.4674636619081094</v>
      </c>
      <c r="C565" s="1">
        <v>564</v>
      </c>
      <c r="D565" s="1">
        <f t="shared" ca="1" si="33"/>
        <v>154</v>
      </c>
      <c r="E565" s="2">
        <f t="shared" ca="1" si="34"/>
        <v>42790</v>
      </c>
      <c r="F565" s="6">
        <f t="shared" ca="1" si="35"/>
        <v>78.371708386109376</v>
      </c>
    </row>
    <row r="566" spans="1:6">
      <c r="A566" s="1">
        <v>9122992</v>
      </c>
      <c r="B566" s="1">
        <f t="shared" ca="1" si="32"/>
        <v>0.82461941821905738</v>
      </c>
      <c r="C566" s="1">
        <v>565</v>
      </c>
      <c r="D566" s="1">
        <f t="shared" ca="1" si="33"/>
        <v>421</v>
      </c>
      <c r="E566" s="2">
        <f t="shared" ca="1" si="34"/>
        <v>43169</v>
      </c>
      <c r="F566" s="6">
        <f t="shared" ca="1" si="35"/>
        <v>4.4286867615646957</v>
      </c>
    </row>
    <row r="567" spans="1:6">
      <c r="A567" s="1">
        <v>9122995</v>
      </c>
      <c r="B567" s="1">
        <f t="shared" ca="1" si="32"/>
        <v>4.1168317415778644E-2</v>
      </c>
      <c r="C567" s="1">
        <v>566</v>
      </c>
      <c r="D567" s="1">
        <f t="shared" ca="1" si="33"/>
        <v>419</v>
      </c>
      <c r="E567" s="2">
        <f t="shared" ca="1" si="34"/>
        <v>42795</v>
      </c>
      <c r="F567" s="6">
        <f t="shared" ca="1" si="35"/>
        <v>25.428413569412818</v>
      </c>
    </row>
    <row r="568" spans="1:6">
      <c r="A568" s="1">
        <v>9122998</v>
      </c>
      <c r="B568" s="1">
        <f t="shared" ca="1" si="32"/>
        <v>0.63306650912137841</v>
      </c>
      <c r="C568" s="1">
        <v>567</v>
      </c>
      <c r="D568" s="1">
        <f t="shared" ca="1" si="33"/>
        <v>380</v>
      </c>
      <c r="E568" s="2">
        <f t="shared" ca="1" si="34"/>
        <v>43195</v>
      </c>
      <c r="F568" s="6">
        <f t="shared" ca="1" si="35"/>
        <v>64.993866348591951</v>
      </c>
    </row>
    <row r="569" spans="1:6">
      <c r="A569" s="1">
        <v>9123001</v>
      </c>
      <c r="B569" s="1">
        <f t="shared" ca="1" si="32"/>
        <v>0.93541721080701978</v>
      </c>
      <c r="C569" s="1">
        <v>568</v>
      </c>
      <c r="D569" s="1">
        <f t="shared" ca="1" si="33"/>
        <v>568</v>
      </c>
      <c r="E569" s="2">
        <f t="shared" ca="1" si="34"/>
        <v>42867</v>
      </c>
      <c r="F569" s="6">
        <f t="shared" ca="1" si="35"/>
        <v>59.14684504584546</v>
      </c>
    </row>
    <row r="570" spans="1:6">
      <c r="A570" s="1">
        <v>9123004</v>
      </c>
      <c r="B570" s="1">
        <f t="shared" ca="1" si="32"/>
        <v>0.53554609145555687</v>
      </c>
      <c r="C570" s="1">
        <v>569</v>
      </c>
      <c r="D570" s="1">
        <f t="shared" ca="1" si="33"/>
        <v>113</v>
      </c>
      <c r="E570" s="2">
        <f t="shared" ca="1" si="34"/>
        <v>43359</v>
      </c>
      <c r="F570" s="6">
        <f t="shared" ca="1" si="35"/>
        <v>25.039158627442106</v>
      </c>
    </row>
    <row r="571" spans="1:6">
      <c r="A571" s="1">
        <v>9123007</v>
      </c>
      <c r="B571" s="1">
        <f t="shared" ca="1" si="32"/>
        <v>0.34284744107427167</v>
      </c>
      <c r="C571" s="1">
        <v>570</v>
      </c>
      <c r="D571" s="1">
        <f t="shared" ca="1" si="33"/>
        <v>275</v>
      </c>
      <c r="E571" s="2">
        <f t="shared" ca="1" si="34"/>
        <v>43242</v>
      </c>
      <c r="F571" s="6">
        <f t="shared" ca="1" si="35"/>
        <v>6.5191951106807062</v>
      </c>
    </row>
    <row r="572" spans="1:6">
      <c r="A572" s="1">
        <v>9123010</v>
      </c>
      <c r="B572" s="1">
        <f t="shared" ca="1" si="32"/>
        <v>0.10849100292464198</v>
      </c>
      <c r="C572" s="1">
        <v>571</v>
      </c>
      <c r="D572" s="1">
        <f t="shared" ca="1" si="33"/>
        <v>459</v>
      </c>
      <c r="E572" s="2">
        <f t="shared" ca="1" si="34"/>
        <v>42977</v>
      </c>
      <c r="F572" s="6">
        <f t="shared" ca="1" si="35"/>
        <v>193.99503711211335</v>
      </c>
    </row>
    <row r="573" spans="1:6">
      <c r="A573" s="1">
        <v>9123013</v>
      </c>
      <c r="B573" s="1">
        <f t="shared" ca="1" si="32"/>
        <v>0.99427636798158403</v>
      </c>
      <c r="C573" s="1">
        <v>572</v>
      </c>
      <c r="D573" s="1">
        <f t="shared" ca="1" si="33"/>
        <v>191</v>
      </c>
      <c r="E573" s="2">
        <f t="shared" ca="1" si="34"/>
        <v>42927</v>
      </c>
      <c r="F573" s="6">
        <f t="shared" ca="1" si="35"/>
        <v>36.989999833843697</v>
      </c>
    </row>
    <row r="574" spans="1:6">
      <c r="A574" s="1">
        <v>9123016</v>
      </c>
      <c r="B574" s="1">
        <f t="shared" ca="1" si="32"/>
        <v>0.61641808092344808</v>
      </c>
      <c r="C574" s="1">
        <v>573</v>
      </c>
      <c r="D574" s="1">
        <f t="shared" ca="1" si="33"/>
        <v>549</v>
      </c>
      <c r="E574" s="2">
        <f t="shared" ca="1" si="34"/>
        <v>43316</v>
      </c>
      <c r="F574" s="6">
        <f t="shared" ca="1" si="35"/>
        <v>61.059003111355146</v>
      </c>
    </row>
    <row r="575" spans="1:6">
      <c r="A575" s="1">
        <v>9123019</v>
      </c>
      <c r="B575" s="1">
        <f t="shared" ca="1" si="32"/>
        <v>9.2678584024197375E-2</v>
      </c>
      <c r="C575" s="1">
        <v>574</v>
      </c>
      <c r="D575" s="1">
        <f t="shared" ca="1" si="33"/>
        <v>321</v>
      </c>
      <c r="E575" s="2">
        <f t="shared" ca="1" si="34"/>
        <v>43128</v>
      </c>
      <c r="F575" s="6">
        <f t="shared" ca="1" si="35"/>
        <v>3.0319687611812469</v>
      </c>
    </row>
    <row r="576" spans="1:6">
      <c r="A576" s="1">
        <v>9123022</v>
      </c>
      <c r="B576" s="1">
        <f t="shared" ca="1" si="32"/>
        <v>0.72101595368653792</v>
      </c>
      <c r="C576" s="1">
        <v>575</v>
      </c>
      <c r="D576" s="1">
        <f t="shared" ca="1" si="33"/>
        <v>537</v>
      </c>
      <c r="E576" s="2">
        <f t="shared" ca="1" si="34"/>
        <v>43083</v>
      </c>
      <c r="F576" s="6">
        <f t="shared" ca="1" si="35"/>
        <v>77.570969505239461</v>
      </c>
    </row>
    <row r="577" spans="1:6">
      <c r="A577" s="1">
        <v>9123025</v>
      </c>
      <c r="B577" s="1">
        <f t="shared" ca="1" si="32"/>
        <v>2.1065384646990815E-2</v>
      </c>
      <c r="C577" s="1">
        <v>576</v>
      </c>
      <c r="D577" s="1">
        <f t="shared" ca="1" si="33"/>
        <v>115</v>
      </c>
      <c r="E577" s="2">
        <f t="shared" ca="1" si="34"/>
        <v>43197</v>
      </c>
      <c r="F577" s="6">
        <f t="shared" ca="1" si="35"/>
        <v>13.399363294555535</v>
      </c>
    </row>
    <row r="578" spans="1:6">
      <c r="A578" s="1">
        <v>9123028</v>
      </c>
      <c r="B578" s="1">
        <f t="shared" ref="B578:B641" ca="1" si="36">RAND()</f>
        <v>0.83268075087580551</v>
      </c>
      <c r="C578" s="1">
        <v>577</v>
      </c>
      <c r="D578" s="1">
        <f t="shared" ca="1" si="33"/>
        <v>135</v>
      </c>
      <c r="E578" s="2">
        <f t="shared" ca="1" si="34"/>
        <v>43432</v>
      </c>
      <c r="F578" s="6">
        <f t="shared" ca="1" si="35"/>
        <v>41.919760679380744</v>
      </c>
    </row>
    <row r="579" spans="1:6">
      <c r="A579" s="1">
        <v>9123031</v>
      </c>
      <c r="B579" s="1">
        <f t="shared" ca="1" si="36"/>
        <v>0.49641082814802728</v>
      </c>
      <c r="C579" s="1">
        <v>578</v>
      </c>
      <c r="D579" s="1">
        <f t="shared" ref="D579:D642" ca="1" si="37">VLOOKUP(SMALL($B$2:$B$601,C579),$B$2:$C$601,2,FALSE)</f>
        <v>336</v>
      </c>
      <c r="E579" s="2">
        <f t="shared" ref="E579:E642" ca="1" si="38">RANDBETWEEN("1/1/17","2/1/19")</f>
        <v>43000</v>
      </c>
      <c r="F579" s="6">
        <f t="shared" ref="F579:F642" ca="1" si="39">_xlfn.GAMMA.INV(RAND(),$J$6,$J$7)*100+3</f>
        <v>171.68620541708762</v>
      </c>
    </row>
    <row r="580" spans="1:6">
      <c r="A580" s="1">
        <v>9123034</v>
      </c>
      <c r="B580" s="1">
        <f t="shared" ca="1" si="36"/>
        <v>0.27068159650616352</v>
      </c>
      <c r="C580" s="1">
        <v>579</v>
      </c>
      <c r="D580" s="1">
        <f t="shared" ca="1" si="37"/>
        <v>176</v>
      </c>
      <c r="E580" s="2">
        <f t="shared" ca="1" si="38"/>
        <v>43441</v>
      </c>
      <c r="F580" s="6">
        <f t="shared" ca="1" si="39"/>
        <v>17.372260042053526</v>
      </c>
    </row>
    <row r="581" spans="1:6">
      <c r="A581" s="1">
        <v>9123037</v>
      </c>
      <c r="B581" s="1">
        <f t="shared" ca="1" si="36"/>
        <v>0.32440335988269309</v>
      </c>
      <c r="C581" s="1">
        <v>580</v>
      </c>
      <c r="D581" s="1">
        <f t="shared" ca="1" si="37"/>
        <v>44</v>
      </c>
      <c r="E581" s="2">
        <f t="shared" ca="1" si="38"/>
        <v>43277</v>
      </c>
      <c r="F581" s="6">
        <f t="shared" ca="1" si="39"/>
        <v>5.2373784338055493</v>
      </c>
    </row>
    <row r="582" spans="1:6">
      <c r="A582" s="1">
        <v>9123040</v>
      </c>
      <c r="B582" s="1">
        <f t="shared" ca="1" si="36"/>
        <v>0.20022057245029734</v>
      </c>
      <c r="C582" s="1">
        <v>581</v>
      </c>
      <c r="D582" s="1">
        <f t="shared" ca="1" si="37"/>
        <v>485</v>
      </c>
      <c r="E582" s="2">
        <f t="shared" ca="1" si="38"/>
        <v>43230</v>
      </c>
      <c r="F582" s="6">
        <f t="shared" ca="1" si="39"/>
        <v>346.25544485132377</v>
      </c>
    </row>
    <row r="583" spans="1:6">
      <c r="A583" s="1">
        <v>9123043</v>
      </c>
      <c r="B583" s="1">
        <f t="shared" ca="1" si="36"/>
        <v>0.19346742088300295</v>
      </c>
      <c r="C583" s="1">
        <v>582</v>
      </c>
      <c r="D583" s="1">
        <f t="shared" ca="1" si="37"/>
        <v>442</v>
      </c>
      <c r="E583" s="2">
        <f t="shared" ca="1" si="38"/>
        <v>42914</v>
      </c>
      <c r="F583" s="6">
        <f t="shared" ca="1" si="39"/>
        <v>40.080677485140754</v>
      </c>
    </row>
    <row r="584" spans="1:6">
      <c r="A584" s="1">
        <v>9123046</v>
      </c>
      <c r="B584" s="1">
        <f t="shared" ca="1" si="36"/>
        <v>0.60156570001643983</v>
      </c>
      <c r="C584" s="1">
        <v>583</v>
      </c>
      <c r="D584" s="1">
        <f t="shared" ca="1" si="37"/>
        <v>20</v>
      </c>
      <c r="E584" s="2">
        <f t="shared" ca="1" si="38"/>
        <v>42811</v>
      </c>
      <c r="F584" s="6">
        <f t="shared" ca="1" si="39"/>
        <v>5.3163761122450985</v>
      </c>
    </row>
    <row r="585" spans="1:6">
      <c r="A585" s="1">
        <v>9123049</v>
      </c>
      <c r="B585" s="1">
        <f t="shared" ca="1" si="36"/>
        <v>0.55267839551963782</v>
      </c>
      <c r="C585" s="1">
        <v>584</v>
      </c>
      <c r="D585" s="1">
        <f t="shared" ca="1" si="37"/>
        <v>368</v>
      </c>
      <c r="E585" s="2">
        <f t="shared" ca="1" si="38"/>
        <v>43178</v>
      </c>
      <c r="F585" s="6">
        <f t="shared" ca="1" si="39"/>
        <v>126.54210567390822</v>
      </c>
    </row>
    <row r="586" spans="1:6">
      <c r="A586" s="1">
        <v>9123052</v>
      </c>
      <c r="B586" s="1">
        <f t="shared" ca="1" si="36"/>
        <v>0.85183038987523885</v>
      </c>
      <c r="C586" s="1">
        <v>585</v>
      </c>
      <c r="D586" s="1">
        <f t="shared" ca="1" si="37"/>
        <v>428</v>
      </c>
      <c r="E586" s="2">
        <f t="shared" ca="1" si="38"/>
        <v>42846</v>
      </c>
      <c r="F586" s="6">
        <f t="shared" ca="1" si="39"/>
        <v>9.6745198155201351</v>
      </c>
    </row>
    <row r="587" spans="1:6">
      <c r="A587" s="1">
        <v>9123055</v>
      </c>
      <c r="B587" s="1">
        <f t="shared" ca="1" si="36"/>
        <v>0.72574120488542671</v>
      </c>
      <c r="C587" s="1">
        <v>586</v>
      </c>
      <c r="D587" s="1">
        <f t="shared" ca="1" si="37"/>
        <v>56</v>
      </c>
      <c r="E587" s="2">
        <f t="shared" ca="1" si="38"/>
        <v>43087</v>
      </c>
      <c r="F587" s="6">
        <f t="shared" ca="1" si="39"/>
        <v>178.87126899589165</v>
      </c>
    </row>
    <row r="588" spans="1:6">
      <c r="A588" s="1">
        <v>9123058</v>
      </c>
      <c r="B588" s="1">
        <f t="shared" ca="1" si="36"/>
        <v>0.22742790707085248</v>
      </c>
      <c r="C588" s="1">
        <v>587</v>
      </c>
      <c r="D588" s="1">
        <f t="shared" ca="1" si="37"/>
        <v>379</v>
      </c>
      <c r="E588" s="2">
        <f t="shared" ca="1" si="38"/>
        <v>43416</v>
      </c>
      <c r="F588" s="6">
        <f t="shared" ca="1" si="39"/>
        <v>23.332814341232293</v>
      </c>
    </row>
    <row r="589" spans="1:6">
      <c r="A589" s="1">
        <v>9123061</v>
      </c>
      <c r="B589" s="1">
        <f t="shared" ca="1" si="36"/>
        <v>0.22417446910349648</v>
      </c>
      <c r="C589" s="1">
        <v>588</v>
      </c>
      <c r="D589" s="1">
        <f t="shared" ca="1" si="37"/>
        <v>227</v>
      </c>
      <c r="E589" s="2">
        <f t="shared" ca="1" si="38"/>
        <v>42998</v>
      </c>
      <c r="F589" s="6">
        <f t="shared" ca="1" si="39"/>
        <v>11.038427410479317</v>
      </c>
    </row>
    <row r="590" spans="1:6">
      <c r="A590" s="1">
        <v>9123064</v>
      </c>
      <c r="B590" s="1">
        <f t="shared" ca="1" si="36"/>
        <v>0.81844100803189268</v>
      </c>
      <c r="C590" s="1">
        <v>589</v>
      </c>
      <c r="D590" s="1">
        <f t="shared" ca="1" si="37"/>
        <v>18</v>
      </c>
      <c r="E590" s="2">
        <f t="shared" ca="1" si="38"/>
        <v>43282</v>
      </c>
      <c r="F590" s="6">
        <f t="shared" ca="1" si="39"/>
        <v>4.4334989162318061</v>
      </c>
    </row>
    <row r="591" spans="1:6">
      <c r="A591" s="1">
        <v>9123067</v>
      </c>
      <c r="B591" s="1">
        <f t="shared" ca="1" si="36"/>
        <v>0.6531487354446347</v>
      </c>
      <c r="C591" s="1">
        <v>590</v>
      </c>
      <c r="D591" s="1">
        <f t="shared" ca="1" si="37"/>
        <v>21</v>
      </c>
      <c r="E591" s="2">
        <f t="shared" ca="1" si="38"/>
        <v>42996</v>
      </c>
      <c r="F591" s="6">
        <f t="shared" ca="1" si="39"/>
        <v>8.6093425217995083</v>
      </c>
    </row>
    <row r="592" spans="1:6">
      <c r="A592" s="1">
        <v>9123070</v>
      </c>
      <c r="B592" s="1">
        <f t="shared" ca="1" si="36"/>
        <v>0.11498987740396482</v>
      </c>
      <c r="C592" s="1">
        <v>591</v>
      </c>
      <c r="D592" s="1">
        <f t="shared" ca="1" si="37"/>
        <v>4</v>
      </c>
      <c r="E592" s="2">
        <f t="shared" ca="1" si="38"/>
        <v>43224</v>
      </c>
      <c r="F592" s="6">
        <f t="shared" ca="1" si="39"/>
        <v>58.510198709047422</v>
      </c>
    </row>
    <row r="593" spans="1:6">
      <c r="A593" s="1">
        <v>9123073</v>
      </c>
      <c r="B593" s="1">
        <f t="shared" ca="1" si="36"/>
        <v>0.52118946198581084</v>
      </c>
      <c r="C593" s="1">
        <v>592</v>
      </c>
      <c r="D593" s="1">
        <f t="shared" ca="1" si="37"/>
        <v>370</v>
      </c>
      <c r="E593" s="2">
        <f t="shared" ca="1" si="38"/>
        <v>42946</v>
      </c>
      <c r="F593" s="6">
        <f t="shared" ca="1" si="39"/>
        <v>3.2175681909798901</v>
      </c>
    </row>
    <row r="594" spans="1:6">
      <c r="A594" s="1">
        <v>9123076</v>
      </c>
      <c r="B594" s="1">
        <f t="shared" ca="1" si="36"/>
        <v>0.6876559680127915</v>
      </c>
      <c r="C594" s="1">
        <v>593</v>
      </c>
      <c r="D594" s="1">
        <f t="shared" ca="1" si="37"/>
        <v>326</v>
      </c>
      <c r="E594" s="2">
        <f t="shared" ca="1" si="38"/>
        <v>43115</v>
      </c>
      <c r="F594" s="6">
        <f t="shared" ca="1" si="39"/>
        <v>21.812267224787874</v>
      </c>
    </row>
    <row r="595" spans="1:6">
      <c r="A595" s="1">
        <v>9123079</v>
      </c>
      <c r="B595" s="1">
        <f t="shared" ca="1" si="36"/>
        <v>0.42083826507095179</v>
      </c>
      <c r="C595" s="1">
        <v>594</v>
      </c>
      <c r="D595" s="1">
        <f t="shared" ca="1" si="37"/>
        <v>360</v>
      </c>
      <c r="E595" s="2">
        <f t="shared" ca="1" si="38"/>
        <v>43107</v>
      </c>
      <c r="F595" s="6">
        <f t="shared" ca="1" si="39"/>
        <v>136.11301067613797</v>
      </c>
    </row>
    <row r="596" spans="1:6">
      <c r="A596" s="1">
        <v>9123082</v>
      </c>
      <c r="B596" s="1">
        <f t="shared" ca="1" si="36"/>
        <v>0.59746311710924882</v>
      </c>
      <c r="C596" s="1">
        <v>595</v>
      </c>
      <c r="D596" s="1">
        <f t="shared" ca="1" si="37"/>
        <v>273</v>
      </c>
      <c r="E596" s="2">
        <f t="shared" ca="1" si="38"/>
        <v>43088</v>
      </c>
      <c r="F596" s="6">
        <f t="shared" ca="1" si="39"/>
        <v>16.200236026016022</v>
      </c>
    </row>
    <row r="597" spans="1:6">
      <c r="A597" s="1">
        <v>9123085</v>
      </c>
      <c r="B597" s="1">
        <f t="shared" ca="1" si="36"/>
        <v>0.70581928051827336</v>
      </c>
      <c r="C597" s="1">
        <v>596</v>
      </c>
      <c r="D597" s="1">
        <f t="shared" ca="1" si="37"/>
        <v>572</v>
      </c>
      <c r="E597" s="2">
        <f t="shared" ca="1" si="38"/>
        <v>43262</v>
      </c>
      <c r="F597" s="6">
        <f t="shared" ca="1" si="39"/>
        <v>7.8492183308110954</v>
      </c>
    </row>
    <row r="598" spans="1:6">
      <c r="A598" s="1">
        <v>9123088</v>
      </c>
      <c r="B598" s="1">
        <f t="shared" ca="1" si="36"/>
        <v>0.80187585863501676</v>
      </c>
      <c r="C598" s="1">
        <v>597</v>
      </c>
      <c r="D598" s="1">
        <f t="shared" ca="1" si="37"/>
        <v>435</v>
      </c>
      <c r="E598" s="2">
        <f t="shared" ca="1" si="38"/>
        <v>43296</v>
      </c>
      <c r="F598" s="6">
        <f t="shared" ca="1" si="39"/>
        <v>78.614837213878019</v>
      </c>
    </row>
    <row r="599" spans="1:6">
      <c r="A599" s="1">
        <v>9123091</v>
      </c>
      <c r="B599" s="1">
        <f t="shared" ca="1" si="36"/>
        <v>0.43322230316016841</v>
      </c>
      <c r="C599" s="1">
        <v>598</v>
      </c>
      <c r="D599" s="1">
        <f t="shared" ca="1" si="37"/>
        <v>209</v>
      </c>
      <c r="E599" s="2">
        <f t="shared" ca="1" si="38"/>
        <v>43482</v>
      </c>
      <c r="F599" s="6">
        <f t="shared" ca="1" si="39"/>
        <v>66.531590193736463</v>
      </c>
    </row>
    <row r="600" spans="1:6">
      <c r="A600" s="1">
        <v>9123094</v>
      </c>
      <c r="B600" s="1">
        <f t="shared" ca="1" si="36"/>
        <v>0.11767325197284506</v>
      </c>
      <c r="C600" s="1">
        <v>599</v>
      </c>
      <c r="D600" s="1">
        <f t="shared" ca="1" si="37"/>
        <v>337</v>
      </c>
      <c r="E600" s="2">
        <f t="shared" ca="1" si="38"/>
        <v>43036</v>
      </c>
      <c r="F600" s="6">
        <f t="shared" ca="1" si="39"/>
        <v>21.812831029440105</v>
      </c>
    </row>
    <row r="601" spans="1:6">
      <c r="A601" s="1">
        <v>9123097</v>
      </c>
      <c r="B601" s="1">
        <f t="shared" ca="1" si="36"/>
        <v>0.20898129764628437</v>
      </c>
      <c r="C601" s="1">
        <v>600</v>
      </c>
      <c r="D601" s="1">
        <f t="shared" ca="1" si="37"/>
        <v>302</v>
      </c>
      <c r="E601" s="2">
        <f t="shared" ca="1" si="38"/>
        <v>43399</v>
      </c>
      <c r="F601" s="6">
        <f t="shared" ca="1" si="39"/>
        <v>55.660470246169645</v>
      </c>
    </row>
    <row r="602" spans="1:6">
      <c r="A602" s="1">
        <v>9123100</v>
      </c>
      <c r="B602" s="1">
        <f t="shared" ca="1" si="36"/>
        <v>0.40334113923551396</v>
      </c>
      <c r="C602" s="1">
        <f ca="1">ROUND(_xlfn.GAMMA.INV(RAND(),$J$11,$J$12)*100,0)+1</f>
        <v>11</v>
      </c>
      <c r="D602" s="1">
        <f t="shared" ca="1" si="37"/>
        <v>437</v>
      </c>
      <c r="E602" s="2">
        <f t="shared" ca="1" si="38"/>
        <v>43028</v>
      </c>
      <c r="F602" s="6">
        <f t="shared" ca="1" si="39"/>
        <v>12.917185011241889</v>
      </c>
    </row>
    <row r="603" spans="1:6">
      <c r="A603" s="1">
        <v>9123103</v>
      </c>
      <c r="B603" s="1">
        <f t="shared" ca="1" si="36"/>
        <v>0.75035200452390494</v>
      </c>
      <c r="C603" s="1">
        <f t="shared" ref="C603:C666" ca="1" si="40">ROUND(_xlfn.GAMMA.INV(RAND(),$J$11,$J$12)*100,0)+1</f>
        <v>89</v>
      </c>
      <c r="D603" s="1">
        <f t="shared" ca="1" si="37"/>
        <v>340</v>
      </c>
      <c r="E603" s="2">
        <f t="shared" ca="1" si="38"/>
        <v>43169</v>
      </c>
      <c r="F603" s="6">
        <f t="shared" ca="1" si="39"/>
        <v>94.60539624617779</v>
      </c>
    </row>
    <row r="604" spans="1:6">
      <c r="A604" s="1">
        <v>9123106</v>
      </c>
      <c r="B604" s="1">
        <f t="shared" ca="1" si="36"/>
        <v>0.18135654421444469</v>
      </c>
      <c r="C604" s="1">
        <f t="shared" ca="1" si="40"/>
        <v>15</v>
      </c>
      <c r="D604" s="1">
        <f t="shared" ca="1" si="37"/>
        <v>284</v>
      </c>
      <c r="E604" s="2">
        <f t="shared" ca="1" si="38"/>
        <v>43485</v>
      </c>
      <c r="F604" s="6">
        <f t="shared" ca="1" si="39"/>
        <v>105.14234304837939</v>
      </c>
    </row>
    <row r="605" spans="1:6">
      <c r="A605" s="1">
        <v>9123109</v>
      </c>
      <c r="B605" s="1">
        <f t="shared" ca="1" si="36"/>
        <v>0.59704023964815622</v>
      </c>
      <c r="C605" s="1">
        <f t="shared" ca="1" si="40"/>
        <v>7</v>
      </c>
      <c r="D605" s="1">
        <f t="shared" ca="1" si="37"/>
        <v>138</v>
      </c>
      <c r="E605" s="2">
        <f t="shared" ca="1" si="38"/>
        <v>43190</v>
      </c>
      <c r="F605" s="6">
        <f t="shared" ca="1" si="39"/>
        <v>3.1709055606964247</v>
      </c>
    </row>
    <row r="606" spans="1:6">
      <c r="A606" s="1">
        <v>9123112</v>
      </c>
      <c r="B606" s="1">
        <f t="shared" ca="1" si="36"/>
        <v>4.0209575268784881E-2</v>
      </c>
      <c r="C606" s="1">
        <f t="shared" ca="1" si="40"/>
        <v>60</v>
      </c>
      <c r="D606" s="1">
        <f t="shared" ca="1" si="37"/>
        <v>422</v>
      </c>
      <c r="E606" s="2">
        <f t="shared" ca="1" si="38"/>
        <v>43363</v>
      </c>
      <c r="F606" s="6">
        <f t="shared" ca="1" si="39"/>
        <v>47.192046067403922</v>
      </c>
    </row>
    <row r="607" spans="1:6">
      <c r="A607" s="1">
        <v>9123115</v>
      </c>
      <c r="B607" s="1">
        <f t="shared" ca="1" si="36"/>
        <v>0.77252130382297135</v>
      </c>
      <c r="C607" s="1">
        <f t="shared" ca="1" si="40"/>
        <v>190</v>
      </c>
      <c r="D607" s="1">
        <f t="shared" ca="1" si="37"/>
        <v>206</v>
      </c>
      <c r="E607" s="2">
        <f t="shared" ca="1" si="38"/>
        <v>43348</v>
      </c>
      <c r="F607" s="6">
        <f t="shared" ca="1" si="39"/>
        <v>108.70420265752898</v>
      </c>
    </row>
    <row r="608" spans="1:6">
      <c r="A608" s="1">
        <v>9123118</v>
      </c>
      <c r="B608" s="1">
        <f t="shared" ca="1" si="36"/>
        <v>0.48734822245799481</v>
      </c>
      <c r="C608" s="1">
        <f t="shared" ca="1" si="40"/>
        <v>18</v>
      </c>
      <c r="D608" s="1">
        <f t="shared" ca="1" si="37"/>
        <v>511</v>
      </c>
      <c r="E608" s="2">
        <f t="shared" ca="1" si="38"/>
        <v>43350</v>
      </c>
      <c r="F608" s="6">
        <f t="shared" ca="1" si="39"/>
        <v>17.837001902662589</v>
      </c>
    </row>
    <row r="609" spans="1:6">
      <c r="A609" s="1">
        <v>9123121</v>
      </c>
      <c r="B609" s="1">
        <f t="shared" ca="1" si="36"/>
        <v>0.22067027618298973</v>
      </c>
      <c r="C609" s="1">
        <f t="shared" ca="1" si="40"/>
        <v>22</v>
      </c>
      <c r="D609" s="1">
        <f t="shared" ca="1" si="37"/>
        <v>413</v>
      </c>
      <c r="E609" s="2">
        <f t="shared" ca="1" si="38"/>
        <v>43346</v>
      </c>
      <c r="F609" s="6">
        <f t="shared" ca="1" si="39"/>
        <v>4.336235417109318</v>
      </c>
    </row>
    <row r="610" spans="1:6">
      <c r="A610" s="1">
        <v>9123124</v>
      </c>
      <c r="B610" s="1">
        <f t="shared" ca="1" si="36"/>
        <v>0.70285403686497128</v>
      </c>
      <c r="C610" s="1">
        <f t="shared" ca="1" si="40"/>
        <v>103</v>
      </c>
      <c r="D610" s="1">
        <f t="shared" ca="1" si="37"/>
        <v>55</v>
      </c>
      <c r="E610" s="2">
        <f t="shared" ca="1" si="38"/>
        <v>43139</v>
      </c>
      <c r="F610" s="6">
        <f t="shared" ca="1" si="39"/>
        <v>3.9971868915931683</v>
      </c>
    </row>
    <row r="611" spans="1:6">
      <c r="A611" s="1">
        <v>9123127</v>
      </c>
      <c r="B611" s="1">
        <f t="shared" ca="1" si="36"/>
        <v>0.43582797281221253</v>
      </c>
      <c r="C611" s="1">
        <f t="shared" ca="1" si="40"/>
        <v>86</v>
      </c>
      <c r="D611" s="1">
        <f t="shared" ca="1" si="37"/>
        <v>526</v>
      </c>
      <c r="E611" s="2">
        <f t="shared" ca="1" si="38"/>
        <v>42874</v>
      </c>
      <c r="F611" s="6">
        <f t="shared" ca="1" si="39"/>
        <v>36.788157438933794</v>
      </c>
    </row>
    <row r="612" spans="1:6">
      <c r="A612" s="1">
        <v>9123130</v>
      </c>
      <c r="B612" s="1">
        <f t="shared" ca="1" si="36"/>
        <v>0.56980197949228262</v>
      </c>
      <c r="C612" s="1">
        <f t="shared" ca="1" si="40"/>
        <v>4</v>
      </c>
      <c r="D612" s="1">
        <f t="shared" ca="1" si="37"/>
        <v>493</v>
      </c>
      <c r="E612" s="2">
        <f t="shared" ca="1" si="38"/>
        <v>43171</v>
      </c>
      <c r="F612" s="6">
        <f t="shared" ca="1" si="39"/>
        <v>69.590706141121359</v>
      </c>
    </row>
    <row r="613" spans="1:6">
      <c r="A613" s="1">
        <v>9123133</v>
      </c>
      <c r="B613" s="1">
        <f t="shared" ca="1" si="36"/>
        <v>0.5359425845262431</v>
      </c>
      <c r="C613" s="1">
        <f t="shared" ca="1" si="40"/>
        <v>28</v>
      </c>
      <c r="D613" s="1">
        <f t="shared" ca="1" si="37"/>
        <v>401</v>
      </c>
      <c r="E613" s="2">
        <f t="shared" ca="1" si="38"/>
        <v>43320</v>
      </c>
      <c r="F613" s="6">
        <f t="shared" ca="1" si="39"/>
        <v>134.18179785663025</v>
      </c>
    </row>
    <row r="614" spans="1:6">
      <c r="A614" s="1">
        <v>9123136</v>
      </c>
      <c r="B614" s="1">
        <f t="shared" ca="1" si="36"/>
        <v>0.48398794234548415</v>
      </c>
      <c r="C614" s="1">
        <f t="shared" ca="1" si="40"/>
        <v>1</v>
      </c>
      <c r="D614" s="1">
        <f t="shared" ca="1" si="37"/>
        <v>474</v>
      </c>
      <c r="E614" s="2">
        <f t="shared" ca="1" si="38"/>
        <v>42777</v>
      </c>
      <c r="F614" s="6">
        <f t="shared" ca="1" si="39"/>
        <v>101.64101287239177</v>
      </c>
    </row>
    <row r="615" spans="1:6">
      <c r="A615" s="1">
        <v>9123139</v>
      </c>
      <c r="B615" s="1">
        <f t="shared" ca="1" si="36"/>
        <v>0.68677713702234877</v>
      </c>
      <c r="C615" s="1">
        <f t="shared" ca="1" si="40"/>
        <v>178</v>
      </c>
      <c r="D615" s="1">
        <f t="shared" ca="1" si="37"/>
        <v>390</v>
      </c>
      <c r="E615" s="2">
        <f t="shared" ca="1" si="38"/>
        <v>43008</v>
      </c>
      <c r="F615" s="6">
        <f t="shared" ca="1" si="39"/>
        <v>45.592387664377554</v>
      </c>
    </row>
    <row r="616" spans="1:6">
      <c r="A616" s="1">
        <v>9123142</v>
      </c>
      <c r="B616" s="1">
        <f t="shared" ca="1" si="36"/>
        <v>0.55402137248049899</v>
      </c>
      <c r="C616" s="1">
        <f t="shared" ca="1" si="40"/>
        <v>315</v>
      </c>
      <c r="D616" s="1">
        <f t="shared" ca="1" si="37"/>
        <v>291</v>
      </c>
      <c r="E616" s="2">
        <f t="shared" ca="1" si="38"/>
        <v>42969</v>
      </c>
      <c r="F616" s="6">
        <f t="shared" ca="1" si="39"/>
        <v>33.113634236163918</v>
      </c>
    </row>
    <row r="617" spans="1:6">
      <c r="A617" s="1">
        <v>9123145</v>
      </c>
      <c r="B617" s="1">
        <f t="shared" ca="1" si="36"/>
        <v>0.34727632883969139</v>
      </c>
      <c r="C617" s="1">
        <f t="shared" ca="1" si="40"/>
        <v>309</v>
      </c>
      <c r="D617" s="1">
        <f t="shared" ca="1" si="37"/>
        <v>258</v>
      </c>
      <c r="E617" s="2">
        <f t="shared" ca="1" si="38"/>
        <v>43437</v>
      </c>
      <c r="F617" s="6">
        <f t="shared" ca="1" si="39"/>
        <v>3.0066736062235084</v>
      </c>
    </row>
    <row r="618" spans="1:6">
      <c r="A618" s="1">
        <v>9123148</v>
      </c>
      <c r="B618" s="1">
        <f t="shared" ca="1" si="36"/>
        <v>0.56799796624284116</v>
      </c>
      <c r="C618" s="1">
        <f t="shared" ca="1" si="40"/>
        <v>232</v>
      </c>
      <c r="D618" s="1">
        <f t="shared" ca="1" si="37"/>
        <v>148</v>
      </c>
      <c r="E618" s="2">
        <f t="shared" ca="1" si="38"/>
        <v>43451</v>
      </c>
      <c r="F618" s="6">
        <f t="shared" ca="1" si="39"/>
        <v>129.09915633441435</v>
      </c>
    </row>
    <row r="619" spans="1:6">
      <c r="A619" s="1">
        <v>9123151</v>
      </c>
      <c r="B619" s="1">
        <f t="shared" ca="1" si="36"/>
        <v>0.76429953943423601</v>
      </c>
      <c r="C619" s="1">
        <f t="shared" ca="1" si="40"/>
        <v>21</v>
      </c>
      <c r="D619" s="1">
        <f t="shared" ca="1" si="37"/>
        <v>566</v>
      </c>
      <c r="E619" s="2">
        <f t="shared" ca="1" si="38"/>
        <v>43342</v>
      </c>
      <c r="F619" s="6">
        <f t="shared" ca="1" si="39"/>
        <v>3.0114586902430172</v>
      </c>
    </row>
    <row r="620" spans="1:6">
      <c r="A620" s="1">
        <v>9123154</v>
      </c>
      <c r="B620" s="1">
        <f t="shared" ca="1" si="36"/>
        <v>0.50662161568209974</v>
      </c>
      <c r="C620" s="1">
        <f t="shared" ca="1" si="40"/>
        <v>69</v>
      </c>
      <c r="D620" s="1">
        <f t="shared" ca="1" si="37"/>
        <v>142</v>
      </c>
      <c r="E620" s="2">
        <f t="shared" ca="1" si="38"/>
        <v>42967</v>
      </c>
      <c r="F620" s="6">
        <f t="shared" ca="1" si="39"/>
        <v>130.22427000809608</v>
      </c>
    </row>
    <row r="621" spans="1:6">
      <c r="A621" s="1">
        <v>9123157</v>
      </c>
      <c r="B621" s="1">
        <f t="shared" ca="1" si="36"/>
        <v>0.58231982490212852</v>
      </c>
      <c r="C621" s="1">
        <f t="shared" ca="1" si="40"/>
        <v>2</v>
      </c>
      <c r="D621" s="1">
        <f t="shared" ca="1" si="37"/>
        <v>30</v>
      </c>
      <c r="E621" s="2">
        <f t="shared" ca="1" si="38"/>
        <v>42922</v>
      </c>
      <c r="F621" s="6">
        <f t="shared" ca="1" si="39"/>
        <v>56.676877374387011</v>
      </c>
    </row>
    <row r="622" spans="1:6">
      <c r="A622" s="1">
        <v>9123160</v>
      </c>
      <c r="B622" s="1">
        <f t="shared" ca="1" si="36"/>
        <v>0.17819317883267238</v>
      </c>
      <c r="C622" s="1">
        <f t="shared" ca="1" si="40"/>
        <v>67</v>
      </c>
      <c r="D622" s="1">
        <f t="shared" ca="1" si="37"/>
        <v>259</v>
      </c>
      <c r="E622" s="2">
        <f t="shared" ca="1" si="38"/>
        <v>42804</v>
      </c>
      <c r="F622" s="6">
        <f t="shared" ca="1" si="39"/>
        <v>14.774351117290278</v>
      </c>
    </row>
    <row r="623" spans="1:6">
      <c r="A623" s="1">
        <v>9123163</v>
      </c>
      <c r="B623" s="1">
        <f t="shared" ca="1" si="36"/>
        <v>0.60164795257060877</v>
      </c>
      <c r="C623" s="1">
        <f t="shared" ca="1" si="40"/>
        <v>19</v>
      </c>
      <c r="D623" s="1">
        <f t="shared" ca="1" si="37"/>
        <v>42</v>
      </c>
      <c r="E623" s="2">
        <f t="shared" ca="1" si="38"/>
        <v>43230</v>
      </c>
      <c r="F623" s="6">
        <f t="shared" ca="1" si="39"/>
        <v>255.16554544505874</v>
      </c>
    </row>
    <row r="624" spans="1:6">
      <c r="A624" s="1">
        <v>9123166</v>
      </c>
      <c r="B624" s="1">
        <f t="shared" ca="1" si="36"/>
        <v>0.84416487407702001</v>
      </c>
      <c r="C624" s="1">
        <f t="shared" ca="1" si="40"/>
        <v>2</v>
      </c>
      <c r="D624" s="1">
        <f t="shared" ca="1" si="37"/>
        <v>30</v>
      </c>
      <c r="E624" s="2">
        <f t="shared" ca="1" si="38"/>
        <v>42828</v>
      </c>
      <c r="F624" s="6">
        <f t="shared" ca="1" si="39"/>
        <v>33.650760337016223</v>
      </c>
    </row>
    <row r="625" spans="1:6">
      <c r="A625" s="1">
        <v>9123169</v>
      </c>
      <c r="B625" s="1">
        <f t="shared" ca="1" si="36"/>
        <v>0.34660239370098078</v>
      </c>
      <c r="C625" s="1">
        <f t="shared" ca="1" si="40"/>
        <v>4</v>
      </c>
      <c r="D625" s="1">
        <f t="shared" ca="1" si="37"/>
        <v>493</v>
      </c>
      <c r="E625" s="2">
        <f t="shared" ca="1" si="38"/>
        <v>43341</v>
      </c>
      <c r="F625" s="6">
        <f t="shared" ca="1" si="39"/>
        <v>21.316587318889461</v>
      </c>
    </row>
    <row r="626" spans="1:6">
      <c r="A626" s="1">
        <v>9123172</v>
      </c>
      <c r="B626" s="1">
        <f t="shared" ca="1" si="36"/>
        <v>0.20852942520985873</v>
      </c>
      <c r="C626" s="1">
        <f t="shared" ca="1" si="40"/>
        <v>1</v>
      </c>
      <c r="D626" s="1">
        <f t="shared" ca="1" si="37"/>
        <v>474</v>
      </c>
      <c r="E626" s="2">
        <f t="shared" ca="1" si="38"/>
        <v>42813</v>
      </c>
      <c r="F626" s="6">
        <f t="shared" ca="1" si="39"/>
        <v>64.304772904772605</v>
      </c>
    </row>
    <row r="627" spans="1:6">
      <c r="A627" s="1">
        <v>9123175</v>
      </c>
      <c r="B627" s="1">
        <f t="shared" ca="1" si="36"/>
        <v>0.42706726002644557</v>
      </c>
      <c r="C627" s="1">
        <f t="shared" ca="1" si="40"/>
        <v>17</v>
      </c>
      <c r="D627" s="1">
        <f t="shared" ca="1" si="37"/>
        <v>165</v>
      </c>
      <c r="E627" s="2">
        <f t="shared" ca="1" si="38"/>
        <v>43095</v>
      </c>
      <c r="F627" s="6">
        <f t="shared" ca="1" si="39"/>
        <v>3.022771358622192</v>
      </c>
    </row>
    <row r="628" spans="1:6">
      <c r="A628" s="1">
        <v>9123178</v>
      </c>
      <c r="B628" s="1">
        <f t="shared" ca="1" si="36"/>
        <v>0.24092928069015329</v>
      </c>
      <c r="C628" s="1">
        <f t="shared" ca="1" si="40"/>
        <v>9</v>
      </c>
      <c r="D628" s="1">
        <f t="shared" ca="1" si="37"/>
        <v>278</v>
      </c>
      <c r="E628" s="2">
        <f t="shared" ca="1" si="38"/>
        <v>42842</v>
      </c>
      <c r="F628" s="6">
        <f t="shared" ca="1" si="39"/>
        <v>3.1365936411480768</v>
      </c>
    </row>
    <row r="629" spans="1:6">
      <c r="A629" s="1">
        <v>9123181</v>
      </c>
      <c r="B629" s="1">
        <f t="shared" ca="1" si="36"/>
        <v>0.59817605362739668</v>
      </c>
      <c r="C629" s="1">
        <f t="shared" ca="1" si="40"/>
        <v>52</v>
      </c>
      <c r="D629" s="1">
        <f t="shared" ca="1" si="37"/>
        <v>574</v>
      </c>
      <c r="E629" s="2">
        <f t="shared" ca="1" si="38"/>
        <v>42930</v>
      </c>
      <c r="F629" s="6">
        <f t="shared" ca="1" si="39"/>
        <v>11.729813629798668</v>
      </c>
    </row>
    <row r="630" spans="1:6">
      <c r="A630" s="1">
        <v>9123184</v>
      </c>
      <c r="B630" s="1">
        <f t="shared" ca="1" si="36"/>
        <v>0.32210250080249869</v>
      </c>
      <c r="C630" s="1">
        <f t="shared" ca="1" si="40"/>
        <v>40</v>
      </c>
      <c r="D630" s="1">
        <f t="shared" ca="1" si="37"/>
        <v>426</v>
      </c>
      <c r="E630" s="2">
        <f t="shared" ca="1" si="38"/>
        <v>43474</v>
      </c>
      <c r="F630" s="6">
        <f t="shared" ca="1" si="39"/>
        <v>4.4983068474435681</v>
      </c>
    </row>
    <row r="631" spans="1:6">
      <c r="A631" s="1">
        <v>9123187</v>
      </c>
      <c r="B631" s="1">
        <f t="shared" ca="1" si="36"/>
        <v>4.0711463557883576E-2</v>
      </c>
      <c r="C631" s="1">
        <f t="shared" ca="1" si="40"/>
        <v>18</v>
      </c>
      <c r="D631" s="1">
        <f t="shared" ca="1" si="37"/>
        <v>511</v>
      </c>
      <c r="E631" s="2">
        <f t="shared" ca="1" si="38"/>
        <v>43253</v>
      </c>
      <c r="F631" s="6">
        <f t="shared" ca="1" si="39"/>
        <v>4.7151175015045066</v>
      </c>
    </row>
    <row r="632" spans="1:6">
      <c r="A632" s="1">
        <v>9123190</v>
      </c>
      <c r="B632" s="1">
        <f t="shared" ca="1" si="36"/>
        <v>0.29477913241483644</v>
      </c>
      <c r="C632" s="1">
        <f t="shared" ca="1" si="40"/>
        <v>124</v>
      </c>
      <c r="D632" s="1">
        <f t="shared" ca="1" si="37"/>
        <v>588</v>
      </c>
      <c r="E632" s="2">
        <f t="shared" ca="1" si="38"/>
        <v>43148</v>
      </c>
      <c r="F632" s="6">
        <f t="shared" ca="1" si="39"/>
        <v>8.1378707679498881</v>
      </c>
    </row>
    <row r="633" spans="1:6">
      <c r="A633" s="1">
        <v>9123193</v>
      </c>
      <c r="B633" s="1">
        <f t="shared" ca="1" si="36"/>
        <v>0.82334454518149702</v>
      </c>
      <c r="C633" s="1">
        <f t="shared" ca="1" si="40"/>
        <v>10</v>
      </c>
      <c r="D633" s="1">
        <f t="shared" ca="1" si="37"/>
        <v>236</v>
      </c>
      <c r="E633" s="2">
        <f t="shared" ca="1" si="38"/>
        <v>43129</v>
      </c>
      <c r="F633" s="6">
        <f t="shared" ca="1" si="39"/>
        <v>196.48416521201608</v>
      </c>
    </row>
    <row r="634" spans="1:6">
      <c r="A634" s="1">
        <v>9123196</v>
      </c>
      <c r="B634" s="1">
        <f t="shared" ca="1" si="36"/>
        <v>5.7346941633788284E-2</v>
      </c>
      <c r="C634" s="1">
        <f t="shared" ca="1" si="40"/>
        <v>106</v>
      </c>
      <c r="D634" s="1">
        <f t="shared" ca="1" si="37"/>
        <v>238</v>
      </c>
      <c r="E634" s="2">
        <f t="shared" ca="1" si="38"/>
        <v>42962</v>
      </c>
      <c r="F634" s="6">
        <f t="shared" ca="1" si="39"/>
        <v>77.838649443379282</v>
      </c>
    </row>
    <row r="635" spans="1:6">
      <c r="A635" s="1">
        <v>9123199</v>
      </c>
      <c r="B635" s="1">
        <f t="shared" ca="1" si="36"/>
        <v>0.44539037675899606</v>
      </c>
      <c r="C635" s="1">
        <f t="shared" ca="1" si="40"/>
        <v>1</v>
      </c>
      <c r="D635" s="1">
        <f t="shared" ca="1" si="37"/>
        <v>474</v>
      </c>
      <c r="E635" s="2">
        <f t="shared" ca="1" si="38"/>
        <v>43227</v>
      </c>
      <c r="F635" s="6">
        <f t="shared" ca="1" si="39"/>
        <v>3.5299026615716511</v>
      </c>
    </row>
    <row r="636" spans="1:6">
      <c r="A636" s="1">
        <v>9123202</v>
      </c>
      <c r="B636" s="1">
        <f t="shared" ca="1" si="36"/>
        <v>0.40114270238017535</v>
      </c>
      <c r="C636" s="1">
        <f t="shared" ca="1" si="40"/>
        <v>22</v>
      </c>
      <c r="D636" s="1">
        <f t="shared" ca="1" si="37"/>
        <v>413</v>
      </c>
      <c r="E636" s="2">
        <f t="shared" ca="1" si="38"/>
        <v>43329</v>
      </c>
      <c r="F636" s="6">
        <f t="shared" ca="1" si="39"/>
        <v>159.16240211974005</v>
      </c>
    </row>
    <row r="637" spans="1:6">
      <c r="A637" s="1">
        <v>9123205</v>
      </c>
      <c r="B637" s="1">
        <f t="shared" ca="1" si="36"/>
        <v>0.38474855778845041</v>
      </c>
      <c r="C637" s="1">
        <f t="shared" ca="1" si="40"/>
        <v>1</v>
      </c>
      <c r="D637" s="1">
        <f t="shared" ca="1" si="37"/>
        <v>474</v>
      </c>
      <c r="E637" s="2">
        <f t="shared" ca="1" si="38"/>
        <v>43179</v>
      </c>
      <c r="F637" s="6">
        <f t="shared" ca="1" si="39"/>
        <v>315.17966103101634</v>
      </c>
    </row>
    <row r="638" spans="1:6">
      <c r="A638" s="1">
        <v>9123208</v>
      </c>
      <c r="B638" s="1">
        <f t="shared" ca="1" si="36"/>
        <v>3.9312562833073827E-2</v>
      </c>
      <c r="C638" s="1">
        <f t="shared" ca="1" si="40"/>
        <v>186</v>
      </c>
      <c r="D638" s="1">
        <f t="shared" ca="1" si="37"/>
        <v>102</v>
      </c>
      <c r="E638" s="2">
        <f t="shared" ca="1" si="38"/>
        <v>43032</v>
      </c>
      <c r="F638" s="6">
        <f t="shared" ca="1" si="39"/>
        <v>4.2024306123627237</v>
      </c>
    </row>
    <row r="639" spans="1:6">
      <c r="A639" s="1">
        <v>9123211</v>
      </c>
      <c r="B639" s="1">
        <f t="shared" ca="1" si="36"/>
        <v>0.96339432831544392</v>
      </c>
      <c r="C639" s="1">
        <f t="shared" ca="1" si="40"/>
        <v>15</v>
      </c>
      <c r="D639" s="1">
        <f t="shared" ca="1" si="37"/>
        <v>284</v>
      </c>
      <c r="E639" s="2">
        <f t="shared" ca="1" si="38"/>
        <v>43011</v>
      </c>
      <c r="F639" s="6">
        <f t="shared" ca="1" si="39"/>
        <v>5.2957238666576734</v>
      </c>
    </row>
    <row r="640" spans="1:6">
      <c r="A640" s="1">
        <v>9123214</v>
      </c>
      <c r="B640" s="1">
        <f t="shared" ca="1" si="36"/>
        <v>0.12682365262859052</v>
      </c>
      <c r="C640" s="1">
        <f t="shared" ca="1" si="40"/>
        <v>38</v>
      </c>
      <c r="D640" s="1">
        <f t="shared" ca="1" si="37"/>
        <v>400</v>
      </c>
      <c r="E640" s="2">
        <f t="shared" ca="1" si="38"/>
        <v>42812</v>
      </c>
      <c r="F640" s="6">
        <f t="shared" ca="1" si="39"/>
        <v>63.484882685780072</v>
      </c>
    </row>
    <row r="641" spans="1:6">
      <c r="A641" s="1">
        <v>9123217</v>
      </c>
      <c r="B641" s="1">
        <f t="shared" ca="1" si="36"/>
        <v>0.74095059166783483</v>
      </c>
      <c r="C641" s="1">
        <f t="shared" ca="1" si="40"/>
        <v>66</v>
      </c>
      <c r="D641" s="1">
        <f t="shared" ca="1" si="37"/>
        <v>128</v>
      </c>
      <c r="E641" s="2">
        <f t="shared" ca="1" si="38"/>
        <v>42938</v>
      </c>
      <c r="F641" s="6">
        <f t="shared" ca="1" si="39"/>
        <v>56.952066173946058</v>
      </c>
    </row>
    <row r="642" spans="1:6">
      <c r="A642" s="1">
        <v>9123220</v>
      </c>
      <c r="B642" s="1">
        <f t="shared" ref="B642:B705" ca="1" si="41">RAND()</f>
        <v>0.42198604777828508</v>
      </c>
      <c r="C642" s="1">
        <f t="shared" ca="1" si="40"/>
        <v>75</v>
      </c>
      <c r="D642" s="1">
        <f t="shared" ca="1" si="37"/>
        <v>599</v>
      </c>
      <c r="E642" s="2">
        <f t="shared" ca="1" si="38"/>
        <v>43094</v>
      </c>
      <c r="F642" s="6">
        <f t="shared" ca="1" si="39"/>
        <v>31.973058676677905</v>
      </c>
    </row>
    <row r="643" spans="1:6">
      <c r="A643" s="1">
        <v>9123223</v>
      </c>
      <c r="B643" s="1">
        <f t="shared" ca="1" si="41"/>
        <v>0.48465409133594639</v>
      </c>
      <c r="C643" s="1">
        <f t="shared" ca="1" si="40"/>
        <v>1</v>
      </c>
      <c r="D643" s="1">
        <f t="shared" ref="D643:D706" ca="1" si="42">VLOOKUP(SMALL($B$2:$B$601,C643),$B$2:$C$601,2,FALSE)</f>
        <v>474</v>
      </c>
      <c r="E643" s="2">
        <f t="shared" ref="E643:E706" ca="1" si="43">RANDBETWEEN("1/1/17","2/1/19")</f>
        <v>42848</v>
      </c>
      <c r="F643" s="6">
        <f t="shared" ref="F643:F706" ca="1" si="44">_xlfn.GAMMA.INV(RAND(),$J$6,$J$7)*100+3</f>
        <v>20.424580494443227</v>
      </c>
    </row>
    <row r="644" spans="1:6">
      <c r="A644" s="1">
        <v>9123226</v>
      </c>
      <c r="B644" s="1">
        <f t="shared" ca="1" si="41"/>
        <v>0.19387750825471395</v>
      </c>
      <c r="C644" s="1">
        <f t="shared" ca="1" si="40"/>
        <v>338</v>
      </c>
      <c r="D644" s="1">
        <f t="shared" ca="1" si="42"/>
        <v>190</v>
      </c>
      <c r="E644" s="2">
        <f t="shared" ca="1" si="43"/>
        <v>43004</v>
      </c>
      <c r="F644" s="6">
        <f t="shared" ca="1" si="44"/>
        <v>46.692230090384278</v>
      </c>
    </row>
    <row r="645" spans="1:6">
      <c r="A645" s="1">
        <v>9123229</v>
      </c>
      <c r="B645" s="1">
        <f t="shared" ca="1" si="41"/>
        <v>0.12504343745567525</v>
      </c>
      <c r="C645" s="1">
        <f t="shared" ca="1" si="40"/>
        <v>1</v>
      </c>
      <c r="D645" s="1">
        <f t="shared" ca="1" si="42"/>
        <v>474</v>
      </c>
      <c r="E645" s="2">
        <f t="shared" ca="1" si="43"/>
        <v>43010</v>
      </c>
      <c r="F645" s="6">
        <f t="shared" ca="1" si="44"/>
        <v>72.251853810257202</v>
      </c>
    </row>
    <row r="646" spans="1:6">
      <c r="A646" s="1">
        <v>9123232</v>
      </c>
      <c r="B646" s="1">
        <f t="shared" ca="1" si="41"/>
        <v>0.61405572104968453</v>
      </c>
      <c r="C646" s="1">
        <f t="shared" ca="1" si="40"/>
        <v>215</v>
      </c>
      <c r="D646" s="1">
        <f t="shared" ca="1" si="42"/>
        <v>272</v>
      </c>
      <c r="E646" s="2">
        <f t="shared" ca="1" si="43"/>
        <v>43246</v>
      </c>
      <c r="F646" s="6">
        <f t="shared" ca="1" si="44"/>
        <v>33.686548160195684</v>
      </c>
    </row>
    <row r="647" spans="1:6">
      <c r="A647" s="1">
        <v>9123235</v>
      </c>
      <c r="B647" s="1">
        <f t="shared" ca="1" si="41"/>
        <v>0.72488340972952559</v>
      </c>
      <c r="C647" s="1">
        <f t="shared" ca="1" si="40"/>
        <v>2</v>
      </c>
      <c r="D647" s="1">
        <f t="shared" ca="1" si="42"/>
        <v>30</v>
      </c>
      <c r="E647" s="2">
        <f t="shared" ca="1" si="43"/>
        <v>42937</v>
      </c>
      <c r="F647" s="6">
        <f t="shared" ca="1" si="44"/>
        <v>18.540720597853685</v>
      </c>
    </row>
    <row r="648" spans="1:6">
      <c r="A648" s="1">
        <v>9123238</v>
      </c>
      <c r="B648" s="1">
        <f t="shared" ca="1" si="41"/>
        <v>0.94713676858584617</v>
      </c>
      <c r="C648" s="1">
        <f t="shared" ca="1" si="40"/>
        <v>1</v>
      </c>
      <c r="D648" s="1">
        <f t="shared" ca="1" si="42"/>
        <v>474</v>
      </c>
      <c r="E648" s="2">
        <f t="shared" ca="1" si="43"/>
        <v>42761</v>
      </c>
      <c r="F648" s="6">
        <f t="shared" ca="1" si="44"/>
        <v>3.5749212232742327</v>
      </c>
    </row>
    <row r="649" spans="1:6">
      <c r="A649" s="1">
        <v>9123241</v>
      </c>
      <c r="B649" s="1">
        <f t="shared" ca="1" si="41"/>
        <v>0.55333734460665618</v>
      </c>
      <c r="C649" s="1">
        <f t="shared" ca="1" si="40"/>
        <v>23</v>
      </c>
      <c r="D649" s="1">
        <f t="shared" ca="1" si="42"/>
        <v>516</v>
      </c>
      <c r="E649" s="2">
        <f t="shared" ca="1" si="43"/>
        <v>42877</v>
      </c>
      <c r="F649" s="6">
        <f t="shared" ca="1" si="44"/>
        <v>12.462874459054259</v>
      </c>
    </row>
    <row r="650" spans="1:6">
      <c r="A650" s="1">
        <v>9123244</v>
      </c>
      <c r="B650" s="1">
        <f t="shared" ca="1" si="41"/>
        <v>0.56167458860450981</v>
      </c>
      <c r="C650" s="1">
        <f t="shared" ca="1" si="40"/>
        <v>71</v>
      </c>
      <c r="D650" s="1">
        <f t="shared" ca="1" si="42"/>
        <v>281</v>
      </c>
      <c r="E650" s="2">
        <f t="shared" ca="1" si="43"/>
        <v>43140</v>
      </c>
      <c r="F650" s="6">
        <f t="shared" ca="1" si="44"/>
        <v>46.373457087172106</v>
      </c>
    </row>
    <row r="651" spans="1:6">
      <c r="A651" s="1">
        <v>9123247</v>
      </c>
      <c r="B651" s="1">
        <f t="shared" ca="1" si="41"/>
        <v>0.40139145837284051</v>
      </c>
      <c r="C651" s="1">
        <f t="shared" ca="1" si="40"/>
        <v>119</v>
      </c>
      <c r="D651" s="1">
        <f t="shared" ca="1" si="42"/>
        <v>184</v>
      </c>
      <c r="E651" s="2">
        <f t="shared" ca="1" si="43"/>
        <v>43066</v>
      </c>
      <c r="F651" s="6">
        <f t="shared" ca="1" si="44"/>
        <v>7.3966023033335979</v>
      </c>
    </row>
    <row r="652" spans="1:6">
      <c r="A652" s="1">
        <v>9123250</v>
      </c>
      <c r="B652" s="1">
        <f t="shared" ca="1" si="41"/>
        <v>0.61441524396622316</v>
      </c>
      <c r="C652" s="1">
        <f t="shared" ca="1" si="40"/>
        <v>9</v>
      </c>
      <c r="D652" s="1">
        <f t="shared" ca="1" si="42"/>
        <v>278</v>
      </c>
      <c r="E652" s="2">
        <f t="shared" ca="1" si="43"/>
        <v>43201</v>
      </c>
      <c r="F652" s="6">
        <f t="shared" ca="1" si="44"/>
        <v>53.894700263554135</v>
      </c>
    </row>
    <row r="653" spans="1:6">
      <c r="A653" s="1">
        <v>9123253</v>
      </c>
      <c r="B653" s="1">
        <f t="shared" ca="1" si="41"/>
        <v>0.25674720256138328</v>
      </c>
      <c r="C653" s="1">
        <f t="shared" ca="1" si="40"/>
        <v>282</v>
      </c>
      <c r="D653" s="1">
        <f t="shared" ca="1" si="42"/>
        <v>207</v>
      </c>
      <c r="E653" s="2">
        <f t="shared" ca="1" si="43"/>
        <v>43488</v>
      </c>
      <c r="F653" s="6">
        <f t="shared" ca="1" si="44"/>
        <v>13.449875427988198</v>
      </c>
    </row>
    <row r="654" spans="1:6">
      <c r="A654" s="1">
        <v>9123256</v>
      </c>
      <c r="B654" s="1">
        <f t="shared" ca="1" si="41"/>
        <v>0.10841145476473535</v>
      </c>
      <c r="C654" s="1">
        <f t="shared" ca="1" si="40"/>
        <v>27</v>
      </c>
      <c r="D654" s="1">
        <f t="shared" ca="1" si="42"/>
        <v>398</v>
      </c>
      <c r="E654" s="2">
        <f t="shared" ca="1" si="43"/>
        <v>43106</v>
      </c>
      <c r="F654" s="6">
        <f t="shared" ca="1" si="44"/>
        <v>11.350710420819693</v>
      </c>
    </row>
    <row r="655" spans="1:6">
      <c r="A655" s="1">
        <v>9123259</v>
      </c>
      <c r="B655" s="1">
        <f t="shared" ca="1" si="41"/>
        <v>0.84097501061561863</v>
      </c>
      <c r="C655" s="1">
        <f t="shared" ca="1" si="40"/>
        <v>314</v>
      </c>
      <c r="D655" s="1">
        <f t="shared" ca="1" si="42"/>
        <v>439</v>
      </c>
      <c r="E655" s="2">
        <f t="shared" ca="1" si="43"/>
        <v>42920</v>
      </c>
      <c r="F655" s="6">
        <f t="shared" ca="1" si="44"/>
        <v>25.270172821946417</v>
      </c>
    </row>
    <row r="656" spans="1:6">
      <c r="A656" s="1">
        <v>9123262</v>
      </c>
      <c r="B656" s="1">
        <f t="shared" ca="1" si="41"/>
        <v>0.14839163581697634</v>
      </c>
      <c r="C656" s="1">
        <f t="shared" ca="1" si="40"/>
        <v>47</v>
      </c>
      <c r="D656" s="1">
        <f t="shared" ca="1" si="42"/>
        <v>515</v>
      </c>
      <c r="E656" s="2">
        <f t="shared" ca="1" si="43"/>
        <v>42794</v>
      </c>
      <c r="F656" s="6">
        <f t="shared" ca="1" si="44"/>
        <v>74.570967110272775</v>
      </c>
    </row>
    <row r="657" spans="1:6">
      <c r="A657" s="1">
        <v>9123265</v>
      </c>
      <c r="B657" s="1">
        <f t="shared" ca="1" si="41"/>
        <v>0.93776175387407357</v>
      </c>
      <c r="C657" s="1">
        <f t="shared" ca="1" si="40"/>
        <v>30</v>
      </c>
      <c r="D657" s="1">
        <f t="shared" ca="1" si="42"/>
        <v>53</v>
      </c>
      <c r="E657" s="2">
        <f t="shared" ca="1" si="43"/>
        <v>43009</v>
      </c>
      <c r="F657" s="6">
        <f t="shared" ca="1" si="44"/>
        <v>74.52458572184743</v>
      </c>
    </row>
    <row r="658" spans="1:6">
      <c r="A658" s="1">
        <v>9123268</v>
      </c>
      <c r="B658" s="1">
        <f t="shared" ca="1" si="41"/>
        <v>0.27175340202448417</v>
      </c>
      <c r="C658" s="1">
        <f t="shared" ca="1" si="40"/>
        <v>64</v>
      </c>
      <c r="D658" s="1">
        <f t="shared" ca="1" si="42"/>
        <v>1</v>
      </c>
      <c r="E658" s="2">
        <f t="shared" ca="1" si="43"/>
        <v>43464</v>
      </c>
      <c r="F658" s="6">
        <f t="shared" ca="1" si="44"/>
        <v>24.242074417101755</v>
      </c>
    </row>
    <row r="659" spans="1:6">
      <c r="A659" s="1">
        <v>9123271</v>
      </c>
      <c r="B659" s="1">
        <f t="shared" ca="1" si="41"/>
        <v>0.8450221775985336</v>
      </c>
      <c r="C659" s="1">
        <f t="shared" ca="1" si="40"/>
        <v>86</v>
      </c>
      <c r="D659" s="1">
        <f t="shared" ca="1" si="42"/>
        <v>526</v>
      </c>
      <c r="E659" s="2">
        <f t="shared" ca="1" si="43"/>
        <v>42937</v>
      </c>
      <c r="F659" s="6">
        <f t="shared" ca="1" si="44"/>
        <v>71.16953784728733</v>
      </c>
    </row>
    <row r="660" spans="1:6">
      <c r="A660" s="1">
        <v>9123274</v>
      </c>
      <c r="B660" s="1">
        <f t="shared" ca="1" si="41"/>
        <v>0.66537280072564831</v>
      </c>
      <c r="C660" s="1">
        <f t="shared" ca="1" si="40"/>
        <v>3</v>
      </c>
      <c r="D660" s="1">
        <f t="shared" ca="1" si="42"/>
        <v>263</v>
      </c>
      <c r="E660" s="2">
        <f t="shared" ca="1" si="43"/>
        <v>43082</v>
      </c>
      <c r="F660" s="6">
        <f t="shared" ca="1" si="44"/>
        <v>6.4709253413029204</v>
      </c>
    </row>
    <row r="661" spans="1:6">
      <c r="A661" s="1">
        <v>9123277</v>
      </c>
      <c r="B661" s="1">
        <f t="shared" ca="1" si="41"/>
        <v>0.37251256049775394</v>
      </c>
      <c r="C661" s="1">
        <f t="shared" ca="1" si="40"/>
        <v>127</v>
      </c>
      <c r="D661" s="1">
        <f t="shared" ca="1" si="42"/>
        <v>68</v>
      </c>
      <c r="E661" s="2">
        <f t="shared" ca="1" si="43"/>
        <v>43087</v>
      </c>
      <c r="F661" s="6">
        <f t="shared" ca="1" si="44"/>
        <v>22.053170035405625</v>
      </c>
    </row>
    <row r="662" spans="1:6">
      <c r="A662" s="1">
        <v>9123280</v>
      </c>
      <c r="B662" s="1">
        <f t="shared" ca="1" si="41"/>
        <v>0.79303350130959482</v>
      </c>
      <c r="C662" s="1">
        <f t="shared" ca="1" si="40"/>
        <v>59</v>
      </c>
      <c r="D662" s="1">
        <f t="shared" ca="1" si="42"/>
        <v>95</v>
      </c>
      <c r="E662" s="2">
        <f t="shared" ca="1" si="43"/>
        <v>42936</v>
      </c>
      <c r="F662" s="6">
        <f t="shared" ca="1" si="44"/>
        <v>61.539666343426447</v>
      </c>
    </row>
    <row r="663" spans="1:6">
      <c r="A663" s="1">
        <v>9123283</v>
      </c>
      <c r="B663" s="1">
        <f t="shared" ca="1" si="41"/>
        <v>0.9856408390586</v>
      </c>
      <c r="C663" s="1">
        <f t="shared" ca="1" si="40"/>
        <v>2</v>
      </c>
      <c r="D663" s="1">
        <f t="shared" ca="1" si="42"/>
        <v>30</v>
      </c>
      <c r="E663" s="2">
        <f t="shared" ca="1" si="43"/>
        <v>43389</v>
      </c>
      <c r="F663" s="6">
        <f t="shared" ca="1" si="44"/>
        <v>33.036797425406895</v>
      </c>
    </row>
    <row r="664" spans="1:6">
      <c r="A664" s="1">
        <v>9123286</v>
      </c>
      <c r="B664" s="1">
        <f t="shared" ca="1" si="41"/>
        <v>0.52235313098070302</v>
      </c>
      <c r="C664" s="1">
        <f t="shared" ca="1" si="40"/>
        <v>40</v>
      </c>
      <c r="D664" s="1">
        <f t="shared" ca="1" si="42"/>
        <v>426</v>
      </c>
      <c r="E664" s="2">
        <f t="shared" ca="1" si="43"/>
        <v>42780</v>
      </c>
      <c r="F664" s="6">
        <f t="shared" ca="1" si="44"/>
        <v>7.578167574708778</v>
      </c>
    </row>
    <row r="665" spans="1:6">
      <c r="A665" s="1">
        <v>9123289</v>
      </c>
      <c r="B665" s="1">
        <f t="shared" ca="1" si="41"/>
        <v>0.64158885261905974</v>
      </c>
      <c r="C665" s="1">
        <f t="shared" ca="1" si="40"/>
        <v>7</v>
      </c>
      <c r="D665" s="1">
        <f t="shared" ca="1" si="42"/>
        <v>138</v>
      </c>
      <c r="E665" s="2">
        <f t="shared" ca="1" si="43"/>
        <v>42809</v>
      </c>
      <c r="F665" s="6">
        <f t="shared" ca="1" si="44"/>
        <v>4.0903844597153149</v>
      </c>
    </row>
    <row r="666" spans="1:6">
      <c r="A666" s="1">
        <v>9123292</v>
      </c>
      <c r="B666" s="1">
        <f t="shared" ca="1" si="41"/>
        <v>0.90746459335242435</v>
      </c>
      <c r="C666" s="1">
        <f t="shared" ca="1" si="40"/>
        <v>47</v>
      </c>
      <c r="D666" s="1">
        <f t="shared" ca="1" si="42"/>
        <v>515</v>
      </c>
      <c r="E666" s="2">
        <f t="shared" ca="1" si="43"/>
        <v>43383</v>
      </c>
      <c r="F666" s="6">
        <f t="shared" ca="1" si="44"/>
        <v>58.62965391126653</v>
      </c>
    </row>
    <row r="667" spans="1:6">
      <c r="A667" s="1">
        <v>9123295</v>
      </c>
      <c r="B667" s="1">
        <f t="shared" ca="1" si="41"/>
        <v>0.12260335758999852</v>
      </c>
      <c r="C667" s="1">
        <f t="shared" ref="C667:C730" ca="1" si="45">ROUND(_xlfn.GAMMA.INV(RAND(),$J$11,$J$12)*100,0)+1</f>
        <v>25</v>
      </c>
      <c r="D667" s="1">
        <f t="shared" ca="1" si="42"/>
        <v>257</v>
      </c>
      <c r="E667" s="2">
        <f t="shared" ca="1" si="43"/>
        <v>43496</v>
      </c>
      <c r="F667" s="6">
        <f t="shared" ca="1" si="44"/>
        <v>4.0236212113598224</v>
      </c>
    </row>
    <row r="668" spans="1:6">
      <c r="A668" s="1">
        <v>9123298</v>
      </c>
      <c r="B668" s="1">
        <f t="shared" ca="1" si="41"/>
        <v>0.42887874968722928</v>
      </c>
      <c r="C668" s="1">
        <f t="shared" ca="1" si="45"/>
        <v>162</v>
      </c>
      <c r="D668" s="1">
        <f t="shared" ca="1" si="42"/>
        <v>186</v>
      </c>
      <c r="E668" s="2">
        <f t="shared" ca="1" si="43"/>
        <v>43270</v>
      </c>
      <c r="F668" s="6">
        <f t="shared" ca="1" si="44"/>
        <v>20.050113758979087</v>
      </c>
    </row>
    <row r="669" spans="1:6">
      <c r="A669" s="1">
        <v>9123301</v>
      </c>
      <c r="B669" s="1">
        <f t="shared" ca="1" si="41"/>
        <v>0.88698322041665023</v>
      </c>
      <c r="C669" s="1">
        <f t="shared" ca="1" si="45"/>
        <v>15</v>
      </c>
      <c r="D669" s="1">
        <f t="shared" ca="1" si="42"/>
        <v>284</v>
      </c>
      <c r="E669" s="2">
        <f t="shared" ca="1" si="43"/>
        <v>43201</v>
      </c>
      <c r="F669" s="6">
        <f t="shared" ca="1" si="44"/>
        <v>6.6478734087662463</v>
      </c>
    </row>
    <row r="670" spans="1:6">
      <c r="A670" s="1">
        <v>9123304</v>
      </c>
      <c r="B670" s="1">
        <f t="shared" ca="1" si="41"/>
        <v>0.88760021890830643</v>
      </c>
      <c r="C670" s="1">
        <f t="shared" ca="1" si="45"/>
        <v>12</v>
      </c>
      <c r="D670" s="1">
        <f t="shared" ca="1" si="42"/>
        <v>292</v>
      </c>
      <c r="E670" s="2">
        <f t="shared" ca="1" si="43"/>
        <v>43048</v>
      </c>
      <c r="F670" s="6">
        <f t="shared" ca="1" si="44"/>
        <v>3.7551961476595386</v>
      </c>
    </row>
    <row r="671" spans="1:6">
      <c r="A671" s="1">
        <v>9123307</v>
      </c>
      <c r="B671" s="1">
        <f t="shared" ca="1" si="41"/>
        <v>0.61435372813298372</v>
      </c>
      <c r="C671" s="1">
        <f t="shared" ca="1" si="45"/>
        <v>71</v>
      </c>
      <c r="D671" s="1">
        <f t="shared" ca="1" si="42"/>
        <v>281</v>
      </c>
      <c r="E671" s="2">
        <f t="shared" ca="1" si="43"/>
        <v>43243</v>
      </c>
      <c r="F671" s="6">
        <f t="shared" ca="1" si="44"/>
        <v>9.1214207777404042</v>
      </c>
    </row>
    <row r="672" spans="1:6">
      <c r="A672" s="1">
        <v>9123310</v>
      </c>
      <c r="B672" s="1">
        <f t="shared" ca="1" si="41"/>
        <v>0.10549377238179702</v>
      </c>
      <c r="C672" s="1">
        <f t="shared" ca="1" si="45"/>
        <v>15</v>
      </c>
      <c r="D672" s="1">
        <f t="shared" ca="1" si="42"/>
        <v>284</v>
      </c>
      <c r="E672" s="2">
        <f t="shared" ca="1" si="43"/>
        <v>43138</v>
      </c>
      <c r="F672" s="6">
        <f t="shared" ca="1" si="44"/>
        <v>20.335251778992202</v>
      </c>
    </row>
    <row r="673" spans="1:6">
      <c r="A673" s="1">
        <v>9123313</v>
      </c>
      <c r="B673" s="1">
        <f t="shared" ca="1" si="41"/>
        <v>0.9319574754179335</v>
      </c>
      <c r="C673" s="1">
        <f t="shared" ca="1" si="45"/>
        <v>10</v>
      </c>
      <c r="D673" s="1">
        <f t="shared" ca="1" si="42"/>
        <v>236</v>
      </c>
      <c r="E673" s="2">
        <f t="shared" ca="1" si="43"/>
        <v>42923</v>
      </c>
      <c r="F673" s="6">
        <f t="shared" ca="1" si="44"/>
        <v>164.26241840252146</v>
      </c>
    </row>
    <row r="674" spans="1:6">
      <c r="A674" s="1">
        <v>9123316</v>
      </c>
      <c r="B674" s="1">
        <f t="shared" ca="1" si="41"/>
        <v>0.80630886579484418</v>
      </c>
      <c r="C674" s="1">
        <f t="shared" ca="1" si="45"/>
        <v>51</v>
      </c>
      <c r="D674" s="1">
        <f t="shared" ca="1" si="42"/>
        <v>93</v>
      </c>
      <c r="E674" s="2">
        <f t="shared" ca="1" si="43"/>
        <v>43174</v>
      </c>
      <c r="F674" s="6">
        <f t="shared" ca="1" si="44"/>
        <v>15.17575213875956</v>
      </c>
    </row>
    <row r="675" spans="1:6">
      <c r="A675" s="1">
        <v>9123319</v>
      </c>
      <c r="B675" s="1">
        <f t="shared" ca="1" si="41"/>
        <v>0.21254476477966433</v>
      </c>
      <c r="C675" s="1">
        <f t="shared" ca="1" si="45"/>
        <v>8</v>
      </c>
      <c r="D675" s="1">
        <f t="shared" ca="1" si="42"/>
        <v>456</v>
      </c>
      <c r="E675" s="2">
        <f t="shared" ca="1" si="43"/>
        <v>43232</v>
      </c>
      <c r="F675" s="6">
        <f t="shared" ca="1" si="44"/>
        <v>21.4551240380755</v>
      </c>
    </row>
    <row r="676" spans="1:6">
      <c r="A676" s="1">
        <v>9123322</v>
      </c>
      <c r="B676" s="1">
        <f t="shared" ca="1" si="41"/>
        <v>0.8037129746578654</v>
      </c>
      <c r="C676" s="1">
        <f t="shared" ca="1" si="45"/>
        <v>49</v>
      </c>
      <c r="D676" s="1">
        <f t="shared" ca="1" si="42"/>
        <v>26</v>
      </c>
      <c r="E676" s="2">
        <f t="shared" ca="1" si="43"/>
        <v>42954</v>
      </c>
      <c r="F676" s="6">
        <f t="shared" ca="1" si="44"/>
        <v>5.1085999249185292</v>
      </c>
    </row>
    <row r="677" spans="1:6">
      <c r="A677" s="1">
        <v>9123325</v>
      </c>
      <c r="B677" s="1">
        <f t="shared" ca="1" si="41"/>
        <v>0.38579736430716283</v>
      </c>
      <c r="C677" s="1">
        <f t="shared" ca="1" si="45"/>
        <v>1</v>
      </c>
      <c r="D677" s="1">
        <f t="shared" ca="1" si="42"/>
        <v>474</v>
      </c>
      <c r="E677" s="2">
        <f t="shared" ca="1" si="43"/>
        <v>42960</v>
      </c>
      <c r="F677" s="6">
        <f t="shared" ca="1" si="44"/>
        <v>35.304760140902253</v>
      </c>
    </row>
    <row r="678" spans="1:6">
      <c r="A678" s="1">
        <v>9123328</v>
      </c>
      <c r="B678" s="1">
        <f t="shared" ca="1" si="41"/>
        <v>0.33767669530844902</v>
      </c>
      <c r="C678" s="1">
        <f t="shared" ca="1" si="45"/>
        <v>82</v>
      </c>
      <c r="D678" s="1">
        <f t="shared" ca="1" si="42"/>
        <v>143</v>
      </c>
      <c r="E678" s="2">
        <f t="shared" ca="1" si="43"/>
        <v>43330</v>
      </c>
      <c r="F678" s="6">
        <f t="shared" ca="1" si="44"/>
        <v>41.79463524563954</v>
      </c>
    </row>
    <row r="679" spans="1:6">
      <c r="A679" s="1">
        <v>9123331</v>
      </c>
      <c r="B679" s="1">
        <f t="shared" ca="1" si="41"/>
        <v>0.41503602873379752</v>
      </c>
      <c r="C679" s="1">
        <f t="shared" ca="1" si="45"/>
        <v>29</v>
      </c>
      <c r="D679" s="1">
        <f t="shared" ca="1" si="42"/>
        <v>514</v>
      </c>
      <c r="E679" s="2">
        <f t="shared" ca="1" si="43"/>
        <v>43491</v>
      </c>
      <c r="F679" s="6">
        <f t="shared" ca="1" si="44"/>
        <v>123.86852795442439</v>
      </c>
    </row>
    <row r="680" spans="1:6">
      <c r="A680" s="1">
        <v>9123334</v>
      </c>
      <c r="B680" s="1">
        <f t="shared" ca="1" si="41"/>
        <v>0.46606919098999466</v>
      </c>
      <c r="C680" s="1">
        <f t="shared" ca="1" si="45"/>
        <v>47</v>
      </c>
      <c r="D680" s="1">
        <f t="shared" ca="1" si="42"/>
        <v>515</v>
      </c>
      <c r="E680" s="2">
        <f t="shared" ca="1" si="43"/>
        <v>43342</v>
      </c>
      <c r="F680" s="6">
        <f t="shared" ca="1" si="44"/>
        <v>70.480553095574464</v>
      </c>
    </row>
    <row r="681" spans="1:6">
      <c r="A681" s="1">
        <v>9123337</v>
      </c>
      <c r="B681" s="1">
        <f t="shared" ca="1" si="41"/>
        <v>0.59445412069879289</v>
      </c>
      <c r="C681" s="1">
        <f t="shared" ca="1" si="45"/>
        <v>217</v>
      </c>
      <c r="D681" s="1">
        <f t="shared" ca="1" si="42"/>
        <v>371</v>
      </c>
      <c r="E681" s="2">
        <f t="shared" ca="1" si="43"/>
        <v>43445</v>
      </c>
      <c r="F681" s="6">
        <f t="shared" ca="1" si="44"/>
        <v>292.34047519824492</v>
      </c>
    </row>
    <row r="682" spans="1:6">
      <c r="A682" s="1">
        <v>9123340</v>
      </c>
      <c r="B682" s="1">
        <f t="shared" ca="1" si="41"/>
        <v>0.1769690559561462</v>
      </c>
      <c r="C682" s="1">
        <f t="shared" ca="1" si="45"/>
        <v>141</v>
      </c>
      <c r="D682" s="1">
        <f t="shared" ca="1" si="42"/>
        <v>130</v>
      </c>
      <c r="E682" s="2">
        <f t="shared" ca="1" si="43"/>
        <v>43419</v>
      </c>
      <c r="F682" s="6">
        <f t="shared" ca="1" si="44"/>
        <v>7.2769096412839138</v>
      </c>
    </row>
    <row r="683" spans="1:6">
      <c r="A683" s="1">
        <v>9123343</v>
      </c>
      <c r="B683" s="1">
        <f t="shared" ca="1" si="41"/>
        <v>0.37700011178532256</v>
      </c>
      <c r="C683" s="1">
        <f t="shared" ca="1" si="45"/>
        <v>191</v>
      </c>
      <c r="D683" s="1">
        <f t="shared" ca="1" si="42"/>
        <v>31</v>
      </c>
      <c r="E683" s="2">
        <f t="shared" ca="1" si="43"/>
        <v>43245</v>
      </c>
      <c r="F683" s="6">
        <f t="shared" ca="1" si="44"/>
        <v>16.452251650541857</v>
      </c>
    </row>
    <row r="684" spans="1:6">
      <c r="A684" s="1">
        <v>9123346</v>
      </c>
      <c r="B684" s="1">
        <f t="shared" ca="1" si="41"/>
        <v>0.83191154945168755</v>
      </c>
      <c r="C684" s="1">
        <f t="shared" ca="1" si="45"/>
        <v>105</v>
      </c>
      <c r="D684" s="1">
        <f t="shared" ca="1" si="42"/>
        <v>151</v>
      </c>
      <c r="E684" s="2">
        <f t="shared" ca="1" si="43"/>
        <v>43418</v>
      </c>
      <c r="F684" s="6">
        <f t="shared" ca="1" si="44"/>
        <v>130.9552393723464</v>
      </c>
    </row>
    <row r="685" spans="1:6">
      <c r="A685" s="1">
        <v>9123349</v>
      </c>
      <c r="B685" s="1">
        <f t="shared" ca="1" si="41"/>
        <v>0.51252551854596928</v>
      </c>
      <c r="C685" s="1">
        <f t="shared" ca="1" si="45"/>
        <v>130</v>
      </c>
      <c r="D685" s="1">
        <f t="shared" ca="1" si="42"/>
        <v>385</v>
      </c>
      <c r="E685" s="2">
        <f t="shared" ca="1" si="43"/>
        <v>43191</v>
      </c>
      <c r="F685" s="6">
        <f t="shared" ca="1" si="44"/>
        <v>8.3337101130464148</v>
      </c>
    </row>
    <row r="686" spans="1:6">
      <c r="A686" s="1">
        <v>9123352</v>
      </c>
      <c r="B686" s="1">
        <f t="shared" ca="1" si="41"/>
        <v>0.44817885997325602</v>
      </c>
      <c r="C686" s="1">
        <f t="shared" ca="1" si="45"/>
        <v>38</v>
      </c>
      <c r="D686" s="1">
        <f t="shared" ca="1" si="42"/>
        <v>400</v>
      </c>
      <c r="E686" s="2">
        <f t="shared" ca="1" si="43"/>
        <v>43491</v>
      </c>
      <c r="F686" s="6">
        <f t="shared" ca="1" si="44"/>
        <v>97.208868046787941</v>
      </c>
    </row>
    <row r="687" spans="1:6">
      <c r="A687" s="1">
        <v>9123355</v>
      </c>
      <c r="B687" s="1">
        <f t="shared" ca="1" si="41"/>
        <v>0.86358890116516973</v>
      </c>
      <c r="C687" s="1">
        <f t="shared" ca="1" si="45"/>
        <v>9</v>
      </c>
      <c r="D687" s="1">
        <f t="shared" ca="1" si="42"/>
        <v>278</v>
      </c>
      <c r="E687" s="2">
        <f t="shared" ca="1" si="43"/>
        <v>43400</v>
      </c>
      <c r="F687" s="6">
        <f t="shared" ca="1" si="44"/>
        <v>173.17224217460048</v>
      </c>
    </row>
    <row r="688" spans="1:6">
      <c r="A688" s="1">
        <v>9123358</v>
      </c>
      <c r="B688" s="1">
        <f t="shared" ca="1" si="41"/>
        <v>0.9708076040605419</v>
      </c>
      <c r="C688" s="1">
        <f t="shared" ca="1" si="45"/>
        <v>60</v>
      </c>
      <c r="D688" s="1">
        <f t="shared" ca="1" si="42"/>
        <v>422</v>
      </c>
      <c r="E688" s="2">
        <f t="shared" ca="1" si="43"/>
        <v>42982</v>
      </c>
      <c r="F688" s="6">
        <f t="shared" ca="1" si="44"/>
        <v>42.489947166193993</v>
      </c>
    </row>
    <row r="689" spans="1:6">
      <c r="A689" s="1">
        <v>9123361</v>
      </c>
      <c r="B689" s="1">
        <f t="shared" ca="1" si="41"/>
        <v>0.3808859716013373</v>
      </c>
      <c r="C689" s="1">
        <f t="shared" ca="1" si="45"/>
        <v>7</v>
      </c>
      <c r="D689" s="1">
        <f t="shared" ca="1" si="42"/>
        <v>138</v>
      </c>
      <c r="E689" s="2">
        <f t="shared" ca="1" si="43"/>
        <v>43347</v>
      </c>
      <c r="F689" s="6">
        <f t="shared" ca="1" si="44"/>
        <v>34.933148724691648</v>
      </c>
    </row>
    <row r="690" spans="1:6">
      <c r="A690" s="1">
        <v>9123364</v>
      </c>
      <c r="B690" s="1">
        <f t="shared" ca="1" si="41"/>
        <v>0.33761914470396626</v>
      </c>
      <c r="C690" s="1">
        <f t="shared" ca="1" si="45"/>
        <v>47</v>
      </c>
      <c r="D690" s="1">
        <f t="shared" ca="1" si="42"/>
        <v>515</v>
      </c>
      <c r="E690" s="2">
        <f t="shared" ca="1" si="43"/>
        <v>43161</v>
      </c>
      <c r="F690" s="6">
        <f t="shared" ca="1" si="44"/>
        <v>43.548730298955029</v>
      </c>
    </row>
    <row r="691" spans="1:6">
      <c r="A691" s="1">
        <v>9123367</v>
      </c>
      <c r="B691" s="1">
        <f t="shared" ca="1" si="41"/>
        <v>0.79078632336267973</v>
      </c>
      <c r="C691" s="1">
        <f t="shared" ca="1" si="45"/>
        <v>45</v>
      </c>
      <c r="D691" s="1">
        <f t="shared" ca="1" si="42"/>
        <v>482</v>
      </c>
      <c r="E691" s="2">
        <f t="shared" ca="1" si="43"/>
        <v>43160</v>
      </c>
      <c r="F691" s="6">
        <f t="shared" ca="1" si="44"/>
        <v>11.774490270226796</v>
      </c>
    </row>
    <row r="692" spans="1:6">
      <c r="A692" s="1">
        <v>9123370</v>
      </c>
      <c r="B692" s="1">
        <f t="shared" ca="1" si="41"/>
        <v>0.90103911774283452</v>
      </c>
      <c r="C692" s="1">
        <f t="shared" ca="1" si="45"/>
        <v>21</v>
      </c>
      <c r="D692" s="1">
        <f t="shared" ca="1" si="42"/>
        <v>566</v>
      </c>
      <c r="E692" s="2">
        <f t="shared" ca="1" si="43"/>
        <v>43184</v>
      </c>
      <c r="F692" s="6">
        <f t="shared" ca="1" si="44"/>
        <v>74.639602713039352</v>
      </c>
    </row>
    <row r="693" spans="1:6">
      <c r="A693" s="1">
        <v>9123373</v>
      </c>
      <c r="B693" s="1">
        <f t="shared" ca="1" si="41"/>
        <v>0.55612418605076896</v>
      </c>
      <c r="C693" s="1">
        <f t="shared" ca="1" si="45"/>
        <v>66</v>
      </c>
      <c r="D693" s="1">
        <f t="shared" ca="1" si="42"/>
        <v>128</v>
      </c>
      <c r="E693" s="2">
        <f t="shared" ca="1" si="43"/>
        <v>42822</v>
      </c>
      <c r="F693" s="6">
        <f t="shared" ca="1" si="44"/>
        <v>3.7290036542872045</v>
      </c>
    </row>
    <row r="694" spans="1:6">
      <c r="A694" s="1">
        <v>9123376</v>
      </c>
      <c r="B694" s="1">
        <f t="shared" ca="1" si="41"/>
        <v>0.34545189197030568</v>
      </c>
      <c r="C694" s="1">
        <f t="shared" ca="1" si="45"/>
        <v>12</v>
      </c>
      <c r="D694" s="1">
        <f t="shared" ca="1" si="42"/>
        <v>292</v>
      </c>
      <c r="E694" s="2">
        <f t="shared" ca="1" si="43"/>
        <v>43425</v>
      </c>
      <c r="F694" s="6">
        <f t="shared" ca="1" si="44"/>
        <v>131.57381824157358</v>
      </c>
    </row>
    <row r="695" spans="1:6">
      <c r="A695" s="1">
        <v>9123379</v>
      </c>
      <c r="B695" s="1">
        <f t="shared" ca="1" si="41"/>
        <v>0.27829943774100352</v>
      </c>
      <c r="C695" s="1">
        <f t="shared" ca="1" si="45"/>
        <v>17</v>
      </c>
      <c r="D695" s="1">
        <f t="shared" ca="1" si="42"/>
        <v>165</v>
      </c>
      <c r="E695" s="2">
        <f t="shared" ca="1" si="43"/>
        <v>42764</v>
      </c>
      <c r="F695" s="6">
        <f t="shared" ca="1" si="44"/>
        <v>130.84179248513789</v>
      </c>
    </row>
    <row r="696" spans="1:6">
      <c r="A696" s="1">
        <v>9123382</v>
      </c>
      <c r="B696" s="1">
        <f t="shared" ca="1" si="41"/>
        <v>0.21467190638717548</v>
      </c>
      <c r="C696" s="1">
        <f t="shared" ca="1" si="45"/>
        <v>363</v>
      </c>
      <c r="D696" s="1">
        <f t="shared" ca="1" si="42"/>
        <v>395</v>
      </c>
      <c r="E696" s="2">
        <f t="shared" ca="1" si="43"/>
        <v>42937</v>
      </c>
      <c r="F696" s="6">
        <f t="shared" ca="1" si="44"/>
        <v>3.2326779881240997</v>
      </c>
    </row>
    <row r="697" spans="1:6">
      <c r="A697" s="1">
        <v>9123385</v>
      </c>
      <c r="B697" s="1">
        <f t="shared" ca="1" si="41"/>
        <v>0.27148043932331911</v>
      </c>
      <c r="C697" s="1">
        <f t="shared" ca="1" si="45"/>
        <v>35</v>
      </c>
      <c r="D697" s="1">
        <f t="shared" ca="1" si="42"/>
        <v>423</v>
      </c>
      <c r="E697" s="2">
        <f t="shared" ca="1" si="43"/>
        <v>43371</v>
      </c>
      <c r="F697" s="6">
        <f t="shared" ca="1" si="44"/>
        <v>38.708746437094952</v>
      </c>
    </row>
    <row r="698" spans="1:6">
      <c r="A698" s="1">
        <v>9123388</v>
      </c>
      <c r="B698" s="1">
        <f t="shared" ca="1" si="41"/>
        <v>0.34341705877328899</v>
      </c>
      <c r="C698" s="1">
        <f t="shared" ca="1" si="45"/>
        <v>57</v>
      </c>
      <c r="D698" s="1">
        <f t="shared" ca="1" si="42"/>
        <v>24</v>
      </c>
      <c r="E698" s="2">
        <f t="shared" ca="1" si="43"/>
        <v>43266</v>
      </c>
      <c r="F698" s="6">
        <f t="shared" ca="1" si="44"/>
        <v>10.57171186249203</v>
      </c>
    </row>
    <row r="699" spans="1:6">
      <c r="A699" s="1">
        <v>9123391</v>
      </c>
      <c r="B699" s="1">
        <f t="shared" ca="1" si="41"/>
        <v>0.51461459371955209</v>
      </c>
      <c r="C699" s="1">
        <f t="shared" ca="1" si="45"/>
        <v>450</v>
      </c>
      <c r="D699" s="1">
        <f t="shared" ca="1" si="42"/>
        <v>11</v>
      </c>
      <c r="E699" s="2">
        <f t="shared" ca="1" si="43"/>
        <v>42804</v>
      </c>
      <c r="F699" s="6">
        <f t="shared" ca="1" si="44"/>
        <v>15.327998536963211</v>
      </c>
    </row>
    <row r="700" spans="1:6">
      <c r="A700" s="1">
        <v>9123394</v>
      </c>
      <c r="B700" s="1">
        <f t="shared" ca="1" si="41"/>
        <v>0.59590327879932792</v>
      </c>
      <c r="C700" s="1">
        <f t="shared" ca="1" si="45"/>
        <v>4</v>
      </c>
      <c r="D700" s="1">
        <f t="shared" ca="1" si="42"/>
        <v>493</v>
      </c>
      <c r="E700" s="2">
        <f t="shared" ca="1" si="43"/>
        <v>43104</v>
      </c>
      <c r="F700" s="6">
        <f t="shared" ca="1" si="44"/>
        <v>10.555788961251263</v>
      </c>
    </row>
    <row r="701" spans="1:6">
      <c r="A701" s="1">
        <v>9123397</v>
      </c>
      <c r="B701" s="1">
        <f t="shared" ca="1" si="41"/>
        <v>0.24249839434458853</v>
      </c>
      <c r="C701" s="1">
        <f t="shared" ca="1" si="45"/>
        <v>4</v>
      </c>
      <c r="D701" s="1">
        <f t="shared" ca="1" si="42"/>
        <v>493</v>
      </c>
      <c r="E701" s="2">
        <f t="shared" ca="1" si="43"/>
        <v>43241</v>
      </c>
      <c r="F701" s="6">
        <f t="shared" ca="1" si="44"/>
        <v>15.491110961738496</v>
      </c>
    </row>
    <row r="702" spans="1:6">
      <c r="A702" s="1">
        <v>9123400</v>
      </c>
      <c r="B702" s="1">
        <f t="shared" ca="1" si="41"/>
        <v>0.38173709487522134</v>
      </c>
      <c r="C702" s="1">
        <f t="shared" ca="1" si="45"/>
        <v>5</v>
      </c>
      <c r="D702" s="1">
        <f t="shared" ca="1" si="42"/>
        <v>363</v>
      </c>
      <c r="E702" s="2">
        <f t="shared" ca="1" si="43"/>
        <v>43270</v>
      </c>
      <c r="F702" s="6">
        <f t="shared" ca="1" si="44"/>
        <v>24.289372697942746</v>
      </c>
    </row>
    <row r="703" spans="1:6">
      <c r="A703" s="1">
        <v>9123403</v>
      </c>
      <c r="B703" s="1">
        <f t="shared" ca="1" si="41"/>
        <v>0.47015747321840762</v>
      </c>
      <c r="C703" s="1">
        <f t="shared" ca="1" si="45"/>
        <v>173</v>
      </c>
      <c r="D703" s="1">
        <f t="shared" ca="1" si="42"/>
        <v>523</v>
      </c>
      <c r="E703" s="2">
        <f t="shared" ca="1" si="43"/>
        <v>43040</v>
      </c>
      <c r="F703" s="6">
        <f t="shared" ca="1" si="44"/>
        <v>37.103061781020436</v>
      </c>
    </row>
    <row r="704" spans="1:6">
      <c r="A704" s="1">
        <v>9123406</v>
      </c>
      <c r="B704" s="1">
        <f t="shared" ca="1" si="41"/>
        <v>0.98335557823837549</v>
      </c>
      <c r="C704" s="1">
        <f t="shared" ca="1" si="45"/>
        <v>25</v>
      </c>
      <c r="D704" s="1">
        <f t="shared" ca="1" si="42"/>
        <v>257</v>
      </c>
      <c r="E704" s="2">
        <f t="shared" ca="1" si="43"/>
        <v>43166</v>
      </c>
      <c r="F704" s="6">
        <f t="shared" ca="1" si="44"/>
        <v>19.356201709678409</v>
      </c>
    </row>
    <row r="705" spans="1:6">
      <c r="A705" s="1">
        <v>9123409</v>
      </c>
      <c r="B705" s="1">
        <f t="shared" ca="1" si="41"/>
        <v>0.54409388682730031</v>
      </c>
      <c r="C705" s="1">
        <f t="shared" ca="1" si="45"/>
        <v>167</v>
      </c>
      <c r="D705" s="1">
        <f t="shared" ca="1" si="42"/>
        <v>443</v>
      </c>
      <c r="E705" s="2">
        <f t="shared" ca="1" si="43"/>
        <v>42844</v>
      </c>
      <c r="F705" s="6">
        <f t="shared" ca="1" si="44"/>
        <v>85.763080707628149</v>
      </c>
    </row>
    <row r="706" spans="1:6">
      <c r="A706" s="1">
        <v>9123412</v>
      </c>
      <c r="B706" s="1">
        <f t="shared" ref="B706:B769" ca="1" si="46">RAND()</f>
        <v>0.61617834588396214</v>
      </c>
      <c r="C706" s="1">
        <f t="shared" ca="1" si="45"/>
        <v>112</v>
      </c>
      <c r="D706" s="1">
        <f t="shared" ca="1" si="42"/>
        <v>582</v>
      </c>
      <c r="E706" s="2">
        <f t="shared" ca="1" si="43"/>
        <v>43365</v>
      </c>
      <c r="F706" s="6">
        <f t="shared" ca="1" si="44"/>
        <v>28.499293767843863</v>
      </c>
    </row>
    <row r="707" spans="1:6">
      <c r="A707" s="1">
        <v>9123415</v>
      </c>
      <c r="B707" s="1">
        <f t="shared" ca="1" si="46"/>
        <v>0.2061704044069933</v>
      </c>
      <c r="C707" s="1">
        <f t="shared" ca="1" si="45"/>
        <v>7</v>
      </c>
      <c r="D707" s="1">
        <f t="shared" ref="D707:D770" ca="1" si="47">VLOOKUP(SMALL($B$2:$B$601,C707),$B$2:$C$601,2,FALSE)</f>
        <v>138</v>
      </c>
      <c r="E707" s="2">
        <f t="shared" ref="E707:E770" ca="1" si="48">RANDBETWEEN("1/1/17","2/1/19")</f>
        <v>43067</v>
      </c>
      <c r="F707" s="6">
        <f t="shared" ref="F707:F770" ca="1" si="49">_xlfn.GAMMA.INV(RAND(),$J$6,$J$7)*100+3</f>
        <v>36.429344941869672</v>
      </c>
    </row>
    <row r="708" spans="1:6">
      <c r="A708" s="1">
        <v>9123418</v>
      </c>
      <c r="B708" s="1">
        <f t="shared" ca="1" si="46"/>
        <v>0.92247322957067512</v>
      </c>
      <c r="C708" s="1">
        <f t="shared" ca="1" si="45"/>
        <v>3</v>
      </c>
      <c r="D708" s="1">
        <f t="shared" ca="1" si="47"/>
        <v>263</v>
      </c>
      <c r="E708" s="2">
        <f t="shared" ca="1" si="48"/>
        <v>43212</v>
      </c>
      <c r="F708" s="6">
        <f t="shared" ca="1" si="49"/>
        <v>37.776784207577158</v>
      </c>
    </row>
    <row r="709" spans="1:6">
      <c r="A709" s="1">
        <v>9123421</v>
      </c>
      <c r="B709" s="1">
        <f t="shared" ca="1" si="46"/>
        <v>0.85605992813404519</v>
      </c>
      <c r="C709" s="1">
        <f t="shared" ca="1" si="45"/>
        <v>15</v>
      </c>
      <c r="D709" s="1">
        <f t="shared" ca="1" si="47"/>
        <v>284</v>
      </c>
      <c r="E709" s="2">
        <f t="shared" ca="1" si="48"/>
        <v>42983</v>
      </c>
      <c r="F709" s="6">
        <f t="shared" ca="1" si="49"/>
        <v>3.2130158631943857</v>
      </c>
    </row>
    <row r="710" spans="1:6">
      <c r="A710" s="1">
        <v>9123424</v>
      </c>
      <c r="B710" s="1">
        <f t="shared" ca="1" si="46"/>
        <v>0.28900864670777271</v>
      </c>
      <c r="C710" s="1">
        <f t="shared" ca="1" si="45"/>
        <v>7</v>
      </c>
      <c r="D710" s="1">
        <f t="shared" ca="1" si="47"/>
        <v>138</v>
      </c>
      <c r="E710" s="2">
        <f t="shared" ca="1" si="48"/>
        <v>42760</v>
      </c>
      <c r="F710" s="6">
        <f t="shared" ca="1" si="49"/>
        <v>45.974047693494896</v>
      </c>
    </row>
    <row r="711" spans="1:6">
      <c r="A711" s="1">
        <v>9123427</v>
      </c>
      <c r="B711" s="1">
        <f t="shared" ca="1" si="46"/>
        <v>0.19189675927763172</v>
      </c>
      <c r="C711" s="1">
        <f t="shared" ca="1" si="45"/>
        <v>1</v>
      </c>
      <c r="D711" s="1">
        <f t="shared" ca="1" si="47"/>
        <v>474</v>
      </c>
      <c r="E711" s="2">
        <f t="shared" ca="1" si="48"/>
        <v>42930</v>
      </c>
      <c r="F711" s="6">
        <f t="shared" ca="1" si="49"/>
        <v>19.18431672442529</v>
      </c>
    </row>
    <row r="712" spans="1:6">
      <c r="A712" s="1">
        <v>9123430</v>
      </c>
      <c r="B712" s="1">
        <f t="shared" ca="1" si="46"/>
        <v>9.9059829991114512E-2</v>
      </c>
      <c r="C712" s="1">
        <f t="shared" ca="1" si="45"/>
        <v>85</v>
      </c>
      <c r="D712" s="1">
        <f t="shared" ca="1" si="47"/>
        <v>81</v>
      </c>
      <c r="E712" s="2">
        <f t="shared" ca="1" si="48"/>
        <v>43345</v>
      </c>
      <c r="F712" s="6">
        <f t="shared" ca="1" si="49"/>
        <v>5.9120268788775876</v>
      </c>
    </row>
    <row r="713" spans="1:6">
      <c r="A713" s="1">
        <v>9123433</v>
      </c>
      <c r="B713" s="1">
        <f t="shared" ca="1" si="46"/>
        <v>0.91290731564042693</v>
      </c>
      <c r="C713" s="1">
        <f t="shared" ca="1" si="45"/>
        <v>321</v>
      </c>
      <c r="D713" s="1">
        <f t="shared" ca="1" si="47"/>
        <v>358</v>
      </c>
      <c r="E713" s="2">
        <f t="shared" ca="1" si="48"/>
        <v>42810</v>
      </c>
      <c r="F713" s="6">
        <f t="shared" ca="1" si="49"/>
        <v>39.782372909384037</v>
      </c>
    </row>
    <row r="714" spans="1:6">
      <c r="A714" s="1">
        <v>9123436</v>
      </c>
      <c r="B714" s="1">
        <f t="shared" ca="1" si="46"/>
        <v>0.30968980586053663</v>
      </c>
      <c r="C714" s="1">
        <f t="shared" ca="1" si="45"/>
        <v>12</v>
      </c>
      <c r="D714" s="1">
        <f t="shared" ca="1" si="47"/>
        <v>292</v>
      </c>
      <c r="E714" s="2">
        <f t="shared" ca="1" si="48"/>
        <v>42817</v>
      </c>
      <c r="F714" s="6">
        <f t="shared" ca="1" si="49"/>
        <v>5.3357536407219452</v>
      </c>
    </row>
    <row r="715" spans="1:6">
      <c r="A715" s="1">
        <v>9123439</v>
      </c>
      <c r="B715" s="1">
        <f t="shared" ca="1" si="46"/>
        <v>0.25843348315185555</v>
      </c>
      <c r="C715" s="1">
        <f t="shared" ca="1" si="45"/>
        <v>110</v>
      </c>
      <c r="D715" s="1">
        <f t="shared" ca="1" si="47"/>
        <v>144</v>
      </c>
      <c r="E715" s="2">
        <f t="shared" ca="1" si="48"/>
        <v>43206</v>
      </c>
      <c r="F715" s="6">
        <f t="shared" ca="1" si="49"/>
        <v>9.8695107829845465</v>
      </c>
    </row>
    <row r="716" spans="1:6">
      <c r="A716" s="1">
        <v>9123442</v>
      </c>
      <c r="B716" s="1">
        <f t="shared" ca="1" si="46"/>
        <v>0.61017120511718981</v>
      </c>
      <c r="C716" s="1">
        <f t="shared" ca="1" si="45"/>
        <v>36</v>
      </c>
      <c r="D716" s="1">
        <f t="shared" ca="1" si="47"/>
        <v>529</v>
      </c>
      <c r="E716" s="2">
        <f t="shared" ca="1" si="48"/>
        <v>42885</v>
      </c>
      <c r="F716" s="6">
        <f t="shared" ca="1" si="49"/>
        <v>6.2330436722666853</v>
      </c>
    </row>
    <row r="717" spans="1:6">
      <c r="A717" s="1">
        <v>9123445</v>
      </c>
      <c r="B717" s="1">
        <f t="shared" ca="1" si="46"/>
        <v>0.11061824347660887</v>
      </c>
      <c r="C717" s="1">
        <f t="shared" ca="1" si="45"/>
        <v>3</v>
      </c>
      <c r="D717" s="1">
        <f t="shared" ca="1" si="47"/>
        <v>263</v>
      </c>
      <c r="E717" s="2">
        <f t="shared" ca="1" si="48"/>
        <v>42963</v>
      </c>
      <c r="F717" s="6">
        <f t="shared" ca="1" si="49"/>
        <v>107.61980012499544</v>
      </c>
    </row>
    <row r="718" spans="1:6">
      <c r="A718" s="1">
        <v>9123448</v>
      </c>
      <c r="B718" s="1">
        <f t="shared" ca="1" si="46"/>
        <v>0.80031926742398996</v>
      </c>
      <c r="C718" s="1">
        <f t="shared" ca="1" si="45"/>
        <v>68</v>
      </c>
      <c r="D718" s="1">
        <f t="shared" ca="1" si="47"/>
        <v>467</v>
      </c>
      <c r="E718" s="2">
        <f t="shared" ca="1" si="48"/>
        <v>43127</v>
      </c>
      <c r="F718" s="6">
        <f t="shared" ca="1" si="49"/>
        <v>17.73391382206637</v>
      </c>
    </row>
    <row r="719" spans="1:6">
      <c r="A719" s="1">
        <v>9123451</v>
      </c>
      <c r="B719" s="1">
        <f t="shared" ca="1" si="46"/>
        <v>0.73827544919021726</v>
      </c>
      <c r="C719" s="1">
        <f t="shared" ca="1" si="45"/>
        <v>94</v>
      </c>
      <c r="D719" s="1">
        <f t="shared" ca="1" si="47"/>
        <v>87</v>
      </c>
      <c r="E719" s="2">
        <f t="shared" ca="1" si="48"/>
        <v>42759</v>
      </c>
      <c r="F719" s="6">
        <f t="shared" ca="1" si="49"/>
        <v>36.468369450907943</v>
      </c>
    </row>
    <row r="720" spans="1:6">
      <c r="A720" s="1">
        <v>9123454</v>
      </c>
      <c r="B720" s="1">
        <f t="shared" ca="1" si="46"/>
        <v>0.55486788999272363</v>
      </c>
      <c r="C720" s="1">
        <f t="shared" ca="1" si="45"/>
        <v>2</v>
      </c>
      <c r="D720" s="1">
        <f t="shared" ca="1" si="47"/>
        <v>30</v>
      </c>
      <c r="E720" s="2">
        <f t="shared" ca="1" si="48"/>
        <v>43055</v>
      </c>
      <c r="F720" s="6">
        <f t="shared" ca="1" si="49"/>
        <v>21.00533208041438</v>
      </c>
    </row>
    <row r="721" spans="1:6">
      <c r="A721" s="1">
        <v>9123457</v>
      </c>
      <c r="B721" s="1">
        <f t="shared" ca="1" si="46"/>
        <v>0.66789588676289868</v>
      </c>
      <c r="C721" s="1">
        <f t="shared" ca="1" si="45"/>
        <v>27</v>
      </c>
      <c r="D721" s="1">
        <f t="shared" ca="1" si="47"/>
        <v>398</v>
      </c>
      <c r="E721" s="2">
        <f t="shared" ca="1" si="48"/>
        <v>43136</v>
      </c>
      <c r="F721" s="6">
        <f t="shared" ca="1" si="49"/>
        <v>17.557176443812065</v>
      </c>
    </row>
    <row r="722" spans="1:6">
      <c r="A722" s="1">
        <v>9123460</v>
      </c>
      <c r="B722" s="1">
        <f t="shared" ca="1" si="46"/>
        <v>0.41091432774725678</v>
      </c>
      <c r="C722" s="1">
        <f t="shared" ca="1" si="45"/>
        <v>63</v>
      </c>
      <c r="D722" s="1">
        <f t="shared" ca="1" si="47"/>
        <v>571</v>
      </c>
      <c r="E722" s="2">
        <f t="shared" ca="1" si="48"/>
        <v>42951</v>
      </c>
      <c r="F722" s="6">
        <f t="shared" ca="1" si="49"/>
        <v>4.1430187393842468</v>
      </c>
    </row>
    <row r="723" spans="1:6">
      <c r="A723" s="1">
        <v>9123463</v>
      </c>
      <c r="B723" s="1">
        <f t="shared" ca="1" si="46"/>
        <v>0.53454879450681292</v>
      </c>
      <c r="C723" s="1">
        <f t="shared" ca="1" si="45"/>
        <v>149</v>
      </c>
      <c r="D723" s="1">
        <f t="shared" ca="1" si="47"/>
        <v>579</v>
      </c>
      <c r="E723" s="2">
        <f t="shared" ca="1" si="48"/>
        <v>43452</v>
      </c>
      <c r="F723" s="6">
        <f t="shared" ca="1" si="49"/>
        <v>62.754349849296176</v>
      </c>
    </row>
    <row r="724" spans="1:6">
      <c r="A724" s="1">
        <v>9123466</v>
      </c>
      <c r="B724" s="1">
        <f t="shared" ca="1" si="46"/>
        <v>0.3186337889385662</v>
      </c>
      <c r="C724" s="1">
        <f t="shared" ca="1" si="45"/>
        <v>10</v>
      </c>
      <c r="D724" s="1">
        <f t="shared" ca="1" si="47"/>
        <v>236</v>
      </c>
      <c r="E724" s="2">
        <f t="shared" ca="1" si="48"/>
        <v>43342</v>
      </c>
      <c r="F724" s="6">
        <f t="shared" ca="1" si="49"/>
        <v>191.48953720764391</v>
      </c>
    </row>
    <row r="725" spans="1:6">
      <c r="A725" s="1">
        <v>9123469</v>
      </c>
      <c r="B725" s="1">
        <f t="shared" ca="1" si="46"/>
        <v>0.9642122214309331</v>
      </c>
      <c r="C725" s="1">
        <f t="shared" ca="1" si="45"/>
        <v>2</v>
      </c>
      <c r="D725" s="1">
        <f t="shared" ca="1" si="47"/>
        <v>30</v>
      </c>
      <c r="E725" s="2">
        <f t="shared" ca="1" si="48"/>
        <v>43050</v>
      </c>
      <c r="F725" s="6">
        <f t="shared" ca="1" si="49"/>
        <v>3.7783650525223047</v>
      </c>
    </row>
    <row r="726" spans="1:6">
      <c r="A726" s="1">
        <v>9123472</v>
      </c>
      <c r="B726" s="1">
        <f t="shared" ca="1" si="46"/>
        <v>0.27609543533688574</v>
      </c>
      <c r="C726" s="1">
        <f t="shared" ca="1" si="45"/>
        <v>24</v>
      </c>
      <c r="D726" s="1">
        <f t="shared" ca="1" si="47"/>
        <v>334</v>
      </c>
      <c r="E726" s="2">
        <f t="shared" ca="1" si="48"/>
        <v>43029</v>
      </c>
      <c r="F726" s="6">
        <f t="shared" ca="1" si="49"/>
        <v>5.2155047376278247</v>
      </c>
    </row>
    <row r="727" spans="1:6">
      <c r="A727" s="1">
        <v>9123475</v>
      </c>
      <c r="B727" s="1">
        <f t="shared" ca="1" si="46"/>
        <v>0.51542095834701918</v>
      </c>
      <c r="C727" s="1">
        <f t="shared" ca="1" si="45"/>
        <v>1</v>
      </c>
      <c r="D727" s="1">
        <f t="shared" ca="1" si="47"/>
        <v>474</v>
      </c>
      <c r="E727" s="2">
        <f t="shared" ca="1" si="48"/>
        <v>43092</v>
      </c>
      <c r="F727" s="6">
        <f t="shared" ca="1" si="49"/>
        <v>55.808018812949612</v>
      </c>
    </row>
    <row r="728" spans="1:6">
      <c r="A728" s="1">
        <v>9123478</v>
      </c>
      <c r="B728" s="1">
        <f t="shared" ca="1" si="46"/>
        <v>0.22076527923247147</v>
      </c>
      <c r="C728" s="1">
        <f t="shared" ca="1" si="45"/>
        <v>264</v>
      </c>
      <c r="D728" s="1">
        <f t="shared" ca="1" si="47"/>
        <v>237</v>
      </c>
      <c r="E728" s="2">
        <f t="shared" ca="1" si="48"/>
        <v>43123</v>
      </c>
      <c r="F728" s="6">
        <f t="shared" ca="1" si="49"/>
        <v>36.869121964650851</v>
      </c>
    </row>
    <row r="729" spans="1:6">
      <c r="A729" s="1">
        <v>9123481</v>
      </c>
      <c r="B729" s="1">
        <f t="shared" ca="1" si="46"/>
        <v>0.23541644028876751</v>
      </c>
      <c r="C729" s="1">
        <f t="shared" ca="1" si="45"/>
        <v>5</v>
      </c>
      <c r="D729" s="1">
        <f t="shared" ca="1" si="47"/>
        <v>363</v>
      </c>
      <c r="E729" s="2">
        <f t="shared" ca="1" si="48"/>
        <v>43478</v>
      </c>
      <c r="F729" s="6">
        <f t="shared" ca="1" si="49"/>
        <v>79.71990602298024</v>
      </c>
    </row>
    <row r="730" spans="1:6">
      <c r="A730" s="1">
        <v>9123484</v>
      </c>
      <c r="B730" s="1">
        <f t="shared" ca="1" si="46"/>
        <v>0.93933767216495134</v>
      </c>
      <c r="C730" s="1">
        <f t="shared" ca="1" si="45"/>
        <v>126</v>
      </c>
      <c r="D730" s="1">
        <f t="shared" ca="1" si="47"/>
        <v>587</v>
      </c>
      <c r="E730" s="2">
        <f t="shared" ca="1" si="48"/>
        <v>42899</v>
      </c>
      <c r="F730" s="6">
        <f t="shared" ca="1" si="49"/>
        <v>4.4596161940915495</v>
      </c>
    </row>
    <row r="731" spans="1:6">
      <c r="A731" s="1">
        <v>9123487</v>
      </c>
      <c r="B731" s="1">
        <f t="shared" ca="1" si="46"/>
        <v>0.13588836631874579</v>
      </c>
      <c r="C731" s="1">
        <f t="shared" ref="C731:C794" ca="1" si="50">ROUND(_xlfn.GAMMA.INV(RAND(),$J$11,$J$12)*100,0)+1</f>
        <v>6</v>
      </c>
      <c r="D731" s="1">
        <f t="shared" ca="1" si="47"/>
        <v>208</v>
      </c>
      <c r="E731" s="2">
        <f t="shared" ca="1" si="48"/>
        <v>42762</v>
      </c>
      <c r="F731" s="6">
        <f t="shared" ca="1" si="49"/>
        <v>29.992756722337962</v>
      </c>
    </row>
    <row r="732" spans="1:6">
      <c r="A732" s="1">
        <v>9123490</v>
      </c>
      <c r="B732" s="1">
        <f t="shared" ca="1" si="46"/>
        <v>0.1853292205606244</v>
      </c>
      <c r="C732" s="1">
        <f t="shared" ca="1" si="50"/>
        <v>2</v>
      </c>
      <c r="D732" s="1">
        <f t="shared" ca="1" si="47"/>
        <v>30</v>
      </c>
      <c r="E732" s="2">
        <f t="shared" ca="1" si="48"/>
        <v>43433</v>
      </c>
      <c r="F732" s="6">
        <f t="shared" ca="1" si="49"/>
        <v>13.585094025355508</v>
      </c>
    </row>
    <row r="733" spans="1:6">
      <c r="A733" s="1">
        <v>9123493</v>
      </c>
      <c r="B733" s="1">
        <f t="shared" ca="1" si="46"/>
        <v>0.93966863114975119</v>
      </c>
      <c r="C733" s="1">
        <f t="shared" ca="1" si="50"/>
        <v>132</v>
      </c>
      <c r="D733" s="1">
        <f t="shared" ca="1" si="47"/>
        <v>32</v>
      </c>
      <c r="E733" s="2">
        <f t="shared" ca="1" si="48"/>
        <v>42926</v>
      </c>
      <c r="F733" s="6">
        <f t="shared" ca="1" si="49"/>
        <v>255.62088892689599</v>
      </c>
    </row>
    <row r="734" spans="1:6">
      <c r="A734" s="1">
        <v>9123496</v>
      </c>
      <c r="B734" s="1">
        <f t="shared" ca="1" si="46"/>
        <v>0.61488521658754691</v>
      </c>
      <c r="C734" s="1">
        <f t="shared" ca="1" si="50"/>
        <v>2</v>
      </c>
      <c r="D734" s="1">
        <f t="shared" ca="1" si="47"/>
        <v>30</v>
      </c>
      <c r="E734" s="2">
        <f t="shared" ca="1" si="48"/>
        <v>43275</v>
      </c>
      <c r="F734" s="6">
        <f t="shared" ca="1" si="49"/>
        <v>63.046153153223855</v>
      </c>
    </row>
    <row r="735" spans="1:6">
      <c r="A735" s="1">
        <v>9123499</v>
      </c>
      <c r="B735" s="1">
        <f t="shared" ca="1" si="46"/>
        <v>0.9344685320201771</v>
      </c>
      <c r="C735" s="1">
        <f t="shared" ca="1" si="50"/>
        <v>4</v>
      </c>
      <c r="D735" s="1">
        <f t="shared" ca="1" si="47"/>
        <v>493</v>
      </c>
      <c r="E735" s="2">
        <f t="shared" ca="1" si="48"/>
        <v>43248</v>
      </c>
      <c r="F735" s="6">
        <f t="shared" ca="1" si="49"/>
        <v>21.417208312388794</v>
      </c>
    </row>
    <row r="736" spans="1:6">
      <c r="A736" s="1">
        <v>9123502</v>
      </c>
      <c r="B736" s="1">
        <f t="shared" ca="1" si="46"/>
        <v>0.3625561124930754</v>
      </c>
      <c r="C736" s="1">
        <f t="shared" ca="1" si="50"/>
        <v>30</v>
      </c>
      <c r="D736" s="1">
        <f t="shared" ca="1" si="47"/>
        <v>53</v>
      </c>
      <c r="E736" s="2">
        <f t="shared" ca="1" si="48"/>
        <v>43293</v>
      </c>
      <c r="F736" s="6">
        <f t="shared" ca="1" si="49"/>
        <v>80.169877898089041</v>
      </c>
    </row>
    <row r="737" spans="1:6">
      <c r="A737" s="1">
        <v>9123505</v>
      </c>
      <c r="B737" s="1">
        <f t="shared" ca="1" si="46"/>
        <v>0.38557171204697227</v>
      </c>
      <c r="C737" s="1">
        <f t="shared" ca="1" si="50"/>
        <v>25</v>
      </c>
      <c r="D737" s="1">
        <f t="shared" ca="1" si="47"/>
        <v>257</v>
      </c>
      <c r="E737" s="2">
        <f t="shared" ca="1" si="48"/>
        <v>42886</v>
      </c>
      <c r="F737" s="6">
        <f t="shared" ca="1" si="49"/>
        <v>3.67077829630687</v>
      </c>
    </row>
    <row r="738" spans="1:6">
      <c r="A738" s="1">
        <v>9123508</v>
      </c>
      <c r="B738" s="1">
        <f t="shared" ca="1" si="46"/>
        <v>3.5946434776458869E-2</v>
      </c>
      <c r="C738" s="1">
        <f t="shared" ca="1" si="50"/>
        <v>6</v>
      </c>
      <c r="D738" s="1">
        <f t="shared" ca="1" si="47"/>
        <v>208</v>
      </c>
      <c r="E738" s="2">
        <f t="shared" ca="1" si="48"/>
        <v>42916</v>
      </c>
      <c r="F738" s="6">
        <f t="shared" ca="1" si="49"/>
        <v>29.017405886476812</v>
      </c>
    </row>
    <row r="739" spans="1:6">
      <c r="A739" s="1">
        <v>9123511</v>
      </c>
      <c r="B739" s="1">
        <f t="shared" ca="1" si="46"/>
        <v>0.84229872712063614</v>
      </c>
      <c r="C739" s="1">
        <f t="shared" ca="1" si="50"/>
        <v>19</v>
      </c>
      <c r="D739" s="1">
        <f t="shared" ca="1" si="47"/>
        <v>42</v>
      </c>
      <c r="E739" s="2">
        <f t="shared" ca="1" si="48"/>
        <v>43387</v>
      </c>
      <c r="F739" s="6">
        <f t="shared" ca="1" si="49"/>
        <v>6.6364021117659631</v>
      </c>
    </row>
    <row r="740" spans="1:6">
      <c r="A740" s="1">
        <v>9123514</v>
      </c>
      <c r="B740" s="1">
        <f t="shared" ca="1" si="46"/>
        <v>0.72611524466721789</v>
      </c>
      <c r="C740" s="1">
        <f t="shared" ca="1" si="50"/>
        <v>37</v>
      </c>
      <c r="D740" s="1">
        <f t="shared" ca="1" si="47"/>
        <v>517</v>
      </c>
      <c r="E740" s="2">
        <f t="shared" ca="1" si="48"/>
        <v>43417</v>
      </c>
      <c r="F740" s="6">
        <f t="shared" ca="1" si="49"/>
        <v>213.7785895369525</v>
      </c>
    </row>
    <row r="741" spans="1:6">
      <c r="A741" s="1">
        <v>9123517</v>
      </c>
      <c r="B741" s="1">
        <f t="shared" ca="1" si="46"/>
        <v>0.19433048004847098</v>
      </c>
      <c r="C741" s="1">
        <f t="shared" ca="1" si="50"/>
        <v>27</v>
      </c>
      <c r="D741" s="1">
        <f t="shared" ca="1" si="47"/>
        <v>398</v>
      </c>
      <c r="E741" s="2">
        <f t="shared" ca="1" si="48"/>
        <v>42978</v>
      </c>
      <c r="F741" s="6">
        <f t="shared" ca="1" si="49"/>
        <v>152.23749354291925</v>
      </c>
    </row>
    <row r="742" spans="1:6">
      <c r="A742" s="1">
        <v>9123520</v>
      </c>
      <c r="B742" s="1">
        <f t="shared" ca="1" si="46"/>
        <v>0.60162756659633443</v>
      </c>
      <c r="C742" s="1">
        <f t="shared" ca="1" si="50"/>
        <v>108</v>
      </c>
      <c r="D742" s="1">
        <f t="shared" ca="1" si="47"/>
        <v>530</v>
      </c>
      <c r="E742" s="2">
        <f t="shared" ca="1" si="48"/>
        <v>42787</v>
      </c>
      <c r="F742" s="6">
        <f t="shared" ca="1" si="49"/>
        <v>11.353487164042164</v>
      </c>
    </row>
    <row r="743" spans="1:6">
      <c r="A743" s="1">
        <v>9123523</v>
      </c>
      <c r="B743" s="1">
        <f t="shared" ca="1" si="46"/>
        <v>0.11876898237607936</v>
      </c>
      <c r="C743" s="1">
        <f t="shared" ca="1" si="50"/>
        <v>15</v>
      </c>
      <c r="D743" s="1">
        <f t="shared" ca="1" si="47"/>
        <v>284</v>
      </c>
      <c r="E743" s="2">
        <f t="shared" ca="1" si="48"/>
        <v>43167</v>
      </c>
      <c r="F743" s="6">
        <f t="shared" ca="1" si="49"/>
        <v>86.50919051074608</v>
      </c>
    </row>
    <row r="744" spans="1:6">
      <c r="A744" s="1">
        <v>9123526</v>
      </c>
      <c r="B744" s="1">
        <f t="shared" ca="1" si="46"/>
        <v>0.31417040638746219</v>
      </c>
      <c r="C744" s="1">
        <f t="shared" ca="1" si="50"/>
        <v>6</v>
      </c>
      <c r="D744" s="1">
        <f t="shared" ca="1" si="47"/>
        <v>208</v>
      </c>
      <c r="E744" s="2">
        <f t="shared" ca="1" si="48"/>
        <v>43038</v>
      </c>
      <c r="F744" s="6">
        <f t="shared" ca="1" si="49"/>
        <v>172.35289389290071</v>
      </c>
    </row>
    <row r="745" spans="1:6">
      <c r="A745" s="1">
        <v>9123529</v>
      </c>
      <c r="B745" s="1">
        <f t="shared" ca="1" si="46"/>
        <v>0.17036087435292735</v>
      </c>
      <c r="C745" s="1">
        <f t="shared" ca="1" si="50"/>
        <v>3</v>
      </c>
      <c r="D745" s="1">
        <f t="shared" ca="1" si="47"/>
        <v>263</v>
      </c>
      <c r="E745" s="2">
        <f t="shared" ca="1" si="48"/>
        <v>43125</v>
      </c>
      <c r="F745" s="6">
        <f t="shared" ca="1" si="49"/>
        <v>89.786577628383668</v>
      </c>
    </row>
    <row r="746" spans="1:6">
      <c r="A746" s="1">
        <v>9123532</v>
      </c>
      <c r="B746" s="1">
        <f t="shared" ca="1" si="46"/>
        <v>0.285716249374114</v>
      </c>
      <c r="C746" s="1">
        <f t="shared" ca="1" si="50"/>
        <v>47</v>
      </c>
      <c r="D746" s="1">
        <f t="shared" ca="1" si="47"/>
        <v>515</v>
      </c>
      <c r="E746" s="2">
        <f t="shared" ca="1" si="48"/>
        <v>43458</v>
      </c>
      <c r="F746" s="6">
        <f t="shared" ca="1" si="49"/>
        <v>5.915408192515617</v>
      </c>
    </row>
    <row r="747" spans="1:6">
      <c r="A747" s="1">
        <v>9123535</v>
      </c>
      <c r="B747" s="1">
        <f t="shared" ca="1" si="46"/>
        <v>0.75080315898543193</v>
      </c>
      <c r="C747" s="1">
        <f t="shared" ca="1" si="50"/>
        <v>3</v>
      </c>
      <c r="D747" s="1">
        <f t="shared" ca="1" si="47"/>
        <v>263</v>
      </c>
      <c r="E747" s="2">
        <f t="shared" ca="1" si="48"/>
        <v>42865</v>
      </c>
      <c r="F747" s="6">
        <f t="shared" ca="1" si="49"/>
        <v>82.725489013804477</v>
      </c>
    </row>
    <row r="748" spans="1:6">
      <c r="A748" s="1">
        <v>9123538</v>
      </c>
      <c r="B748" s="1">
        <f t="shared" ca="1" si="46"/>
        <v>0.51381056318629614</v>
      </c>
      <c r="C748" s="1">
        <f t="shared" ca="1" si="50"/>
        <v>119</v>
      </c>
      <c r="D748" s="1">
        <f t="shared" ca="1" si="47"/>
        <v>184</v>
      </c>
      <c r="E748" s="2">
        <f t="shared" ca="1" si="48"/>
        <v>42911</v>
      </c>
      <c r="F748" s="6">
        <f t="shared" ca="1" si="49"/>
        <v>6.0057429868499845</v>
      </c>
    </row>
    <row r="749" spans="1:6">
      <c r="A749" s="1">
        <v>9123541</v>
      </c>
      <c r="B749" s="1">
        <f t="shared" ca="1" si="46"/>
        <v>0.52576807337479048</v>
      </c>
      <c r="C749" s="1">
        <f t="shared" ca="1" si="50"/>
        <v>24</v>
      </c>
      <c r="D749" s="1">
        <f t="shared" ca="1" si="47"/>
        <v>334</v>
      </c>
      <c r="E749" s="2">
        <f t="shared" ca="1" si="48"/>
        <v>42902</v>
      </c>
      <c r="F749" s="6">
        <f t="shared" ca="1" si="49"/>
        <v>33.628205093948083</v>
      </c>
    </row>
    <row r="750" spans="1:6">
      <c r="A750" s="1">
        <v>9123544</v>
      </c>
      <c r="B750" s="1">
        <f t="shared" ca="1" si="46"/>
        <v>0.93338370489499312</v>
      </c>
      <c r="C750" s="1">
        <f t="shared" ca="1" si="50"/>
        <v>19</v>
      </c>
      <c r="D750" s="1">
        <f t="shared" ca="1" si="47"/>
        <v>42</v>
      </c>
      <c r="E750" s="2">
        <f t="shared" ca="1" si="48"/>
        <v>42780</v>
      </c>
      <c r="F750" s="6">
        <f t="shared" ca="1" si="49"/>
        <v>34.544942852060188</v>
      </c>
    </row>
    <row r="751" spans="1:6">
      <c r="A751" s="1">
        <v>9123547</v>
      </c>
      <c r="B751" s="1">
        <f t="shared" ca="1" si="46"/>
        <v>0.49886615572735238</v>
      </c>
      <c r="C751" s="1">
        <f t="shared" ca="1" si="50"/>
        <v>20</v>
      </c>
      <c r="D751" s="1">
        <f t="shared" ca="1" si="47"/>
        <v>444</v>
      </c>
      <c r="E751" s="2">
        <f t="shared" ca="1" si="48"/>
        <v>43089</v>
      </c>
      <c r="F751" s="6">
        <f t="shared" ca="1" si="49"/>
        <v>39.441416836226978</v>
      </c>
    </row>
    <row r="752" spans="1:6">
      <c r="A752" s="1">
        <v>9123550</v>
      </c>
      <c r="B752" s="1">
        <f t="shared" ca="1" si="46"/>
        <v>0.8331539526311259</v>
      </c>
      <c r="C752" s="1">
        <f t="shared" ca="1" si="50"/>
        <v>8</v>
      </c>
      <c r="D752" s="1">
        <f t="shared" ca="1" si="47"/>
        <v>456</v>
      </c>
      <c r="E752" s="2">
        <f t="shared" ca="1" si="48"/>
        <v>42850</v>
      </c>
      <c r="F752" s="6">
        <f t="shared" ca="1" si="49"/>
        <v>45.704287939208882</v>
      </c>
    </row>
    <row r="753" spans="1:6">
      <c r="A753" s="1">
        <v>9123553</v>
      </c>
      <c r="B753" s="1">
        <f t="shared" ca="1" si="46"/>
        <v>0.24470091437479835</v>
      </c>
      <c r="C753" s="1">
        <f t="shared" ca="1" si="50"/>
        <v>56</v>
      </c>
      <c r="D753" s="1">
        <f t="shared" ca="1" si="47"/>
        <v>57</v>
      </c>
      <c r="E753" s="2">
        <f t="shared" ca="1" si="48"/>
        <v>42878</v>
      </c>
      <c r="F753" s="6">
        <f t="shared" ca="1" si="49"/>
        <v>9.2658652725916824</v>
      </c>
    </row>
    <row r="754" spans="1:6">
      <c r="A754" s="1">
        <v>9123556</v>
      </c>
      <c r="B754" s="1">
        <f t="shared" ca="1" si="46"/>
        <v>0.35285009732188999</v>
      </c>
      <c r="C754" s="1">
        <f t="shared" ca="1" si="50"/>
        <v>3</v>
      </c>
      <c r="D754" s="1">
        <f t="shared" ca="1" si="47"/>
        <v>263</v>
      </c>
      <c r="E754" s="2">
        <f t="shared" ca="1" si="48"/>
        <v>43379</v>
      </c>
      <c r="F754" s="6">
        <f t="shared" ca="1" si="49"/>
        <v>4.5845895059380606</v>
      </c>
    </row>
    <row r="755" spans="1:6">
      <c r="A755" s="1">
        <v>9123559</v>
      </c>
      <c r="B755" s="1">
        <f t="shared" ca="1" si="46"/>
        <v>0.32453231615916789</v>
      </c>
      <c r="C755" s="1">
        <f t="shared" ca="1" si="50"/>
        <v>8</v>
      </c>
      <c r="D755" s="1">
        <f t="shared" ca="1" si="47"/>
        <v>456</v>
      </c>
      <c r="E755" s="2">
        <f t="shared" ca="1" si="48"/>
        <v>43020</v>
      </c>
      <c r="F755" s="6">
        <f t="shared" ca="1" si="49"/>
        <v>28.390047779552411</v>
      </c>
    </row>
    <row r="756" spans="1:6">
      <c r="A756" s="1">
        <v>9123562</v>
      </c>
      <c r="B756" s="1">
        <f t="shared" ca="1" si="46"/>
        <v>0.29488791546031767</v>
      </c>
      <c r="C756" s="1">
        <f t="shared" ca="1" si="50"/>
        <v>53</v>
      </c>
      <c r="D756" s="1">
        <f t="shared" ca="1" si="47"/>
        <v>155</v>
      </c>
      <c r="E756" s="2">
        <f t="shared" ca="1" si="48"/>
        <v>43455</v>
      </c>
      <c r="F756" s="6">
        <f t="shared" ca="1" si="49"/>
        <v>131.52902636193565</v>
      </c>
    </row>
    <row r="757" spans="1:6">
      <c r="A757" s="1">
        <v>9123565</v>
      </c>
      <c r="B757" s="1">
        <f t="shared" ca="1" si="46"/>
        <v>0.53412653615794359</v>
      </c>
      <c r="C757" s="1">
        <f t="shared" ca="1" si="50"/>
        <v>27</v>
      </c>
      <c r="D757" s="1">
        <f t="shared" ca="1" si="47"/>
        <v>398</v>
      </c>
      <c r="E757" s="2">
        <f t="shared" ca="1" si="48"/>
        <v>43446</v>
      </c>
      <c r="F757" s="6">
        <f t="shared" ca="1" si="49"/>
        <v>43.983583991192077</v>
      </c>
    </row>
    <row r="758" spans="1:6">
      <c r="A758" s="1">
        <v>9123568</v>
      </c>
      <c r="B758" s="1">
        <f t="shared" ca="1" si="46"/>
        <v>0.5550204381810625</v>
      </c>
      <c r="C758" s="1">
        <f t="shared" ca="1" si="50"/>
        <v>1</v>
      </c>
      <c r="D758" s="1">
        <f t="shared" ca="1" si="47"/>
        <v>474</v>
      </c>
      <c r="E758" s="2">
        <f t="shared" ca="1" si="48"/>
        <v>43465</v>
      </c>
      <c r="F758" s="6">
        <f t="shared" ca="1" si="49"/>
        <v>53.075141471334383</v>
      </c>
    </row>
    <row r="759" spans="1:6">
      <c r="A759" s="1">
        <v>9123571</v>
      </c>
      <c r="B759" s="1">
        <f t="shared" ca="1" si="46"/>
        <v>0.27309184165231937</v>
      </c>
      <c r="C759" s="1">
        <f t="shared" ca="1" si="50"/>
        <v>370</v>
      </c>
      <c r="D759" s="1">
        <f t="shared" ca="1" si="47"/>
        <v>116</v>
      </c>
      <c r="E759" s="2">
        <f t="shared" ca="1" si="48"/>
        <v>43359</v>
      </c>
      <c r="F759" s="6">
        <f t="shared" ca="1" si="49"/>
        <v>42.632088527802381</v>
      </c>
    </row>
    <row r="760" spans="1:6">
      <c r="A760" s="1">
        <v>9123574</v>
      </c>
      <c r="B760" s="1">
        <f t="shared" ca="1" si="46"/>
        <v>0.88270289639090027</v>
      </c>
      <c r="C760" s="1">
        <f t="shared" ca="1" si="50"/>
        <v>11</v>
      </c>
      <c r="D760" s="1">
        <f t="shared" ca="1" si="47"/>
        <v>437</v>
      </c>
      <c r="E760" s="2">
        <f t="shared" ca="1" si="48"/>
        <v>43348</v>
      </c>
      <c r="F760" s="6">
        <f t="shared" ca="1" si="49"/>
        <v>36.015069192700949</v>
      </c>
    </row>
    <row r="761" spans="1:6">
      <c r="A761" s="1">
        <v>9123577</v>
      </c>
      <c r="B761" s="1">
        <f t="shared" ca="1" si="46"/>
        <v>9.102758533212163E-2</v>
      </c>
      <c r="C761" s="1">
        <f t="shared" ca="1" si="50"/>
        <v>57</v>
      </c>
      <c r="D761" s="1">
        <f t="shared" ca="1" si="47"/>
        <v>24</v>
      </c>
      <c r="E761" s="2">
        <f t="shared" ca="1" si="48"/>
        <v>43050</v>
      </c>
      <c r="F761" s="6">
        <f t="shared" ca="1" si="49"/>
        <v>9.7871236001352244</v>
      </c>
    </row>
    <row r="762" spans="1:6">
      <c r="A762" s="1">
        <v>9123580</v>
      </c>
      <c r="B762" s="1">
        <f t="shared" ca="1" si="46"/>
        <v>0.47275709527315779</v>
      </c>
      <c r="C762" s="1">
        <f t="shared" ca="1" si="50"/>
        <v>1</v>
      </c>
      <c r="D762" s="1">
        <f t="shared" ca="1" si="47"/>
        <v>474</v>
      </c>
      <c r="E762" s="2">
        <f t="shared" ca="1" si="48"/>
        <v>43230</v>
      </c>
      <c r="F762" s="6">
        <f t="shared" ca="1" si="49"/>
        <v>4.6045229993978083</v>
      </c>
    </row>
    <row r="763" spans="1:6">
      <c r="A763" s="1">
        <v>9123583</v>
      </c>
      <c r="B763" s="1">
        <f t="shared" ca="1" si="46"/>
        <v>0.60953478312076526</v>
      </c>
      <c r="C763" s="1">
        <f t="shared" ca="1" si="50"/>
        <v>8</v>
      </c>
      <c r="D763" s="1">
        <f t="shared" ca="1" si="47"/>
        <v>456</v>
      </c>
      <c r="E763" s="2">
        <f t="shared" ca="1" si="48"/>
        <v>43075</v>
      </c>
      <c r="F763" s="6">
        <f t="shared" ca="1" si="49"/>
        <v>15.252633465732465</v>
      </c>
    </row>
    <row r="764" spans="1:6">
      <c r="A764" s="1">
        <v>9123586</v>
      </c>
      <c r="B764" s="1">
        <f t="shared" ca="1" si="46"/>
        <v>0.94541010871668374</v>
      </c>
      <c r="C764" s="1">
        <f t="shared" ca="1" si="50"/>
        <v>5</v>
      </c>
      <c r="D764" s="1">
        <f t="shared" ca="1" si="47"/>
        <v>363</v>
      </c>
      <c r="E764" s="2">
        <f t="shared" ca="1" si="48"/>
        <v>43279</v>
      </c>
      <c r="F764" s="6">
        <f t="shared" ca="1" si="49"/>
        <v>7.3368560945445056</v>
      </c>
    </row>
    <row r="765" spans="1:6">
      <c r="A765" s="1">
        <v>9123589</v>
      </c>
      <c r="B765" s="1">
        <f t="shared" ca="1" si="46"/>
        <v>0.32823745139374083</v>
      </c>
      <c r="C765" s="1">
        <f t="shared" ca="1" si="50"/>
        <v>1</v>
      </c>
      <c r="D765" s="1">
        <f t="shared" ca="1" si="47"/>
        <v>474</v>
      </c>
      <c r="E765" s="2">
        <f t="shared" ca="1" si="48"/>
        <v>42774</v>
      </c>
      <c r="F765" s="6">
        <f t="shared" ca="1" si="49"/>
        <v>18.98524634424102</v>
      </c>
    </row>
    <row r="766" spans="1:6">
      <c r="A766" s="1">
        <v>9123592</v>
      </c>
      <c r="B766" s="1">
        <f t="shared" ca="1" si="46"/>
        <v>7.2602940850979292E-2</v>
      </c>
      <c r="C766" s="1">
        <f t="shared" ca="1" si="50"/>
        <v>69</v>
      </c>
      <c r="D766" s="1">
        <f t="shared" ca="1" si="47"/>
        <v>142</v>
      </c>
      <c r="E766" s="2">
        <f t="shared" ca="1" si="48"/>
        <v>43067</v>
      </c>
      <c r="F766" s="6">
        <f t="shared" ca="1" si="49"/>
        <v>9.0142866207040679</v>
      </c>
    </row>
    <row r="767" spans="1:6">
      <c r="A767" s="1">
        <v>9123595</v>
      </c>
      <c r="B767" s="1">
        <f t="shared" ca="1" si="46"/>
        <v>0.62601942623084672</v>
      </c>
      <c r="C767" s="1">
        <f t="shared" ca="1" si="50"/>
        <v>4</v>
      </c>
      <c r="D767" s="1">
        <f t="shared" ca="1" si="47"/>
        <v>493</v>
      </c>
      <c r="E767" s="2">
        <f t="shared" ca="1" si="48"/>
        <v>43402</v>
      </c>
      <c r="F767" s="6">
        <f t="shared" ca="1" si="49"/>
        <v>25.70581657530192</v>
      </c>
    </row>
    <row r="768" spans="1:6">
      <c r="A768" s="1">
        <v>9123598</v>
      </c>
      <c r="B768" s="1">
        <f t="shared" ca="1" si="46"/>
        <v>0.14678730667201501</v>
      </c>
      <c r="C768" s="1">
        <f t="shared" ca="1" si="50"/>
        <v>65</v>
      </c>
      <c r="D768" s="1">
        <f t="shared" ca="1" si="47"/>
        <v>463</v>
      </c>
      <c r="E768" s="2">
        <f t="shared" ca="1" si="48"/>
        <v>43280</v>
      </c>
      <c r="F768" s="6">
        <f t="shared" ca="1" si="49"/>
        <v>21.57169823831007</v>
      </c>
    </row>
    <row r="769" spans="1:6">
      <c r="A769" s="1">
        <v>9123601</v>
      </c>
      <c r="B769" s="1">
        <f t="shared" ca="1" si="46"/>
        <v>0.7355314201616896</v>
      </c>
      <c r="C769" s="1">
        <f t="shared" ca="1" si="50"/>
        <v>28</v>
      </c>
      <c r="D769" s="1">
        <f t="shared" ca="1" si="47"/>
        <v>401</v>
      </c>
      <c r="E769" s="2">
        <f t="shared" ca="1" si="48"/>
        <v>43224</v>
      </c>
      <c r="F769" s="6">
        <f t="shared" ca="1" si="49"/>
        <v>5.1292879920572361</v>
      </c>
    </row>
    <row r="770" spans="1:6">
      <c r="A770" s="1">
        <v>9123604</v>
      </c>
      <c r="B770" s="1">
        <f t="shared" ref="B770:B833" ca="1" si="51">RAND()</f>
        <v>0.59820501653301017</v>
      </c>
      <c r="C770" s="1">
        <f t="shared" ca="1" si="50"/>
        <v>18</v>
      </c>
      <c r="D770" s="1">
        <f t="shared" ca="1" si="47"/>
        <v>511</v>
      </c>
      <c r="E770" s="2">
        <f t="shared" ca="1" si="48"/>
        <v>43179</v>
      </c>
      <c r="F770" s="6">
        <f t="shared" ca="1" si="49"/>
        <v>3.0277320933324776</v>
      </c>
    </row>
    <row r="771" spans="1:6">
      <c r="A771" s="1">
        <v>9123607</v>
      </c>
      <c r="B771" s="1">
        <f t="shared" ca="1" si="51"/>
        <v>0.83964930210873423</v>
      </c>
      <c r="C771" s="1">
        <f t="shared" ca="1" si="50"/>
        <v>1</v>
      </c>
      <c r="D771" s="1">
        <f t="shared" ref="D771:D834" ca="1" si="52">VLOOKUP(SMALL($B$2:$B$601,C771),$B$2:$C$601,2,FALSE)</f>
        <v>474</v>
      </c>
      <c r="E771" s="2">
        <f t="shared" ref="E771:E834" ca="1" si="53">RANDBETWEEN("1/1/17","2/1/19")</f>
        <v>42991</v>
      </c>
      <c r="F771" s="6">
        <f t="shared" ref="F771:F834" ca="1" si="54">_xlfn.GAMMA.INV(RAND(),$J$6,$J$7)*100+3</f>
        <v>7.5216682118410167</v>
      </c>
    </row>
    <row r="772" spans="1:6">
      <c r="A772" s="1">
        <v>9123610</v>
      </c>
      <c r="B772" s="1">
        <f t="shared" ca="1" si="51"/>
        <v>0.9809527403261844</v>
      </c>
      <c r="C772" s="1">
        <f t="shared" ca="1" si="50"/>
        <v>40</v>
      </c>
      <c r="D772" s="1">
        <f t="shared" ca="1" si="52"/>
        <v>426</v>
      </c>
      <c r="E772" s="2">
        <f t="shared" ca="1" si="53"/>
        <v>43154</v>
      </c>
      <c r="F772" s="6">
        <f t="shared" ca="1" si="54"/>
        <v>77.086191267888978</v>
      </c>
    </row>
    <row r="773" spans="1:6">
      <c r="A773" s="1">
        <v>9123613</v>
      </c>
      <c r="B773" s="1">
        <f t="shared" ca="1" si="51"/>
        <v>0.70758745518098265</v>
      </c>
      <c r="C773" s="1">
        <f t="shared" ca="1" si="50"/>
        <v>2</v>
      </c>
      <c r="D773" s="1">
        <f t="shared" ca="1" si="52"/>
        <v>30</v>
      </c>
      <c r="E773" s="2">
        <f t="shared" ca="1" si="53"/>
        <v>43087</v>
      </c>
      <c r="F773" s="6">
        <f t="shared" ca="1" si="54"/>
        <v>7.4057266279121778</v>
      </c>
    </row>
    <row r="774" spans="1:6">
      <c r="A774" s="1">
        <v>9123616</v>
      </c>
      <c r="B774" s="1">
        <f t="shared" ca="1" si="51"/>
        <v>0.23177988736477795</v>
      </c>
      <c r="C774" s="1">
        <f t="shared" ca="1" si="50"/>
        <v>2</v>
      </c>
      <c r="D774" s="1">
        <f t="shared" ca="1" si="52"/>
        <v>30</v>
      </c>
      <c r="E774" s="2">
        <f t="shared" ca="1" si="53"/>
        <v>42818</v>
      </c>
      <c r="F774" s="6">
        <f t="shared" ca="1" si="54"/>
        <v>6.015707688560493</v>
      </c>
    </row>
    <row r="775" spans="1:6">
      <c r="A775" s="1">
        <v>9123619</v>
      </c>
      <c r="B775" s="1">
        <f t="shared" ca="1" si="51"/>
        <v>0.21489254827010151</v>
      </c>
      <c r="C775" s="1">
        <f t="shared" ca="1" si="50"/>
        <v>46</v>
      </c>
      <c r="D775" s="1">
        <f t="shared" ca="1" si="52"/>
        <v>192</v>
      </c>
      <c r="E775" s="2">
        <f t="shared" ca="1" si="53"/>
        <v>43024</v>
      </c>
      <c r="F775" s="6">
        <f t="shared" ca="1" si="54"/>
        <v>7.3380906494990228</v>
      </c>
    </row>
    <row r="776" spans="1:6">
      <c r="A776" s="1">
        <v>9123622</v>
      </c>
      <c r="B776" s="1">
        <f t="shared" ca="1" si="51"/>
        <v>0.67794266167130146</v>
      </c>
      <c r="C776" s="1">
        <f t="shared" ca="1" si="50"/>
        <v>140</v>
      </c>
      <c r="D776" s="1">
        <f t="shared" ca="1" si="52"/>
        <v>195</v>
      </c>
      <c r="E776" s="2">
        <f t="shared" ca="1" si="53"/>
        <v>43189</v>
      </c>
      <c r="F776" s="6">
        <f t="shared" ca="1" si="54"/>
        <v>174.17785730145587</v>
      </c>
    </row>
    <row r="777" spans="1:6">
      <c r="A777" s="1">
        <v>9123625</v>
      </c>
      <c r="B777" s="1">
        <f t="shared" ca="1" si="51"/>
        <v>0.82424214076531765</v>
      </c>
      <c r="C777" s="1">
        <f t="shared" ca="1" si="50"/>
        <v>128</v>
      </c>
      <c r="D777" s="1">
        <f t="shared" ca="1" si="52"/>
        <v>317</v>
      </c>
      <c r="E777" s="2">
        <f t="shared" ca="1" si="53"/>
        <v>43308</v>
      </c>
      <c r="F777" s="6">
        <f t="shared" ca="1" si="54"/>
        <v>98.70985494544729</v>
      </c>
    </row>
    <row r="778" spans="1:6">
      <c r="A778" s="1">
        <v>9123628</v>
      </c>
      <c r="B778" s="1">
        <f t="shared" ca="1" si="51"/>
        <v>4.3156132234570599E-2</v>
      </c>
      <c r="C778" s="1">
        <f t="shared" ca="1" si="50"/>
        <v>57</v>
      </c>
      <c r="D778" s="1">
        <f t="shared" ca="1" si="52"/>
        <v>24</v>
      </c>
      <c r="E778" s="2">
        <f t="shared" ca="1" si="53"/>
        <v>43154</v>
      </c>
      <c r="F778" s="6">
        <f t="shared" ca="1" si="54"/>
        <v>5.7004746192948144</v>
      </c>
    </row>
    <row r="779" spans="1:6">
      <c r="A779" s="1">
        <v>9123631</v>
      </c>
      <c r="B779" s="1">
        <f t="shared" ca="1" si="51"/>
        <v>0.57824824322491208</v>
      </c>
      <c r="C779" s="1">
        <f t="shared" ca="1" si="50"/>
        <v>39</v>
      </c>
      <c r="D779" s="1">
        <f t="shared" ca="1" si="52"/>
        <v>402</v>
      </c>
      <c r="E779" s="2">
        <f t="shared" ca="1" si="53"/>
        <v>43464</v>
      </c>
      <c r="F779" s="6">
        <f t="shared" ca="1" si="54"/>
        <v>281.19153311274596</v>
      </c>
    </row>
    <row r="780" spans="1:6">
      <c r="A780" s="1">
        <v>9123634</v>
      </c>
      <c r="B780" s="1">
        <f t="shared" ca="1" si="51"/>
        <v>0.96082264502224801</v>
      </c>
      <c r="C780" s="1">
        <f t="shared" ca="1" si="50"/>
        <v>9</v>
      </c>
      <c r="D780" s="1">
        <f t="shared" ca="1" si="52"/>
        <v>278</v>
      </c>
      <c r="E780" s="2">
        <f t="shared" ca="1" si="53"/>
        <v>42819</v>
      </c>
      <c r="F780" s="6">
        <f t="shared" ca="1" si="54"/>
        <v>44.548502659834426</v>
      </c>
    </row>
    <row r="781" spans="1:6">
      <c r="A781" s="1">
        <v>9123637</v>
      </c>
      <c r="B781" s="1">
        <f t="shared" ca="1" si="51"/>
        <v>0.52096665934449082</v>
      </c>
      <c r="C781" s="1">
        <f t="shared" ca="1" si="50"/>
        <v>311</v>
      </c>
      <c r="D781" s="1">
        <f t="shared" ca="1" si="52"/>
        <v>280</v>
      </c>
      <c r="E781" s="2">
        <f t="shared" ca="1" si="53"/>
        <v>43367</v>
      </c>
      <c r="F781" s="6">
        <f t="shared" ca="1" si="54"/>
        <v>50.933979277261344</v>
      </c>
    </row>
    <row r="782" spans="1:6">
      <c r="A782" s="1">
        <v>9123640</v>
      </c>
      <c r="B782" s="1">
        <f t="shared" ca="1" si="51"/>
        <v>0.68135882690488525</v>
      </c>
      <c r="C782" s="1">
        <f t="shared" ca="1" si="50"/>
        <v>23</v>
      </c>
      <c r="D782" s="1">
        <f t="shared" ca="1" si="52"/>
        <v>516</v>
      </c>
      <c r="E782" s="2">
        <f t="shared" ca="1" si="53"/>
        <v>43477</v>
      </c>
      <c r="F782" s="6">
        <f t="shared" ca="1" si="54"/>
        <v>84.268328407783571</v>
      </c>
    </row>
    <row r="783" spans="1:6">
      <c r="A783" s="1">
        <v>9123643</v>
      </c>
      <c r="B783" s="1">
        <f t="shared" ca="1" si="51"/>
        <v>0.19673447681957756</v>
      </c>
      <c r="C783" s="1">
        <f t="shared" ca="1" si="50"/>
        <v>10</v>
      </c>
      <c r="D783" s="1">
        <f t="shared" ca="1" si="52"/>
        <v>236</v>
      </c>
      <c r="E783" s="2">
        <f t="shared" ca="1" si="53"/>
        <v>43419</v>
      </c>
      <c r="F783" s="6">
        <f t="shared" ca="1" si="54"/>
        <v>28.529368318490818</v>
      </c>
    </row>
    <row r="784" spans="1:6">
      <c r="A784" s="1">
        <v>9123646</v>
      </c>
      <c r="B784" s="1">
        <f t="shared" ca="1" si="51"/>
        <v>0.6798315816655992</v>
      </c>
      <c r="C784" s="1">
        <f t="shared" ca="1" si="50"/>
        <v>2</v>
      </c>
      <c r="D784" s="1">
        <f t="shared" ca="1" si="52"/>
        <v>30</v>
      </c>
      <c r="E784" s="2">
        <f t="shared" ca="1" si="53"/>
        <v>42987</v>
      </c>
      <c r="F784" s="6">
        <f t="shared" ca="1" si="54"/>
        <v>11.443961839769374</v>
      </c>
    </row>
    <row r="785" spans="1:6">
      <c r="A785" s="1">
        <v>9123649</v>
      </c>
      <c r="B785" s="1">
        <f t="shared" ca="1" si="51"/>
        <v>0.10175611381950178</v>
      </c>
      <c r="C785" s="1">
        <f t="shared" ca="1" si="50"/>
        <v>301</v>
      </c>
      <c r="D785" s="1">
        <f t="shared" ca="1" si="52"/>
        <v>132</v>
      </c>
      <c r="E785" s="2">
        <f t="shared" ca="1" si="53"/>
        <v>43384</v>
      </c>
      <c r="F785" s="6">
        <f t="shared" ca="1" si="54"/>
        <v>17.73982956454303</v>
      </c>
    </row>
    <row r="786" spans="1:6">
      <c r="A786" s="1">
        <v>9123652</v>
      </c>
      <c r="B786" s="1">
        <f t="shared" ca="1" si="51"/>
        <v>0.31434088431766283</v>
      </c>
      <c r="C786" s="1">
        <f t="shared" ca="1" si="50"/>
        <v>10</v>
      </c>
      <c r="D786" s="1">
        <f t="shared" ca="1" si="52"/>
        <v>236</v>
      </c>
      <c r="E786" s="2">
        <f t="shared" ca="1" si="53"/>
        <v>43098</v>
      </c>
      <c r="F786" s="6">
        <f t="shared" ca="1" si="54"/>
        <v>137.35712123125361</v>
      </c>
    </row>
    <row r="787" spans="1:6">
      <c r="A787" s="1">
        <v>9123655</v>
      </c>
      <c r="B787" s="1">
        <f t="shared" ca="1" si="51"/>
        <v>0.97805626729922757</v>
      </c>
      <c r="C787" s="1">
        <f t="shared" ca="1" si="50"/>
        <v>43</v>
      </c>
      <c r="D787" s="1">
        <f t="shared" ca="1" si="52"/>
        <v>73</v>
      </c>
      <c r="E787" s="2">
        <f t="shared" ca="1" si="53"/>
        <v>43231</v>
      </c>
      <c r="F787" s="6">
        <f t="shared" ca="1" si="54"/>
        <v>51.187123281253591</v>
      </c>
    </row>
    <row r="788" spans="1:6">
      <c r="A788" s="1">
        <v>9123658</v>
      </c>
      <c r="B788" s="1">
        <f t="shared" ca="1" si="51"/>
        <v>0.96154617367199569</v>
      </c>
      <c r="C788" s="1">
        <f t="shared" ca="1" si="50"/>
        <v>47</v>
      </c>
      <c r="D788" s="1">
        <f t="shared" ca="1" si="52"/>
        <v>515</v>
      </c>
      <c r="E788" s="2">
        <f t="shared" ca="1" si="53"/>
        <v>43368</v>
      </c>
      <c r="F788" s="6">
        <f t="shared" ca="1" si="54"/>
        <v>3.4429842732210632</v>
      </c>
    </row>
    <row r="789" spans="1:6">
      <c r="A789" s="1">
        <v>9123661</v>
      </c>
      <c r="B789" s="1">
        <f t="shared" ca="1" si="51"/>
        <v>0.28692873754957771</v>
      </c>
      <c r="C789" s="1">
        <f t="shared" ca="1" si="50"/>
        <v>1</v>
      </c>
      <c r="D789" s="1">
        <f t="shared" ca="1" si="52"/>
        <v>474</v>
      </c>
      <c r="E789" s="2">
        <f t="shared" ca="1" si="53"/>
        <v>43271</v>
      </c>
      <c r="F789" s="6">
        <f t="shared" ca="1" si="54"/>
        <v>31.896642369165288</v>
      </c>
    </row>
    <row r="790" spans="1:6">
      <c r="A790" s="1">
        <v>9123664</v>
      </c>
      <c r="B790" s="1">
        <f t="shared" ca="1" si="51"/>
        <v>0.54612962582717273</v>
      </c>
      <c r="C790" s="1">
        <f t="shared" ca="1" si="50"/>
        <v>9</v>
      </c>
      <c r="D790" s="1">
        <f t="shared" ca="1" si="52"/>
        <v>278</v>
      </c>
      <c r="E790" s="2">
        <f t="shared" ca="1" si="53"/>
        <v>42821</v>
      </c>
      <c r="F790" s="6">
        <f t="shared" ca="1" si="54"/>
        <v>45.781531824238741</v>
      </c>
    </row>
    <row r="791" spans="1:6">
      <c r="A791" s="1">
        <v>9123667</v>
      </c>
      <c r="B791" s="1">
        <f t="shared" ca="1" si="51"/>
        <v>0.16608887402793215</v>
      </c>
      <c r="C791" s="1">
        <f t="shared" ca="1" si="50"/>
        <v>20</v>
      </c>
      <c r="D791" s="1">
        <f t="shared" ca="1" si="52"/>
        <v>444</v>
      </c>
      <c r="E791" s="2">
        <f t="shared" ca="1" si="53"/>
        <v>43307</v>
      </c>
      <c r="F791" s="6">
        <f t="shared" ca="1" si="54"/>
        <v>38.675587719507831</v>
      </c>
    </row>
    <row r="792" spans="1:6">
      <c r="A792" s="1">
        <v>9123670</v>
      </c>
      <c r="B792" s="1">
        <f t="shared" ca="1" si="51"/>
        <v>0.39321420842360055</v>
      </c>
      <c r="C792" s="1">
        <f t="shared" ca="1" si="50"/>
        <v>145</v>
      </c>
      <c r="D792" s="1">
        <f t="shared" ca="1" si="52"/>
        <v>389</v>
      </c>
      <c r="E792" s="2">
        <f t="shared" ca="1" si="53"/>
        <v>43063</v>
      </c>
      <c r="F792" s="6">
        <f t="shared" ca="1" si="54"/>
        <v>27.831423560978269</v>
      </c>
    </row>
    <row r="793" spans="1:6">
      <c r="A793" s="1">
        <v>9123673</v>
      </c>
      <c r="B793" s="1">
        <f t="shared" ca="1" si="51"/>
        <v>0.84110844741395441</v>
      </c>
      <c r="C793" s="1">
        <f t="shared" ca="1" si="50"/>
        <v>2</v>
      </c>
      <c r="D793" s="1">
        <f t="shared" ca="1" si="52"/>
        <v>30</v>
      </c>
      <c r="E793" s="2">
        <f t="shared" ca="1" si="53"/>
        <v>43208</v>
      </c>
      <c r="F793" s="6">
        <f t="shared" ca="1" si="54"/>
        <v>379.05029536130331</v>
      </c>
    </row>
    <row r="794" spans="1:6">
      <c r="A794" s="1">
        <v>9123676</v>
      </c>
      <c r="B794" s="1">
        <f t="shared" ca="1" si="51"/>
        <v>7.2208170993970588E-2</v>
      </c>
      <c r="C794" s="1">
        <f t="shared" ca="1" si="50"/>
        <v>18</v>
      </c>
      <c r="D794" s="1">
        <f t="shared" ca="1" si="52"/>
        <v>511</v>
      </c>
      <c r="E794" s="2">
        <f t="shared" ca="1" si="53"/>
        <v>43245</v>
      </c>
      <c r="F794" s="6">
        <f t="shared" ca="1" si="54"/>
        <v>3.0023045390412131</v>
      </c>
    </row>
    <row r="795" spans="1:6">
      <c r="A795" s="1">
        <v>9123679</v>
      </c>
      <c r="B795" s="1">
        <f t="shared" ca="1" si="51"/>
        <v>0.98557186562000787</v>
      </c>
      <c r="C795" s="1">
        <f t="shared" ref="C795:C858" ca="1" si="55">ROUND(_xlfn.GAMMA.INV(RAND(),$J$11,$J$12)*100,0)+1</f>
        <v>8</v>
      </c>
      <c r="D795" s="1">
        <f t="shared" ca="1" si="52"/>
        <v>456</v>
      </c>
      <c r="E795" s="2">
        <f t="shared" ca="1" si="53"/>
        <v>43179</v>
      </c>
      <c r="F795" s="6">
        <f t="shared" ca="1" si="54"/>
        <v>23.90208747321465</v>
      </c>
    </row>
    <row r="796" spans="1:6">
      <c r="A796" s="1">
        <v>9123682</v>
      </c>
      <c r="B796" s="1">
        <f t="shared" ca="1" si="51"/>
        <v>0.57923905395515207</v>
      </c>
      <c r="C796" s="1">
        <f t="shared" ca="1" si="55"/>
        <v>22</v>
      </c>
      <c r="D796" s="1">
        <f t="shared" ca="1" si="52"/>
        <v>413</v>
      </c>
      <c r="E796" s="2">
        <f t="shared" ca="1" si="53"/>
        <v>42933</v>
      </c>
      <c r="F796" s="6">
        <f t="shared" ca="1" si="54"/>
        <v>118.72826891235732</v>
      </c>
    </row>
    <row r="797" spans="1:6">
      <c r="A797" s="1">
        <v>9123685</v>
      </c>
      <c r="B797" s="1">
        <f t="shared" ca="1" si="51"/>
        <v>0.43732037255493927</v>
      </c>
      <c r="C797" s="1">
        <f t="shared" ca="1" si="55"/>
        <v>49</v>
      </c>
      <c r="D797" s="1">
        <f t="shared" ca="1" si="52"/>
        <v>26</v>
      </c>
      <c r="E797" s="2">
        <f t="shared" ca="1" si="53"/>
        <v>43371</v>
      </c>
      <c r="F797" s="6">
        <f t="shared" ca="1" si="54"/>
        <v>59.100352388135811</v>
      </c>
    </row>
    <row r="798" spans="1:6">
      <c r="A798" s="1">
        <v>9123688</v>
      </c>
      <c r="B798" s="1">
        <f t="shared" ca="1" si="51"/>
        <v>2.6376303636842513E-3</v>
      </c>
      <c r="C798" s="1">
        <f t="shared" ca="1" si="55"/>
        <v>17</v>
      </c>
      <c r="D798" s="1">
        <f t="shared" ca="1" si="52"/>
        <v>165</v>
      </c>
      <c r="E798" s="2">
        <f t="shared" ca="1" si="53"/>
        <v>43421</v>
      </c>
      <c r="F798" s="6">
        <f t="shared" ca="1" si="54"/>
        <v>43.005579059335908</v>
      </c>
    </row>
    <row r="799" spans="1:6">
      <c r="A799" s="1">
        <v>9123691</v>
      </c>
      <c r="B799" s="1">
        <f t="shared" ca="1" si="51"/>
        <v>0.30447561169937465</v>
      </c>
      <c r="C799" s="1">
        <f t="shared" ca="1" si="55"/>
        <v>1</v>
      </c>
      <c r="D799" s="1">
        <f t="shared" ca="1" si="52"/>
        <v>474</v>
      </c>
      <c r="E799" s="2">
        <f t="shared" ca="1" si="53"/>
        <v>43278</v>
      </c>
      <c r="F799" s="6">
        <f t="shared" ca="1" si="54"/>
        <v>11.897947536511875</v>
      </c>
    </row>
    <row r="800" spans="1:6">
      <c r="A800" s="1">
        <v>9123694</v>
      </c>
      <c r="B800" s="1">
        <f t="shared" ca="1" si="51"/>
        <v>0.44955214883958639</v>
      </c>
      <c r="C800" s="1">
        <f t="shared" ca="1" si="55"/>
        <v>20</v>
      </c>
      <c r="D800" s="1">
        <f t="shared" ca="1" si="52"/>
        <v>444</v>
      </c>
      <c r="E800" s="2">
        <f t="shared" ca="1" si="53"/>
        <v>42882</v>
      </c>
      <c r="F800" s="6">
        <f t="shared" ca="1" si="54"/>
        <v>94.963365239479756</v>
      </c>
    </row>
    <row r="801" spans="1:6">
      <c r="A801" s="1">
        <v>9123697</v>
      </c>
      <c r="B801" s="1">
        <f t="shared" ca="1" si="51"/>
        <v>6.519179236968764E-2</v>
      </c>
      <c r="C801" s="1">
        <f t="shared" ca="1" si="55"/>
        <v>62</v>
      </c>
      <c r="D801" s="1">
        <f t="shared" ca="1" si="52"/>
        <v>235</v>
      </c>
      <c r="E801" s="2">
        <f t="shared" ca="1" si="53"/>
        <v>42920</v>
      </c>
      <c r="F801" s="6">
        <f t="shared" ca="1" si="54"/>
        <v>5.6184617652200775</v>
      </c>
    </row>
    <row r="802" spans="1:6">
      <c r="A802" s="1">
        <v>9123700</v>
      </c>
      <c r="B802" s="1">
        <f t="shared" ca="1" si="51"/>
        <v>0.78146006412674762</v>
      </c>
      <c r="C802" s="1">
        <f t="shared" ca="1" si="55"/>
        <v>1</v>
      </c>
      <c r="D802" s="1">
        <f t="shared" ca="1" si="52"/>
        <v>474</v>
      </c>
      <c r="E802" s="2">
        <f t="shared" ca="1" si="53"/>
        <v>43357</v>
      </c>
      <c r="F802" s="6">
        <f t="shared" ca="1" si="54"/>
        <v>127.27461912278592</v>
      </c>
    </row>
    <row r="803" spans="1:6">
      <c r="A803" s="1">
        <v>9123703</v>
      </c>
      <c r="B803" s="1">
        <f t="shared" ca="1" si="51"/>
        <v>0.51473009220371102</v>
      </c>
      <c r="C803" s="1">
        <f t="shared" ca="1" si="55"/>
        <v>8</v>
      </c>
      <c r="D803" s="1">
        <f t="shared" ca="1" si="52"/>
        <v>456</v>
      </c>
      <c r="E803" s="2">
        <f t="shared" ca="1" si="53"/>
        <v>42903</v>
      </c>
      <c r="F803" s="6">
        <f t="shared" ca="1" si="54"/>
        <v>67.489657581157715</v>
      </c>
    </row>
    <row r="804" spans="1:6">
      <c r="A804" s="1">
        <v>9123706</v>
      </c>
      <c r="B804" s="1">
        <f t="shared" ca="1" si="51"/>
        <v>0.26063880201897938</v>
      </c>
      <c r="C804" s="1">
        <f t="shared" ca="1" si="55"/>
        <v>27</v>
      </c>
      <c r="D804" s="1">
        <f t="shared" ca="1" si="52"/>
        <v>398</v>
      </c>
      <c r="E804" s="2">
        <f t="shared" ca="1" si="53"/>
        <v>42919</v>
      </c>
      <c r="F804" s="6">
        <f t="shared" ca="1" si="54"/>
        <v>86.962350087813746</v>
      </c>
    </row>
    <row r="805" spans="1:6">
      <c r="A805" s="1">
        <v>9123709</v>
      </c>
      <c r="B805" s="1">
        <f t="shared" ca="1" si="51"/>
        <v>0.59495924440704151</v>
      </c>
      <c r="C805" s="1">
        <f t="shared" ca="1" si="55"/>
        <v>30</v>
      </c>
      <c r="D805" s="1">
        <f t="shared" ca="1" si="52"/>
        <v>53</v>
      </c>
      <c r="E805" s="2">
        <f t="shared" ca="1" si="53"/>
        <v>43379</v>
      </c>
      <c r="F805" s="6">
        <f t="shared" ca="1" si="54"/>
        <v>115.53239365530887</v>
      </c>
    </row>
    <row r="806" spans="1:6">
      <c r="A806" s="1">
        <v>9123712</v>
      </c>
      <c r="B806" s="1">
        <f t="shared" ca="1" si="51"/>
        <v>0.33116708931956007</v>
      </c>
      <c r="C806" s="1">
        <f t="shared" ca="1" si="55"/>
        <v>3</v>
      </c>
      <c r="D806" s="1">
        <f t="shared" ca="1" si="52"/>
        <v>263</v>
      </c>
      <c r="E806" s="2">
        <f t="shared" ca="1" si="53"/>
        <v>43141</v>
      </c>
      <c r="F806" s="6">
        <f t="shared" ca="1" si="54"/>
        <v>344.81696153309156</v>
      </c>
    </row>
    <row r="807" spans="1:6">
      <c r="A807" s="1">
        <v>9123715</v>
      </c>
      <c r="B807" s="1">
        <f t="shared" ca="1" si="51"/>
        <v>0.74679392861692451</v>
      </c>
      <c r="C807" s="1">
        <f t="shared" ca="1" si="55"/>
        <v>5</v>
      </c>
      <c r="D807" s="1">
        <f t="shared" ca="1" si="52"/>
        <v>363</v>
      </c>
      <c r="E807" s="2">
        <f t="shared" ca="1" si="53"/>
        <v>42945</v>
      </c>
      <c r="F807" s="6">
        <f t="shared" ca="1" si="54"/>
        <v>83.915036100959199</v>
      </c>
    </row>
    <row r="808" spans="1:6">
      <c r="A808" s="1">
        <v>9123718</v>
      </c>
      <c r="B808" s="1">
        <f t="shared" ca="1" si="51"/>
        <v>0.60748900898749147</v>
      </c>
      <c r="C808" s="1">
        <f t="shared" ca="1" si="55"/>
        <v>153</v>
      </c>
      <c r="D808" s="1">
        <f t="shared" ca="1" si="52"/>
        <v>316</v>
      </c>
      <c r="E808" s="2">
        <f t="shared" ca="1" si="53"/>
        <v>43445</v>
      </c>
      <c r="F808" s="6">
        <f t="shared" ca="1" si="54"/>
        <v>19.686664300512927</v>
      </c>
    </row>
    <row r="809" spans="1:6">
      <c r="A809" s="1">
        <v>9123721</v>
      </c>
      <c r="B809" s="1">
        <f t="shared" ca="1" si="51"/>
        <v>5.4598467329620259E-2</v>
      </c>
      <c r="C809" s="1">
        <f t="shared" ca="1" si="55"/>
        <v>2</v>
      </c>
      <c r="D809" s="1">
        <f t="shared" ca="1" si="52"/>
        <v>30</v>
      </c>
      <c r="E809" s="2">
        <f t="shared" ca="1" si="53"/>
        <v>42833</v>
      </c>
      <c r="F809" s="6">
        <f t="shared" ca="1" si="54"/>
        <v>3.0024500194946784</v>
      </c>
    </row>
    <row r="810" spans="1:6">
      <c r="A810" s="1">
        <v>9123724</v>
      </c>
      <c r="B810" s="1">
        <f t="shared" ca="1" si="51"/>
        <v>0.34782153501375845</v>
      </c>
      <c r="C810" s="1">
        <f t="shared" ca="1" si="55"/>
        <v>10</v>
      </c>
      <c r="D810" s="1">
        <f t="shared" ca="1" si="52"/>
        <v>236</v>
      </c>
      <c r="E810" s="2">
        <f t="shared" ca="1" si="53"/>
        <v>43036</v>
      </c>
      <c r="F810" s="6">
        <f t="shared" ca="1" si="54"/>
        <v>27.309583473842853</v>
      </c>
    </row>
    <row r="811" spans="1:6">
      <c r="A811" s="1">
        <v>9123727</v>
      </c>
      <c r="B811" s="1">
        <f t="shared" ca="1" si="51"/>
        <v>0.13131512834954417</v>
      </c>
      <c r="C811" s="1">
        <f t="shared" ca="1" si="55"/>
        <v>16</v>
      </c>
      <c r="D811" s="1">
        <f t="shared" ca="1" si="52"/>
        <v>465</v>
      </c>
      <c r="E811" s="2">
        <f t="shared" ca="1" si="53"/>
        <v>43078</v>
      </c>
      <c r="F811" s="6">
        <f t="shared" ca="1" si="54"/>
        <v>47.216230190005604</v>
      </c>
    </row>
    <row r="812" spans="1:6">
      <c r="A812" s="1">
        <v>9123730</v>
      </c>
      <c r="B812" s="1">
        <f t="shared" ca="1" si="51"/>
        <v>0.73940422515239546</v>
      </c>
      <c r="C812" s="1">
        <f t="shared" ca="1" si="55"/>
        <v>69</v>
      </c>
      <c r="D812" s="1">
        <f t="shared" ca="1" si="52"/>
        <v>142</v>
      </c>
      <c r="E812" s="2">
        <f t="shared" ca="1" si="53"/>
        <v>43189</v>
      </c>
      <c r="F812" s="6">
        <f t="shared" ca="1" si="54"/>
        <v>44.506475759610744</v>
      </c>
    </row>
    <row r="813" spans="1:6">
      <c r="A813" s="1">
        <v>9123733</v>
      </c>
      <c r="B813" s="1">
        <f t="shared" ca="1" si="51"/>
        <v>0.54676679502717374</v>
      </c>
      <c r="C813" s="1">
        <f t="shared" ca="1" si="55"/>
        <v>2</v>
      </c>
      <c r="D813" s="1">
        <f t="shared" ca="1" si="52"/>
        <v>30</v>
      </c>
      <c r="E813" s="2">
        <f t="shared" ca="1" si="53"/>
        <v>43008</v>
      </c>
      <c r="F813" s="6">
        <f t="shared" ca="1" si="54"/>
        <v>3.0352438297787265</v>
      </c>
    </row>
    <row r="814" spans="1:6">
      <c r="A814" s="1">
        <v>9123736</v>
      </c>
      <c r="B814" s="1">
        <f t="shared" ca="1" si="51"/>
        <v>0.1956526252346571</v>
      </c>
      <c r="C814" s="1">
        <f t="shared" ca="1" si="55"/>
        <v>8</v>
      </c>
      <c r="D814" s="1">
        <f t="shared" ca="1" si="52"/>
        <v>456</v>
      </c>
      <c r="E814" s="2">
        <f t="shared" ca="1" si="53"/>
        <v>42761</v>
      </c>
      <c r="F814" s="6">
        <f t="shared" ca="1" si="54"/>
        <v>899.10734098846171</v>
      </c>
    </row>
    <row r="815" spans="1:6">
      <c r="A815" s="1">
        <v>9123739</v>
      </c>
      <c r="B815" s="1">
        <f t="shared" ca="1" si="51"/>
        <v>0.99500724052489953</v>
      </c>
      <c r="C815" s="1">
        <f t="shared" ca="1" si="55"/>
        <v>18</v>
      </c>
      <c r="D815" s="1">
        <f t="shared" ca="1" si="52"/>
        <v>511</v>
      </c>
      <c r="E815" s="2">
        <f t="shared" ca="1" si="53"/>
        <v>42872</v>
      </c>
      <c r="F815" s="6">
        <f t="shared" ca="1" si="54"/>
        <v>12.464185878911518</v>
      </c>
    </row>
    <row r="816" spans="1:6">
      <c r="A816" s="1">
        <v>9123742</v>
      </c>
      <c r="B816" s="1">
        <f t="shared" ca="1" si="51"/>
        <v>0.12458555811399585</v>
      </c>
      <c r="C816" s="1">
        <f t="shared" ca="1" si="55"/>
        <v>1</v>
      </c>
      <c r="D816" s="1">
        <f t="shared" ca="1" si="52"/>
        <v>474</v>
      </c>
      <c r="E816" s="2">
        <f t="shared" ca="1" si="53"/>
        <v>43068</v>
      </c>
      <c r="F816" s="6">
        <f t="shared" ca="1" si="54"/>
        <v>154.82520806715763</v>
      </c>
    </row>
    <row r="817" spans="1:6">
      <c r="A817" s="1">
        <v>9123745</v>
      </c>
      <c r="B817" s="1">
        <f t="shared" ca="1" si="51"/>
        <v>0.1511098065737313</v>
      </c>
      <c r="C817" s="1">
        <f t="shared" ca="1" si="55"/>
        <v>65</v>
      </c>
      <c r="D817" s="1">
        <f t="shared" ca="1" si="52"/>
        <v>463</v>
      </c>
      <c r="E817" s="2">
        <f t="shared" ca="1" si="53"/>
        <v>43008</v>
      </c>
      <c r="F817" s="6">
        <f t="shared" ca="1" si="54"/>
        <v>6.5191717728888516</v>
      </c>
    </row>
    <row r="818" spans="1:6">
      <c r="A818" s="1">
        <v>9123748</v>
      </c>
      <c r="B818" s="1">
        <f t="shared" ca="1" si="51"/>
        <v>0.39349819531397445</v>
      </c>
      <c r="C818" s="1">
        <f t="shared" ca="1" si="55"/>
        <v>235</v>
      </c>
      <c r="D818" s="1">
        <f t="shared" ca="1" si="52"/>
        <v>74</v>
      </c>
      <c r="E818" s="2">
        <f t="shared" ca="1" si="53"/>
        <v>43258</v>
      </c>
      <c r="F818" s="6">
        <f t="shared" ca="1" si="54"/>
        <v>3.7403064808383495</v>
      </c>
    </row>
    <row r="819" spans="1:6">
      <c r="A819" s="1">
        <v>9123751</v>
      </c>
      <c r="B819" s="1">
        <f t="shared" ca="1" si="51"/>
        <v>0.53241288848233514</v>
      </c>
      <c r="C819" s="1">
        <f t="shared" ca="1" si="55"/>
        <v>55</v>
      </c>
      <c r="D819" s="1">
        <f t="shared" ca="1" si="52"/>
        <v>220</v>
      </c>
      <c r="E819" s="2">
        <f t="shared" ca="1" si="53"/>
        <v>43044</v>
      </c>
      <c r="F819" s="6">
        <f t="shared" ca="1" si="54"/>
        <v>129.77716401047479</v>
      </c>
    </row>
    <row r="820" spans="1:6">
      <c r="A820" s="1">
        <v>9123754</v>
      </c>
      <c r="B820" s="1">
        <f t="shared" ca="1" si="51"/>
        <v>1.0994674694432494E-2</v>
      </c>
      <c r="C820" s="1">
        <f t="shared" ca="1" si="55"/>
        <v>104</v>
      </c>
      <c r="D820" s="1">
        <f t="shared" ca="1" si="52"/>
        <v>560</v>
      </c>
      <c r="E820" s="2">
        <f t="shared" ca="1" si="53"/>
        <v>43167</v>
      </c>
      <c r="F820" s="6">
        <f t="shared" ca="1" si="54"/>
        <v>54.407635867210658</v>
      </c>
    </row>
    <row r="821" spans="1:6">
      <c r="A821" s="1">
        <v>9123757</v>
      </c>
      <c r="B821" s="1">
        <f t="shared" ca="1" si="51"/>
        <v>0.81562201741651286</v>
      </c>
      <c r="C821" s="1">
        <f t="shared" ca="1" si="55"/>
        <v>43</v>
      </c>
      <c r="D821" s="1">
        <f t="shared" ca="1" si="52"/>
        <v>73</v>
      </c>
      <c r="E821" s="2">
        <f t="shared" ca="1" si="53"/>
        <v>42912</v>
      </c>
      <c r="F821" s="6">
        <f t="shared" ca="1" si="54"/>
        <v>15.296224330238054</v>
      </c>
    </row>
    <row r="822" spans="1:6">
      <c r="A822" s="1">
        <v>9123760</v>
      </c>
      <c r="B822" s="1">
        <f t="shared" ca="1" si="51"/>
        <v>6.20281530696567E-2</v>
      </c>
      <c r="C822" s="1">
        <f t="shared" ca="1" si="55"/>
        <v>8</v>
      </c>
      <c r="D822" s="1">
        <f t="shared" ca="1" si="52"/>
        <v>456</v>
      </c>
      <c r="E822" s="2">
        <f t="shared" ca="1" si="53"/>
        <v>43450</v>
      </c>
      <c r="F822" s="6">
        <f t="shared" ca="1" si="54"/>
        <v>31.56405071296939</v>
      </c>
    </row>
    <row r="823" spans="1:6">
      <c r="A823" s="1">
        <v>9123763</v>
      </c>
      <c r="B823" s="1">
        <f t="shared" ca="1" si="51"/>
        <v>0.60190090203235791</v>
      </c>
      <c r="C823" s="1">
        <f t="shared" ca="1" si="55"/>
        <v>67</v>
      </c>
      <c r="D823" s="1">
        <f t="shared" ca="1" si="52"/>
        <v>259</v>
      </c>
      <c r="E823" s="2">
        <f t="shared" ca="1" si="53"/>
        <v>43076</v>
      </c>
      <c r="F823" s="6">
        <f t="shared" ca="1" si="54"/>
        <v>32.79239196772064</v>
      </c>
    </row>
    <row r="824" spans="1:6">
      <c r="A824" s="1">
        <v>9123766</v>
      </c>
      <c r="B824" s="1">
        <f t="shared" ca="1" si="51"/>
        <v>0.52747367746533924</v>
      </c>
      <c r="C824" s="1">
        <f t="shared" ca="1" si="55"/>
        <v>95</v>
      </c>
      <c r="D824" s="1">
        <f t="shared" ca="1" si="52"/>
        <v>62</v>
      </c>
      <c r="E824" s="2">
        <f t="shared" ca="1" si="53"/>
        <v>43143</v>
      </c>
      <c r="F824" s="6">
        <f t="shared" ca="1" si="54"/>
        <v>4.3526103361361841</v>
      </c>
    </row>
    <row r="825" spans="1:6">
      <c r="A825" s="1">
        <v>9123769</v>
      </c>
      <c r="B825" s="1">
        <f t="shared" ca="1" si="51"/>
        <v>0.60265957861933273</v>
      </c>
      <c r="C825" s="1">
        <f t="shared" ca="1" si="55"/>
        <v>21</v>
      </c>
      <c r="D825" s="1">
        <f t="shared" ca="1" si="52"/>
        <v>566</v>
      </c>
      <c r="E825" s="2">
        <f t="shared" ca="1" si="53"/>
        <v>42829</v>
      </c>
      <c r="F825" s="6">
        <f t="shared" ca="1" si="54"/>
        <v>3.0166805187008476</v>
      </c>
    </row>
    <row r="826" spans="1:6">
      <c r="A826" s="1">
        <v>9123772</v>
      </c>
      <c r="B826" s="1">
        <f t="shared" ca="1" si="51"/>
        <v>0.95690111547455459</v>
      </c>
      <c r="C826" s="1">
        <f t="shared" ca="1" si="55"/>
        <v>5</v>
      </c>
      <c r="D826" s="1">
        <f t="shared" ca="1" si="52"/>
        <v>363</v>
      </c>
      <c r="E826" s="2">
        <f t="shared" ca="1" si="53"/>
        <v>43215</v>
      </c>
      <c r="F826" s="6">
        <f t="shared" ca="1" si="54"/>
        <v>3.0022675590772581</v>
      </c>
    </row>
    <row r="827" spans="1:6">
      <c r="A827" s="1">
        <v>9123775</v>
      </c>
      <c r="B827" s="1">
        <f t="shared" ca="1" si="51"/>
        <v>0.67591116197220635</v>
      </c>
      <c r="C827" s="1">
        <f t="shared" ca="1" si="55"/>
        <v>29</v>
      </c>
      <c r="D827" s="1">
        <f t="shared" ca="1" si="52"/>
        <v>514</v>
      </c>
      <c r="E827" s="2">
        <f t="shared" ca="1" si="53"/>
        <v>43241</v>
      </c>
      <c r="F827" s="6">
        <f t="shared" ca="1" si="54"/>
        <v>45.281057358979375</v>
      </c>
    </row>
    <row r="828" spans="1:6">
      <c r="A828" s="1">
        <v>9123778</v>
      </c>
      <c r="B828" s="1">
        <f t="shared" ca="1" si="51"/>
        <v>0.10413256118221115</v>
      </c>
      <c r="C828" s="1">
        <f t="shared" ca="1" si="55"/>
        <v>3</v>
      </c>
      <c r="D828" s="1">
        <f t="shared" ca="1" si="52"/>
        <v>263</v>
      </c>
      <c r="E828" s="2">
        <f t="shared" ca="1" si="53"/>
        <v>43407</v>
      </c>
      <c r="F828" s="6">
        <f t="shared" ca="1" si="54"/>
        <v>3.3125394304835312</v>
      </c>
    </row>
    <row r="829" spans="1:6">
      <c r="A829" s="1">
        <v>9123781</v>
      </c>
      <c r="B829" s="1">
        <f t="shared" ca="1" si="51"/>
        <v>0.54790420118146532</v>
      </c>
      <c r="C829" s="1">
        <f t="shared" ca="1" si="55"/>
        <v>19</v>
      </c>
      <c r="D829" s="1">
        <f t="shared" ca="1" si="52"/>
        <v>42</v>
      </c>
      <c r="E829" s="2">
        <f t="shared" ca="1" si="53"/>
        <v>43488</v>
      </c>
      <c r="F829" s="6">
        <f t="shared" ca="1" si="54"/>
        <v>113.78603153399614</v>
      </c>
    </row>
    <row r="830" spans="1:6">
      <c r="A830" s="1">
        <v>9123784</v>
      </c>
      <c r="B830" s="1">
        <f t="shared" ca="1" si="51"/>
        <v>0.16922912086712216</v>
      </c>
      <c r="C830" s="1">
        <f t="shared" ca="1" si="55"/>
        <v>1</v>
      </c>
      <c r="D830" s="1">
        <f t="shared" ca="1" si="52"/>
        <v>474</v>
      </c>
      <c r="E830" s="2">
        <f t="shared" ca="1" si="53"/>
        <v>42824</v>
      </c>
      <c r="F830" s="6">
        <f t="shared" ca="1" si="54"/>
        <v>129.62671798864369</v>
      </c>
    </row>
    <row r="831" spans="1:6">
      <c r="A831" s="1">
        <v>9123787</v>
      </c>
      <c r="B831" s="1">
        <f t="shared" ca="1" si="51"/>
        <v>0.28843161989663424</v>
      </c>
      <c r="C831" s="1">
        <f t="shared" ca="1" si="55"/>
        <v>22</v>
      </c>
      <c r="D831" s="1">
        <f t="shared" ca="1" si="52"/>
        <v>413</v>
      </c>
      <c r="E831" s="2">
        <f t="shared" ca="1" si="53"/>
        <v>43348</v>
      </c>
      <c r="F831" s="6">
        <f t="shared" ca="1" si="54"/>
        <v>15.906738531057524</v>
      </c>
    </row>
    <row r="832" spans="1:6">
      <c r="A832" s="1">
        <v>9123790</v>
      </c>
      <c r="B832" s="1">
        <f t="shared" ca="1" si="51"/>
        <v>0.38165806039364925</v>
      </c>
      <c r="C832" s="1">
        <f t="shared" ca="1" si="55"/>
        <v>10</v>
      </c>
      <c r="D832" s="1">
        <f t="shared" ca="1" si="52"/>
        <v>236</v>
      </c>
      <c r="E832" s="2">
        <f t="shared" ca="1" si="53"/>
        <v>43090</v>
      </c>
      <c r="F832" s="6">
        <f t="shared" ca="1" si="54"/>
        <v>47.19039790341953</v>
      </c>
    </row>
    <row r="833" spans="1:6">
      <c r="A833" s="1">
        <v>9123793</v>
      </c>
      <c r="B833" s="1">
        <f t="shared" ca="1" si="51"/>
        <v>0.36540786691211191</v>
      </c>
      <c r="C833" s="1">
        <f t="shared" ca="1" si="55"/>
        <v>32</v>
      </c>
      <c r="D833" s="1">
        <f t="shared" ca="1" si="52"/>
        <v>497</v>
      </c>
      <c r="E833" s="2">
        <f t="shared" ca="1" si="53"/>
        <v>43089</v>
      </c>
      <c r="F833" s="6">
        <f t="shared" ca="1" si="54"/>
        <v>4.2595384474158564</v>
      </c>
    </row>
    <row r="834" spans="1:6">
      <c r="A834" s="1">
        <v>9123796</v>
      </c>
      <c r="B834" s="1">
        <f t="shared" ref="B834:B897" ca="1" si="56">RAND()</f>
        <v>0.37318182591882276</v>
      </c>
      <c r="C834" s="1">
        <f t="shared" ca="1" si="55"/>
        <v>1</v>
      </c>
      <c r="D834" s="1">
        <f t="shared" ca="1" si="52"/>
        <v>474</v>
      </c>
      <c r="E834" s="2">
        <f t="shared" ca="1" si="53"/>
        <v>43189</v>
      </c>
      <c r="F834" s="6">
        <f t="shared" ca="1" si="54"/>
        <v>4.0775223416994999</v>
      </c>
    </row>
    <row r="835" spans="1:6">
      <c r="A835" s="1">
        <v>9123799</v>
      </c>
      <c r="B835" s="1">
        <f t="shared" ca="1" si="56"/>
        <v>5.8079331568454129E-2</v>
      </c>
      <c r="C835" s="1">
        <f t="shared" ca="1" si="55"/>
        <v>26</v>
      </c>
      <c r="D835" s="1">
        <f t="shared" ref="D835:D898" ca="1" si="57">VLOOKUP(SMALL($B$2:$B$601,C835),$B$2:$C$601,2,FALSE)</f>
        <v>88</v>
      </c>
      <c r="E835" s="2">
        <f t="shared" ref="E835:E898" ca="1" si="58">RANDBETWEEN("1/1/17","2/1/19")</f>
        <v>42839</v>
      </c>
      <c r="F835" s="6">
        <f t="shared" ref="F835:F898" ca="1" si="59">_xlfn.GAMMA.INV(RAND(),$J$6,$J$7)*100+3</f>
        <v>51.813892682215887</v>
      </c>
    </row>
    <row r="836" spans="1:6">
      <c r="A836" s="1">
        <v>9123802</v>
      </c>
      <c r="B836" s="1">
        <f t="shared" ca="1" si="56"/>
        <v>0.98641900959570517</v>
      </c>
      <c r="C836" s="1">
        <f t="shared" ca="1" si="55"/>
        <v>61</v>
      </c>
      <c r="D836" s="1">
        <f t="shared" ca="1" si="57"/>
        <v>92</v>
      </c>
      <c r="E836" s="2">
        <f t="shared" ca="1" si="58"/>
        <v>42914</v>
      </c>
      <c r="F836" s="6">
        <f t="shared" ca="1" si="59"/>
        <v>36.511043282894505</v>
      </c>
    </row>
    <row r="837" spans="1:6">
      <c r="A837" s="1">
        <v>9123805</v>
      </c>
      <c r="B837" s="1">
        <f t="shared" ca="1" si="56"/>
        <v>0.88360925381480493</v>
      </c>
      <c r="C837" s="1">
        <f t="shared" ca="1" si="55"/>
        <v>5</v>
      </c>
      <c r="D837" s="1">
        <f t="shared" ca="1" si="57"/>
        <v>363</v>
      </c>
      <c r="E837" s="2">
        <f t="shared" ca="1" si="58"/>
        <v>43411</v>
      </c>
      <c r="F837" s="6">
        <f t="shared" ca="1" si="59"/>
        <v>3.9693319914472163</v>
      </c>
    </row>
    <row r="838" spans="1:6">
      <c r="A838" s="1">
        <v>9123808</v>
      </c>
      <c r="B838" s="1">
        <f t="shared" ca="1" si="56"/>
        <v>0.92212675356066942</v>
      </c>
      <c r="C838" s="1">
        <f t="shared" ca="1" si="55"/>
        <v>70</v>
      </c>
      <c r="D838" s="1">
        <f t="shared" ca="1" si="57"/>
        <v>82</v>
      </c>
      <c r="E838" s="2">
        <f t="shared" ca="1" si="58"/>
        <v>42894</v>
      </c>
      <c r="F838" s="6">
        <f t="shared" ca="1" si="59"/>
        <v>12.688437971603463</v>
      </c>
    </row>
    <row r="839" spans="1:6">
      <c r="A839" s="1">
        <v>9123811</v>
      </c>
      <c r="B839" s="1">
        <f t="shared" ca="1" si="56"/>
        <v>0.89232793877086369</v>
      </c>
      <c r="C839" s="1">
        <f t="shared" ca="1" si="55"/>
        <v>1</v>
      </c>
      <c r="D839" s="1">
        <f t="shared" ca="1" si="57"/>
        <v>474</v>
      </c>
      <c r="E839" s="2">
        <f t="shared" ca="1" si="58"/>
        <v>42951</v>
      </c>
      <c r="F839" s="6">
        <f t="shared" ca="1" si="59"/>
        <v>82.254378075902096</v>
      </c>
    </row>
    <row r="840" spans="1:6">
      <c r="A840" s="1">
        <v>9123814</v>
      </c>
      <c r="B840" s="1">
        <f t="shared" ca="1" si="56"/>
        <v>0.86013315447754357</v>
      </c>
      <c r="C840" s="1">
        <f t="shared" ca="1" si="55"/>
        <v>9</v>
      </c>
      <c r="D840" s="1">
        <f t="shared" ca="1" si="57"/>
        <v>278</v>
      </c>
      <c r="E840" s="2">
        <f t="shared" ca="1" si="58"/>
        <v>43136</v>
      </c>
      <c r="F840" s="6">
        <f t="shared" ca="1" si="59"/>
        <v>7.2054804271113024</v>
      </c>
    </row>
    <row r="841" spans="1:6">
      <c r="A841" s="1">
        <v>9123817</v>
      </c>
      <c r="B841" s="1">
        <f t="shared" ca="1" si="56"/>
        <v>0.18777749434743674</v>
      </c>
      <c r="C841" s="1">
        <f t="shared" ca="1" si="55"/>
        <v>1</v>
      </c>
      <c r="D841" s="1">
        <f t="shared" ca="1" si="57"/>
        <v>474</v>
      </c>
      <c r="E841" s="2">
        <f t="shared" ca="1" si="58"/>
        <v>43112</v>
      </c>
      <c r="F841" s="6">
        <f t="shared" ca="1" si="59"/>
        <v>54.703369830521261</v>
      </c>
    </row>
    <row r="842" spans="1:6">
      <c r="A842" s="1">
        <v>9123820</v>
      </c>
      <c r="B842" s="1">
        <f t="shared" ca="1" si="56"/>
        <v>0.36777641684397144</v>
      </c>
      <c r="C842" s="1">
        <f t="shared" ca="1" si="55"/>
        <v>27</v>
      </c>
      <c r="D842" s="1">
        <f t="shared" ca="1" si="57"/>
        <v>398</v>
      </c>
      <c r="E842" s="2">
        <f t="shared" ca="1" si="58"/>
        <v>42775</v>
      </c>
      <c r="F842" s="6">
        <f t="shared" ca="1" si="59"/>
        <v>8.6460149503768609</v>
      </c>
    </row>
    <row r="843" spans="1:6">
      <c r="A843" s="1">
        <v>9123823</v>
      </c>
      <c r="B843" s="1">
        <f t="shared" ca="1" si="56"/>
        <v>0.64270692913236505</v>
      </c>
      <c r="C843" s="1">
        <f t="shared" ca="1" si="55"/>
        <v>65</v>
      </c>
      <c r="D843" s="1">
        <f t="shared" ca="1" si="57"/>
        <v>463</v>
      </c>
      <c r="E843" s="2">
        <f t="shared" ca="1" si="58"/>
        <v>42745</v>
      </c>
      <c r="F843" s="6">
        <f t="shared" ca="1" si="59"/>
        <v>59.929845999480477</v>
      </c>
    </row>
    <row r="844" spans="1:6">
      <c r="A844" s="1">
        <v>9123826</v>
      </c>
      <c r="B844" s="1">
        <f t="shared" ca="1" si="56"/>
        <v>0.27457933028713988</v>
      </c>
      <c r="C844" s="1">
        <f t="shared" ca="1" si="55"/>
        <v>4</v>
      </c>
      <c r="D844" s="1">
        <f t="shared" ca="1" si="57"/>
        <v>493</v>
      </c>
      <c r="E844" s="2">
        <f t="shared" ca="1" si="58"/>
        <v>43475</v>
      </c>
      <c r="F844" s="6">
        <f t="shared" ca="1" si="59"/>
        <v>13.196479810078319</v>
      </c>
    </row>
    <row r="845" spans="1:6">
      <c r="A845" s="1">
        <v>9123829</v>
      </c>
      <c r="B845" s="1">
        <f t="shared" ca="1" si="56"/>
        <v>0.84801044695657235</v>
      </c>
      <c r="C845" s="1">
        <f t="shared" ca="1" si="55"/>
        <v>143</v>
      </c>
      <c r="D845" s="1">
        <f t="shared" ca="1" si="57"/>
        <v>438</v>
      </c>
      <c r="E845" s="2">
        <f t="shared" ca="1" si="58"/>
        <v>42888</v>
      </c>
      <c r="F845" s="6">
        <f t="shared" ca="1" si="59"/>
        <v>115.8505699337895</v>
      </c>
    </row>
    <row r="846" spans="1:6">
      <c r="A846" s="1">
        <v>9123832</v>
      </c>
      <c r="B846" s="1">
        <f t="shared" ca="1" si="56"/>
        <v>0.937068673745034</v>
      </c>
      <c r="C846" s="1">
        <f t="shared" ca="1" si="55"/>
        <v>16</v>
      </c>
      <c r="D846" s="1">
        <f t="shared" ca="1" si="57"/>
        <v>465</v>
      </c>
      <c r="E846" s="2">
        <f t="shared" ca="1" si="58"/>
        <v>42836</v>
      </c>
      <c r="F846" s="6">
        <f t="shared" ca="1" si="59"/>
        <v>66.421643996116771</v>
      </c>
    </row>
    <row r="847" spans="1:6">
      <c r="A847" s="1">
        <v>9123835</v>
      </c>
      <c r="B847" s="1">
        <f t="shared" ca="1" si="56"/>
        <v>0.76337639744941443</v>
      </c>
      <c r="C847" s="1">
        <f t="shared" ca="1" si="55"/>
        <v>6</v>
      </c>
      <c r="D847" s="1">
        <f t="shared" ca="1" si="57"/>
        <v>208</v>
      </c>
      <c r="E847" s="2">
        <f t="shared" ca="1" si="58"/>
        <v>42937</v>
      </c>
      <c r="F847" s="6">
        <f t="shared" ca="1" si="59"/>
        <v>3.1786478347099871</v>
      </c>
    </row>
    <row r="848" spans="1:6">
      <c r="A848" s="1">
        <v>9123838</v>
      </c>
      <c r="B848" s="1">
        <f t="shared" ca="1" si="56"/>
        <v>3.1729836999627725E-3</v>
      </c>
      <c r="C848" s="1">
        <f t="shared" ca="1" si="55"/>
        <v>4</v>
      </c>
      <c r="D848" s="1">
        <f t="shared" ca="1" si="57"/>
        <v>493</v>
      </c>
      <c r="E848" s="2">
        <f t="shared" ca="1" si="58"/>
        <v>43291</v>
      </c>
      <c r="F848" s="6">
        <f t="shared" ca="1" si="59"/>
        <v>30.983504749227762</v>
      </c>
    </row>
    <row r="849" spans="1:6">
      <c r="A849" s="1">
        <v>9123841</v>
      </c>
      <c r="B849" s="1">
        <f t="shared" ca="1" si="56"/>
        <v>0.71495911099926335</v>
      </c>
      <c r="C849" s="1">
        <f t="shared" ca="1" si="55"/>
        <v>10</v>
      </c>
      <c r="D849" s="1">
        <f t="shared" ca="1" si="57"/>
        <v>236</v>
      </c>
      <c r="E849" s="2">
        <f t="shared" ca="1" si="58"/>
        <v>43264</v>
      </c>
      <c r="F849" s="6">
        <f t="shared" ca="1" si="59"/>
        <v>70.481183969866336</v>
      </c>
    </row>
    <row r="850" spans="1:6">
      <c r="A850" s="1">
        <v>9123844</v>
      </c>
      <c r="B850" s="1">
        <f t="shared" ca="1" si="56"/>
        <v>0.75753480429711761</v>
      </c>
      <c r="C850" s="1">
        <f t="shared" ca="1" si="55"/>
        <v>170</v>
      </c>
      <c r="D850" s="1">
        <f t="shared" ca="1" si="57"/>
        <v>521</v>
      </c>
      <c r="E850" s="2">
        <f t="shared" ca="1" si="58"/>
        <v>42794</v>
      </c>
      <c r="F850" s="6">
        <f t="shared" ca="1" si="59"/>
        <v>4.2082693126934316</v>
      </c>
    </row>
    <row r="851" spans="1:6">
      <c r="A851" s="1">
        <v>9123847</v>
      </c>
      <c r="B851" s="1">
        <f t="shared" ca="1" si="56"/>
        <v>0.51377013935850602</v>
      </c>
      <c r="C851" s="1">
        <f t="shared" ca="1" si="55"/>
        <v>15</v>
      </c>
      <c r="D851" s="1">
        <f t="shared" ca="1" si="57"/>
        <v>284</v>
      </c>
      <c r="E851" s="2">
        <f t="shared" ca="1" si="58"/>
        <v>42807</v>
      </c>
      <c r="F851" s="6">
        <f t="shared" ca="1" si="59"/>
        <v>161.68231240631206</v>
      </c>
    </row>
    <row r="852" spans="1:6">
      <c r="A852" s="1">
        <v>9123850</v>
      </c>
      <c r="B852" s="1">
        <f t="shared" ca="1" si="56"/>
        <v>0.53070531095237872</v>
      </c>
      <c r="C852" s="1">
        <f t="shared" ca="1" si="55"/>
        <v>60</v>
      </c>
      <c r="D852" s="1">
        <f t="shared" ca="1" si="57"/>
        <v>422</v>
      </c>
      <c r="E852" s="2">
        <f t="shared" ca="1" si="58"/>
        <v>43234</v>
      </c>
      <c r="F852" s="6">
        <f t="shared" ca="1" si="59"/>
        <v>94.762332764194127</v>
      </c>
    </row>
    <row r="853" spans="1:6">
      <c r="A853" s="1">
        <v>9123853</v>
      </c>
      <c r="B853" s="1">
        <f t="shared" ca="1" si="56"/>
        <v>0.70610791678103479</v>
      </c>
      <c r="C853" s="1">
        <f t="shared" ca="1" si="55"/>
        <v>65</v>
      </c>
      <c r="D853" s="1">
        <f t="shared" ca="1" si="57"/>
        <v>463</v>
      </c>
      <c r="E853" s="2">
        <f t="shared" ca="1" si="58"/>
        <v>43336</v>
      </c>
      <c r="F853" s="6">
        <f t="shared" ca="1" si="59"/>
        <v>96.96384147712844</v>
      </c>
    </row>
    <row r="854" spans="1:6">
      <c r="A854" s="1">
        <v>9123856</v>
      </c>
      <c r="B854" s="1">
        <f t="shared" ca="1" si="56"/>
        <v>0.36193978348555211</v>
      </c>
      <c r="C854" s="1">
        <f t="shared" ca="1" si="55"/>
        <v>78</v>
      </c>
      <c r="D854" s="1">
        <f t="shared" ca="1" si="57"/>
        <v>224</v>
      </c>
      <c r="E854" s="2">
        <f t="shared" ca="1" si="58"/>
        <v>43267</v>
      </c>
      <c r="F854" s="6">
        <f t="shared" ca="1" si="59"/>
        <v>11.200493138617455</v>
      </c>
    </row>
    <row r="855" spans="1:6">
      <c r="A855" s="1">
        <v>9123859</v>
      </c>
      <c r="B855" s="1">
        <f t="shared" ca="1" si="56"/>
        <v>0.16365589214476084</v>
      </c>
      <c r="C855" s="1">
        <f t="shared" ca="1" si="55"/>
        <v>50</v>
      </c>
      <c r="D855" s="1">
        <f t="shared" ca="1" si="57"/>
        <v>415</v>
      </c>
      <c r="E855" s="2">
        <f t="shared" ca="1" si="58"/>
        <v>43394</v>
      </c>
      <c r="F855" s="6">
        <f t="shared" ca="1" si="59"/>
        <v>36.238239075456313</v>
      </c>
    </row>
    <row r="856" spans="1:6">
      <c r="A856" s="1">
        <v>9123862</v>
      </c>
      <c r="B856" s="1">
        <f t="shared" ca="1" si="56"/>
        <v>0.70698992141240069</v>
      </c>
      <c r="C856" s="1">
        <f t="shared" ca="1" si="55"/>
        <v>3</v>
      </c>
      <c r="D856" s="1">
        <f t="shared" ca="1" si="57"/>
        <v>263</v>
      </c>
      <c r="E856" s="2">
        <f t="shared" ca="1" si="58"/>
        <v>43133</v>
      </c>
      <c r="F856" s="6">
        <f t="shared" ca="1" si="59"/>
        <v>27.740808283630486</v>
      </c>
    </row>
    <row r="857" spans="1:6">
      <c r="A857" s="1">
        <v>9123865</v>
      </c>
      <c r="B857" s="1">
        <f t="shared" ca="1" si="56"/>
        <v>0.92111097586009516</v>
      </c>
      <c r="C857" s="1">
        <f t="shared" ca="1" si="55"/>
        <v>67</v>
      </c>
      <c r="D857" s="1">
        <f t="shared" ca="1" si="57"/>
        <v>259</v>
      </c>
      <c r="E857" s="2">
        <f t="shared" ca="1" si="58"/>
        <v>43090</v>
      </c>
      <c r="F857" s="6">
        <f t="shared" ca="1" si="59"/>
        <v>105.63477230196499</v>
      </c>
    </row>
    <row r="858" spans="1:6">
      <c r="A858" s="1">
        <v>9123868</v>
      </c>
      <c r="B858" s="1">
        <f t="shared" ca="1" si="56"/>
        <v>0.52317062812465454</v>
      </c>
      <c r="C858" s="1">
        <f t="shared" ca="1" si="55"/>
        <v>24</v>
      </c>
      <c r="D858" s="1">
        <f t="shared" ca="1" si="57"/>
        <v>334</v>
      </c>
      <c r="E858" s="2">
        <f t="shared" ca="1" si="58"/>
        <v>43275</v>
      </c>
      <c r="F858" s="6">
        <f t="shared" ca="1" si="59"/>
        <v>309.67801773041145</v>
      </c>
    </row>
    <row r="859" spans="1:6">
      <c r="A859" s="1">
        <v>9123871</v>
      </c>
      <c r="B859" s="1">
        <f t="shared" ca="1" si="56"/>
        <v>0.82747421590041359</v>
      </c>
      <c r="C859" s="1">
        <f t="shared" ref="C859:C922" ca="1" si="60">ROUND(_xlfn.GAMMA.INV(RAND(),$J$11,$J$12)*100,0)+1</f>
        <v>26</v>
      </c>
      <c r="D859" s="1">
        <f t="shared" ca="1" si="57"/>
        <v>88</v>
      </c>
      <c r="E859" s="2">
        <f t="shared" ca="1" si="58"/>
        <v>42762</v>
      </c>
      <c r="F859" s="6">
        <f t="shared" ca="1" si="59"/>
        <v>16.236659918258347</v>
      </c>
    </row>
    <row r="860" spans="1:6">
      <c r="A860" s="1">
        <v>9123874</v>
      </c>
      <c r="B860" s="1">
        <f t="shared" ca="1" si="56"/>
        <v>0.24299885315384973</v>
      </c>
      <c r="C860" s="1">
        <f t="shared" ca="1" si="60"/>
        <v>208</v>
      </c>
      <c r="D860" s="1">
        <f t="shared" ca="1" si="57"/>
        <v>52</v>
      </c>
      <c r="E860" s="2">
        <f t="shared" ca="1" si="58"/>
        <v>43173</v>
      </c>
      <c r="F860" s="6">
        <f t="shared" ca="1" si="59"/>
        <v>3.1766535266719442</v>
      </c>
    </row>
    <row r="861" spans="1:6">
      <c r="A861" s="1">
        <v>9123877</v>
      </c>
      <c r="B861" s="1">
        <f t="shared" ca="1" si="56"/>
        <v>0.96276324108659794</v>
      </c>
      <c r="C861" s="1">
        <f t="shared" ca="1" si="60"/>
        <v>2</v>
      </c>
      <c r="D861" s="1">
        <f t="shared" ca="1" si="57"/>
        <v>30</v>
      </c>
      <c r="E861" s="2">
        <f t="shared" ca="1" si="58"/>
        <v>43109</v>
      </c>
      <c r="F861" s="6">
        <f t="shared" ca="1" si="59"/>
        <v>91.958375249213887</v>
      </c>
    </row>
    <row r="862" spans="1:6">
      <c r="A862" s="1">
        <v>9123880</v>
      </c>
      <c r="B862" s="1">
        <f t="shared" ca="1" si="56"/>
        <v>0.15429827399030982</v>
      </c>
      <c r="C862" s="1">
        <f t="shared" ca="1" si="60"/>
        <v>1</v>
      </c>
      <c r="D862" s="1">
        <f t="shared" ca="1" si="57"/>
        <v>474</v>
      </c>
      <c r="E862" s="2">
        <f t="shared" ca="1" si="58"/>
        <v>43025</v>
      </c>
      <c r="F862" s="6">
        <f t="shared" ca="1" si="59"/>
        <v>185.45323675306443</v>
      </c>
    </row>
    <row r="863" spans="1:6">
      <c r="A863" s="1">
        <v>9123883</v>
      </c>
      <c r="B863" s="1">
        <f t="shared" ca="1" si="56"/>
        <v>0.92910197802040539</v>
      </c>
      <c r="C863" s="1">
        <f t="shared" ca="1" si="60"/>
        <v>2</v>
      </c>
      <c r="D863" s="1">
        <f t="shared" ca="1" si="57"/>
        <v>30</v>
      </c>
      <c r="E863" s="2">
        <f t="shared" ca="1" si="58"/>
        <v>43029</v>
      </c>
      <c r="F863" s="6">
        <f t="shared" ca="1" si="59"/>
        <v>13.989750327128963</v>
      </c>
    </row>
    <row r="864" spans="1:6">
      <c r="A864" s="1">
        <v>9123886</v>
      </c>
      <c r="B864" s="1">
        <f t="shared" ca="1" si="56"/>
        <v>0.52991093511557441</v>
      </c>
      <c r="C864" s="1">
        <f t="shared" ca="1" si="60"/>
        <v>41</v>
      </c>
      <c r="D864" s="1">
        <f t="shared" ca="1" si="57"/>
        <v>37</v>
      </c>
      <c r="E864" s="2">
        <f t="shared" ca="1" si="58"/>
        <v>43385</v>
      </c>
      <c r="F864" s="6">
        <f t="shared" ca="1" si="59"/>
        <v>17.575362487087734</v>
      </c>
    </row>
    <row r="865" spans="1:6">
      <c r="A865" s="1">
        <v>9123889</v>
      </c>
      <c r="B865" s="1">
        <f t="shared" ca="1" si="56"/>
        <v>0.43153864636693184</v>
      </c>
      <c r="C865" s="1">
        <f t="shared" ca="1" si="60"/>
        <v>60</v>
      </c>
      <c r="D865" s="1">
        <f t="shared" ca="1" si="57"/>
        <v>422</v>
      </c>
      <c r="E865" s="2">
        <f t="shared" ca="1" si="58"/>
        <v>43070</v>
      </c>
      <c r="F865" s="6">
        <f t="shared" ca="1" si="59"/>
        <v>28.744172642959128</v>
      </c>
    </row>
    <row r="866" spans="1:6">
      <c r="A866" s="1">
        <v>9123892</v>
      </c>
      <c r="B866" s="1">
        <f t="shared" ca="1" si="56"/>
        <v>0.35657814336101656</v>
      </c>
      <c r="C866" s="1">
        <f t="shared" ca="1" si="60"/>
        <v>11</v>
      </c>
      <c r="D866" s="1">
        <f t="shared" ca="1" si="57"/>
        <v>437</v>
      </c>
      <c r="E866" s="2">
        <f t="shared" ca="1" si="58"/>
        <v>43275</v>
      </c>
      <c r="F866" s="6">
        <f t="shared" ca="1" si="59"/>
        <v>3.0426912205390253</v>
      </c>
    </row>
    <row r="867" spans="1:6">
      <c r="A867" s="1">
        <v>9123895</v>
      </c>
      <c r="B867" s="1">
        <f t="shared" ca="1" si="56"/>
        <v>0.94238767698318571</v>
      </c>
      <c r="C867" s="1">
        <f t="shared" ca="1" si="60"/>
        <v>8</v>
      </c>
      <c r="D867" s="1">
        <f t="shared" ca="1" si="57"/>
        <v>456</v>
      </c>
      <c r="E867" s="2">
        <f t="shared" ca="1" si="58"/>
        <v>43169</v>
      </c>
      <c r="F867" s="6">
        <f t="shared" ca="1" si="59"/>
        <v>65.176095821829193</v>
      </c>
    </row>
    <row r="868" spans="1:6">
      <c r="A868" s="1">
        <v>9123898</v>
      </c>
      <c r="B868" s="1">
        <f t="shared" ca="1" si="56"/>
        <v>1.2385719091128955E-2</v>
      </c>
      <c r="C868" s="1">
        <f t="shared" ca="1" si="60"/>
        <v>5</v>
      </c>
      <c r="D868" s="1">
        <f t="shared" ca="1" si="57"/>
        <v>363</v>
      </c>
      <c r="E868" s="2">
        <f t="shared" ca="1" si="58"/>
        <v>43159</v>
      </c>
      <c r="F868" s="6">
        <f t="shared" ca="1" si="59"/>
        <v>3.0201409716905476</v>
      </c>
    </row>
    <row r="869" spans="1:6">
      <c r="A869" s="1">
        <v>9123901</v>
      </c>
      <c r="B869" s="1">
        <f t="shared" ca="1" si="56"/>
        <v>8.7157047803493315E-2</v>
      </c>
      <c r="C869" s="1">
        <f t="shared" ca="1" si="60"/>
        <v>7</v>
      </c>
      <c r="D869" s="1">
        <f t="shared" ca="1" si="57"/>
        <v>138</v>
      </c>
      <c r="E869" s="2">
        <f t="shared" ca="1" si="58"/>
        <v>42843</v>
      </c>
      <c r="F869" s="6">
        <f t="shared" ca="1" si="59"/>
        <v>5.5690776574071776</v>
      </c>
    </row>
    <row r="870" spans="1:6">
      <c r="A870" s="1">
        <v>9123904</v>
      </c>
      <c r="B870" s="1">
        <f t="shared" ca="1" si="56"/>
        <v>0.12149033588602842</v>
      </c>
      <c r="C870" s="1">
        <f t="shared" ca="1" si="60"/>
        <v>5</v>
      </c>
      <c r="D870" s="1">
        <f t="shared" ca="1" si="57"/>
        <v>363</v>
      </c>
      <c r="E870" s="2">
        <f t="shared" ca="1" si="58"/>
        <v>43236</v>
      </c>
      <c r="F870" s="6">
        <f t="shared" ca="1" si="59"/>
        <v>25.2447375195114</v>
      </c>
    </row>
    <row r="871" spans="1:6">
      <c r="A871" s="1">
        <v>9123907</v>
      </c>
      <c r="B871" s="1">
        <f t="shared" ca="1" si="56"/>
        <v>0.12391855632973003</v>
      </c>
      <c r="C871" s="1">
        <f t="shared" ca="1" si="60"/>
        <v>82</v>
      </c>
      <c r="D871" s="1">
        <f t="shared" ca="1" si="57"/>
        <v>143</v>
      </c>
      <c r="E871" s="2">
        <f t="shared" ca="1" si="58"/>
        <v>42985</v>
      </c>
      <c r="F871" s="6">
        <f t="shared" ca="1" si="59"/>
        <v>92.870407510727162</v>
      </c>
    </row>
    <row r="872" spans="1:6">
      <c r="A872" s="1">
        <v>9123910</v>
      </c>
      <c r="B872" s="1">
        <f t="shared" ca="1" si="56"/>
        <v>0.76855747869885793</v>
      </c>
      <c r="C872" s="1">
        <f t="shared" ca="1" si="60"/>
        <v>4</v>
      </c>
      <c r="D872" s="1">
        <f t="shared" ca="1" si="57"/>
        <v>493</v>
      </c>
      <c r="E872" s="2">
        <f t="shared" ca="1" si="58"/>
        <v>43014</v>
      </c>
      <c r="F872" s="6">
        <f t="shared" ca="1" si="59"/>
        <v>10.25159216275836</v>
      </c>
    </row>
    <row r="873" spans="1:6">
      <c r="A873" s="1">
        <v>9123913</v>
      </c>
      <c r="B873" s="1">
        <f t="shared" ca="1" si="56"/>
        <v>0.1735342002818292</v>
      </c>
      <c r="C873" s="1">
        <f t="shared" ca="1" si="60"/>
        <v>8</v>
      </c>
      <c r="D873" s="1">
        <f t="shared" ca="1" si="57"/>
        <v>456</v>
      </c>
      <c r="E873" s="2">
        <f t="shared" ca="1" si="58"/>
        <v>43289</v>
      </c>
      <c r="F873" s="6">
        <f t="shared" ca="1" si="59"/>
        <v>15.265499318590315</v>
      </c>
    </row>
    <row r="874" spans="1:6">
      <c r="A874" s="1">
        <v>9123916</v>
      </c>
      <c r="B874" s="1">
        <f t="shared" ca="1" si="56"/>
        <v>0.86280386165498557</v>
      </c>
      <c r="C874" s="1">
        <f t="shared" ca="1" si="60"/>
        <v>111</v>
      </c>
      <c r="D874" s="1">
        <f t="shared" ca="1" si="57"/>
        <v>230</v>
      </c>
      <c r="E874" s="2">
        <f t="shared" ca="1" si="58"/>
        <v>43433</v>
      </c>
      <c r="F874" s="6">
        <f t="shared" ca="1" si="59"/>
        <v>79.434289616768126</v>
      </c>
    </row>
    <row r="875" spans="1:6">
      <c r="A875" s="1">
        <v>9123919</v>
      </c>
      <c r="B875" s="1">
        <f t="shared" ca="1" si="56"/>
        <v>0.59553623740705541</v>
      </c>
      <c r="C875" s="1">
        <f t="shared" ca="1" si="60"/>
        <v>1</v>
      </c>
      <c r="D875" s="1">
        <f t="shared" ca="1" si="57"/>
        <v>474</v>
      </c>
      <c r="E875" s="2">
        <f t="shared" ca="1" si="58"/>
        <v>42742</v>
      </c>
      <c r="F875" s="6">
        <f t="shared" ca="1" si="59"/>
        <v>263.69195998400721</v>
      </c>
    </row>
    <row r="876" spans="1:6">
      <c r="A876" s="1">
        <v>9123922</v>
      </c>
      <c r="B876" s="1">
        <f t="shared" ca="1" si="56"/>
        <v>0.44177095984517956</v>
      </c>
      <c r="C876" s="1">
        <f t="shared" ca="1" si="60"/>
        <v>33</v>
      </c>
      <c r="D876" s="1">
        <f t="shared" ca="1" si="57"/>
        <v>501</v>
      </c>
      <c r="E876" s="2">
        <f t="shared" ca="1" si="58"/>
        <v>43449</v>
      </c>
      <c r="F876" s="6">
        <f t="shared" ca="1" si="59"/>
        <v>37.401738481817894</v>
      </c>
    </row>
    <row r="877" spans="1:6">
      <c r="A877" s="1">
        <v>9123925</v>
      </c>
      <c r="B877" s="1">
        <f t="shared" ca="1" si="56"/>
        <v>0.75199654098202384</v>
      </c>
      <c r="C877" s="1">
        <f t="shared" ca="1" si="60"/>
        <v>8</v>
      </c>
      <c r="D877" s="1">
        <f t="shared" ca="1" si="57"/>
        <v>456</v>
      </c>
      <c r="E877" s="2">
        <f t="shared" ca="1" si="58"/>
        <v>43046</v>
      </c>
      <c r="F877" s="6">
        <f t="shared" ca="1" si="59"/>
        <v>90.142406429258457</v>
      </c>
    </row>
    <row r="878" spans="1:6">
      <c r="A878" s="1">
        <v>9123928</v>
      </c>
      <c r="B878" s="1">
        <f t="shared" ca="1" si="56"/>
        <v>0.83155290672730331</v>
      </c>
      <c r="C878" s="1">
        <f t="shared" ca="1" si="60"/>
        <v>2</v>
      </c>
      <c r="D878" s="1">
        <f t="shared" ca="1" si="57"/>
        <v>30</v>
      </c>
      <c r="E878" s="2">
        <f t="shared" ca="1" si="58"/>
        <v>43050</v>
      </c>
      <c r="F878" s="6">
        <f t="shared" ca="1" si="59"/>
        <v>5.0843140157278857</v>
      </c>
    </row>
    <row r="879" spans="1:6">
      <c r="A879" s="1">
        <v>9123931</v>
      </c>
      <c r="B879" s="1">
        <f t="shared" ca="1" si="56"/>
        <v>0.26625233030653139</v>
      </c>
      <c r="C879" s="1">
        <f t="shared" ca="1" si="60"/>
        <v>61</v>
      </c>
      <c r="D879" s="1">
        <f t="shared" ca="1" si="57"/>
        <v>92</v>
      </c>
      <c r="E879" s="2">
        <f t="shared" ca="1" si="58"/>
        <v>43496</v>
      </c>
      <c r="F879" s="6">
        <f t="shared" ca="1" si="59"/>
        <v>19.20218965346346</v>
      </c>
    </row>
    <row r="880" spans="1:6">
      <c r="A880" s="1">
        <v>9123934</v>
      </c>
      <c r="B880" s="1">
        <f t="shared" ca="1" si="56"/>
        <v>0.32651662256904268</v>
      </c>
      <c r="C880" s="1">
        <f t="shared" ca="1" si="60"/>
        <v>232</v>
      </c>
      <c r="D880" s="1">
        <f t="shared" ca="1" si="57"/>
        <v>148</v>
      </c>
      <c r="E880" s="2">
        <f t="shared" ca="1" si="58"/>
        <v>42906</v>
      </c>
      <c r="F880" s="6">
        <f t="shared" ca="1" si="59"/>
        <v>189.86622465315671</v>
      </c>
    </row>
    <row r="881" spans="1:6">
      <c r="A881" s="1">
        <v>9123937</v>
      </c>
      <c r="B881" s="1">
        <f t="shared" ca="1" si="56"/>
        <v>0.57096358757778809</v>
      </c>
      <c r="C881" s="1">
        <f t="shared" ca="1" si="60"/>
        <v>106</v>
      </c>
      <c r="D881" s="1">
        <f t="shared" ca="1" si="57"/>
        <v>238</v>
      </c>
      <c r="E881" s="2">
        <f t="shared" ca="1" si="58"/>
        <v>43070</v>
      </c>
      <c r="F881" s="6">
        <f t="shared" ca="1" si="59"/>
        <v>130.38204887452184</v>
      </c>
    </row>
    <row r="882" spans="1:6">
      <c r="A882" s="1">
        <v>9123940</v>
      </c>
      <c r="B882" s="1">
        <f t="shared" ca="1" si="56"/>
        <v>0.75000554598590807</v>
      </c>
      <c r="C882" s="1">
        <f t="shared" ca="1" si="60"/>
        <v>6</v>
      </c>
      <c r="D882" s="1">
        <f t="shared" ca="1" si="57"/>
        <v>208</v>
      </c>
      <c r="E882" s="2">
        <f t="shared" ca="1" si="58"/>
        <v>42915</v>
      </c>
      <c r="F882" s="6">
        <f t="shared" ca="1" si="59"/>
        <v>127.27103184556884</v>
      </c>
    </row>
    <row r="883" spans="1:6">
      <c r="A883" s="1">
        <v>9123943</v>
      </c>
      <c r="B883" s="1">
        <f t="shared" ca="1" si="56"/>
        <v>0.7115722934695865</v>
      </c>
      <c r="C883" s="1">
        <f t="shared" ca="1" si="60"/>
        <v>108</v>
      </c>
      <c r="D883" s="1">
        <f t="shared" ca="1" si="57"/>
        <v>530</v>
      </c>
      <c r="E883" s="2">
        <f t="shared" ca="1" si="58"/>
        <v>43189</v>
      </c>
      <c r="F883" s="6">
        <f t="shared" ca="1" si="59"/>
        <v>258.69897242515407</v>
      </c>
    </row>
    <row r="884" spans="1:6">
      <c r="A884" s="1">
        <v>9123946</v>
      </c>
      <c r="B884" s="1">
        <f t="shared" ca="1" si="56"/>
        <v>0.49798455116598173</v>
      </c>
      <c r="C884" s="1">
        <f t="shared" ca="1" si="60"/>
        <v>14</v>
      </c>
      <c r="D884" s="1">
        <f t="shared" ca="1" si="57"/>
        <v>576</v>
      </c>
      <c r="E884" s="2">
        <f t="shared" ca="1" si="58"/>
        <v>43217</v>
      </c>
      <c r="F884" s="6">
        <f t="shared" ca="1" si="59"/>
        <v>117.68954038984516</v>
      </c>
    </row>
    <row r="885" spans="1:6">
      <c r="A885" s="1">
        <v>9123949</v>
      </c>
      <c r="B885" s="1">
        <f t="shared" ca="1" si="56"/>
        <v>0.67226785727658545</v>
      </c>
      <c r="C885" s="1">
        <f t="shared" ca="1" si="60"/>
        <v>27</v>
      </c>
      <c r="D885" s="1">
        <f t="shared" ca="1" si="57"/>
        <v>398</v>
      </c>
      <c r="E885" s="2">
        <f t="shared" ca="1" si="58"/>
        <v>43188</v>
      </c>
      <c r="F885" s="6">
        <f t="shared" ca="1" si="59"/>
        <v>3.0038355301234976</v>
      </c>
    </row>
    <row r="886" spans="1:6">
      <c r="A886" s="1">
        <v>9123952</v>
      </c>
      <c r="B886" s="1">
        <f t="shared" ca="1" si="56"/>
        <v>0.89007003153509878</v>
      </c>
      <c r="C886" s="1">
        <f t="shared" ca="1" si="60"/>
        <v>240</v>
      </c>
      <c r="D886" s="1">
        <f t="shared" ca="1" si="57"/>
        <v>252</v>
      </c>
      <c r="E886" s="2">
        <f t="shared" ca="1" si="58"/>
        <v>43111</v>
      </c>
      <c r="F886" s="6">
        <f t="shared" ca="1" si="59"/>
        <v>68.594209190092315</v>
      </c>
    </row>
    <row r="887" spans="1:6">
      <c r="A887" s="1">
        <v>9123955</v>
      </c>
      <c r="B887" s="1">
        <f t="shared" ca="1" si="56"/>
        <v>0.12161851051809303</v>
      </c>
      <c r="C887" s="1">
        <f t="shared" ca="1" si="60"/>
        <v>1</v>
      </c>
      <c r="D887" s="1">
        <f t="shared" ca="1" si="57"/>
        <v>474</v>
      </c>
      <c r="E887" s="2">
        <f t="shared" ca="1" si="58"/>
        <v>42747</v>
      </c>
      <c r="F887" s="6">
        <f t="shared" ca="1" si="59"/>
        <v>131.64291477213646</v>
      </c>
    </row>
    <row r="888" spans="1:6">
      <c r="A888" s="1">
        <v>9123958</v>
      </c>
      <c r="B888" s="1">
        <f t="shared" ca="1" si="56"/>
        <v>0.3269664581291295</v>
      </c>
      <c r="C888" s="1">
        <f t="shared" ca="1" si="60"/>
        <v>21</v>
      </c>
      <c r="D888" s="1">
        <f t="shared" ca="1" si="57"/>
        <v>566</v>
      </c>
      <c r="E888" s="2">
        <f t="shared" ca="1" si="58"/>
        <v>43495</v>
      </c>
      <c r="F888" s="6">
        <f t="shared" ca="1" si="59"/>
        <v>47.391257491469119</v>
      </c>
    </row>
    <row r="889" spans="1:6">
      <c r="A889" s="1">
        <v>9123961</v>
      </c>
      <c r="B889" s="1">
        <f t="shared" ca="1" si="56"/>
        <v>0.68999792999055687</v>
      </c>
      <c r="C889" s="1">
        <f t="shared" ca="1" si="60"/>
        <v>50</v>
      </c>
      <c r="D889" s="1">
        <f t="shared" ca="1" si="57"/>
        <v>415</v>
      </c>
      <c r="E889" s="2">
        <f t="shared" ca="1" si="58"/>
        <v>42881</v>
      </c>
      <c r="F889" s="6">
        <f t="shared" ca="1" si="59"/>
        <v>380.9641372959386</v>
      </c>
    </row>
    <row r="890" spans="1:6">
      <c r="A890" s="1">
        <v>9123964</v>
      </c>
      <c r="B890" s="1">
        <f t="shared" ca="1" si="56"/>
        <v>0.29033871033738112</v>
      </c>
      <c r="C890" s="1">
        <f t="shared" ca="1" si="60"/>
        <v>70</v>
      </c>
      <c r="D890" s="1">
        <f t="shared" ca="1" si="57"/>
        <v>82</v>
      </c>
      <c r="E890" s="2">
        <f t="shared" ca="1" si="58"/>
        <v>42844</v>
      </c>
      <c r="F890" s="6">
        <f t="shared" ca="1" si="59"/>
        <v>15.790183860292458</v>
      </c>
    </row>
    <row r="891" spans="1:6">
      <c r="A891" s="1">
        <v>9123967</v>
      </c>
      <c r="B891" s="1">
        <f t="shared" ca="1" si="56"/>
        <v>0.52362412690889393</v>
      </c>
      <c r="C891" s="1">
        <f t="shared" ca="1" si="60"/>
        <v>111</v>
      </c>
      <c r="D891" s="1">
        <f t="shared" ca="1" si="57"/>
        <v>230</v>
      </c>
      <c r="E891" s="2">
        <f t="shared" ca="1" si="58"/>
        <v>42939</v>
      </c>
      <c r="F891" s="6">
        <f t="shared" ca="1" si="59"/>
        <v>3.4431947891296928</v>
      </c>
    </row>
    <row r="892" spans="1:6">
      <c r="A892" s="1">
        <v>9123970</v>
      </c>
      <c r="B892" s="1">
        <f t="shared" ca="1" si="56"/>
        <v>0.30843052130459825</v>
      </c>
      <c r="C892" s="1">
        <f t="shared" ca="1" si="60"/>
        <v>14</v>
      </c>
      <c r="D892" s="1">
        <f t="shared" ca="1" si="57"/>
        <v>576</v>
      </c>
      <c r="E892" s="2">
        <f t="shared" ca="1" si="58"/>
        <v>43346</v>
      </c>
      <c r="F892" s="6">
        <f t="shared" ca="1" si="59"/>
        <v>64.439028775529124</v>
      </c>
    </row>
    <row r="893" spans="1:6">
      <c r="A893" s="1">
        <v>9123973</v>
      </c>
      <c r="B893" s="1">
        <f t="shared" ca="1" si="56"/>
        <v>0.1576837887090371</v>
      </c>
      <c r="C893" s="1">
        <f t="shared" ca="1" si="60"/>
        <v>58</v>
      </c>
      <c r="D893" s="1">
        <f t="shared" ca="1" si="57"/>
        <v>19</v>
      </c>
      <c r="E893" s="2">
        <f t="shared" ca="1" si="58"/>
        <v>43479</v>
      </c>
      <c r="F893" s="6">
        <f t="shared" ca="1" si="59"/>
        <v>24.34233409987953</v>
      </c>
    </row>
    <row r="894" spans="1:6">
      <c r="A894" s="1">
        <v>9123976</v>
      </c>
      <c r="B894" s="1">
        <f t="shared" ca="1" si="56"/>
        <v>0.78753986792729236</v>
      </c>
      <c r="C894" s="1">
        <f t="shared" ca="1" si="60"/>
        <v>84</v>
      </c>
      <c r="D894" s="1">
        <f t="shared" ca="1" si="57"/>
        <v>536</v>
      </c>
      <c r="E894" s="2">
        <f t="shared" ca="1" si="58"/>
        <v>43268</v>
      </c>
      <c r="F894" s="6">
        <f t="shared" ca="1" si="59"/>
        <v>145.22223780161124</v>
      </c>
    </row>
    <row r="895" spans="1:6">
      <c r="A895" s="1">
        <v>9123979</v>
      </c>
      <c r="B895" s="1">
        <f t="shared" ca="1" si="56"/>
        <v>0.40023776654209564</v>
      </c>
      <c r="C895" s="1">
        <f t="shared" ca="1" si="60"/>
        <v>5</v>
      </c>
      <c r="D895" s="1">
        <f t="shared" ca="1" si="57"/>
        <v>363</v>
      </c>
      <c r="E895" s="2">
        <f t="shared" ca="1" si="58"/>
        <v>42941</v>
      </c>
      <c r="F895" s="6">
        <f t="shared" ca="1" si="59"/>
        <v>60.416875933423881</v>
      </c>
    </row>
    <row r="896" spans="1:6">
      <c r="A896" s="1">
        <v>9123982</v>
      </c>
      <c r="B896" s="1">
        <f t="shared" ca="1" si="56"/>
        <v>0.79434557801418781</v>
      </c>
      <c r="C896" s="1">
        <f t="shared" ca="1" si="60"/>
        <v>9</v>
      </c>
      <c r="D896" s="1">
        <f t="shared" ca="1" si="57"/>
        <v>278</v>
      </c>
      <c r="E896" s="2">
        <f t="shared" ca="1" si="58"/>
        <v>43067</v>
      </c>
      <c r="F896" s="6">
        <f t="shared" ca="1" si="59"/>
        <v>20.243628982750742</v>
      </c>
    </row>
    <row r="897" spans="1:6">
      <c r="A897" s="1">
        <v>9123985</v>
      </c>
      <c r="B897" s="1">
        <f t="shared" ca="1" si="56"/>
        <v>0.17535458891563693</v>
      </c>
      <c r="C897" s="1">
        <f t="shared" ca="1" si="60"/>
        <v>68</v>
      </c>
      <c r="D897" s="1">
        <f t="shared" ca="1" si="57"/>
        <v>467</v>
      </c>
      <c r="E897" s="2">
        <f t="shared" ca="1" si="58"/>
        <v>43049</v>
      </c>
      <c r="F897" s="6">
        <f t="shared" ca="1" si="59"/>
        <v>30.416923307744838</v>
      </c>
    </row>
    <row r="898" spans="1:6">
      <c r="A898" s="1">
        <v>9123988</v>
      </c>
      <c r="B898" s="1">
        <f t="shared" ref="B898:B961" ca="1" si="61">RAND()</f>
        <v>0.32083454375803677</v>
      </c>
      <c r="C898" s="1">
        <f t="shared" ca="1" si="60"/>
        <v>1</v>
      </c>
      <c r="D898" s="1">
        <f t="shared" ca="1" si="57"/>
        <v>474</v>
      </c>
      <c r="E898" s="2">
        <f t="shared" ca="1" si="58"/>
        <v>43219</v>
      </c>
      <c r="F898" s="6">
        <f t="shared" ca="1" si="59"/>
        <v>59.946665671254152</v>
      </c>
    </row>
    <row r="899" spans="1:6">
      <c r="A899" s="1">
        <v>9123991</v>
      </c>
      <c r="B899" s="1">
        <f t="shared" ca="1" si="61"/>
        <v>0.41489702570268083</v>
      </c>
      <c r="C899" s="1">
        <f t="shared" ca="1" si="60"/>
        <v>132</v>
      </c>
      <c r="D899" s="1">
        <f t="shared" ref="D899:D962" ca="1" si="62">VLOOKUP(SMALL($B$2:$B$601,C899),$B$2:$C$601,2,FALSE)</f>
        <v>32</v>
      </c>
      <c r="E899" s="2">
        <f t="shared" ref="E899:E962" ca="1" si="63">RANDBETWEEN("1/1/17","2/1/19")</f>
        <v>43062</v>
      </c>
      <c r="F899" s="6">
        <f t="shared" ref="F899:F962" ca="1" si="64">_xlfn.GAMMA.INV(RAND(),$J$6,$J$7)*100+3</f>
        <v>3.0165616389972727</v>
      </c>
    </row>
    <row r="900" spans="1:6">
      <c r="A900" s="1">
        <v>9123994</v>
      </c>
      <c r="B900" s="1">
        <f t="shared" ca="1" si="61"/>
        <v>0.20770712326751728</v>
      </c>
      <c r="C900" s="1">
        <f t="shared" ca="1" si="60"/>
        <v>12</v>
      </c>
      <c r="D900" s="1">
        <f t="shared" ca="1" si="62"/>
        <v>292</v>
      </c>
      <c r="E900" s="2">
        <f t="shared" ca="1" si="63"/>
        <v>43340</v>
      </c>
      <c r="F900" s="6">
        <f t="shared" ca="1" si="64"/>
        <v>77.587310617339895</v>
      </c>
    </row>
    <row r="901" spans="1:6">
      <c r="A901" s="1">
        <v>9123997</v>
      </c>
      <c r="B901" s="1">
        <f t="shared" ca="1" si="61"/>
        <v>0.15195559120265234</v>
      </c>
      <c r="C901" s="1">
        <f t="shared" ca="1" si="60"/>
        <v>16</v>
      </c>
      <c r="D901" s="1">
        <f t="shared" ca="1" si="62"/>
        <v>465</v>
      </c>
      <c r="E901" s="2">
        <f t="shared" ca="1" si="63"/>
        <v>43438</v>
      </c>
      <c r="F901" s="6">
        <f t="shared" ca="1" si="64"/>
        <v>5.0039980186698401</v>
      </c>
    </row>
    <row r="902" spans="1:6">
      <c r="A902" s="1">
        <v>9124000</v>
      </c>
      <c r="B902" s="1">
        <f t="shared" ca="1" si="61"/>
        <v>0.30300833499728319</v>
      </c>
      <c r="C902" s="1">
        <f t="shared" ca="1" si="60"/>
        <v>48</v>
      </c>
      <c r="D902" s="1">
        <f t="shared" ca="1" si="62"/>
        <v>424</v>
      </c>
      <c r="E902" s="2">
        <f t="shared" ca="1" si="63"/>
        <v>43482</v>
      </c>
      <c r="F902" s="6">
        <f t="shared" ca="1" si="64"/>
        <v>206.33788433369634</v>
      </c>
    </row>
    <row r="903" spans="1:6">
      <c r="A903" s="1">
        <v>9124003</v>
      </c>
      <c r="B903" s="1">
        <f t="shared" ca="1" si="61"/>
        <v>0.81137172856298034</v>
      </c>
      <c r="C903" s="1">
        <f t="shared" ca="1" si="60"/>
        <v>14</v>
      </c>
      <c r="D903" s="1">
        <f t="shared" ca="1" si="62"/>
        <v>576</v>
      </c>
      <c r="E903" s="2">
        <f t="shared" ca="1" si="63"/>
        <v>43035</v>
      </c>
      <c r="F903" s="6">
        <f t="shared" ca="1" si="64"/>
        <v>34.101604592238488</v>
      </c>
    </row>
    <row r="904" spans="1:6">
      <c r="A904" s="1">
        <v>9124006</v>
      </c>
      <c r="B904" s="1">
        <f t="shared" ca="1" si="61"/>
        <v>0.79282898306958427</v>
      </c>
      <c r="C904" s="1">
        <f t="shared" ca="1" si="60"/>
        <v>24</v>
      </c>
      <c r="D904" s="1">
        <f t="shared" ca="1" si="62"/>
        <v>334</v>
      </c>
      <c r="E904" s="2">
        <f t="shared" ca="1" si="63"/>
        <v>43429</v>
      </c>
      <c r="F904" s="6">
        <f t="shared" ca="1" si="64"/>
        <v>10.888983731027785</v>
      </c>
    </row>
    <row r="905" spans="1:6">
      <c r="A905" s="1">
        <v>9124009</v>
      </c>
      <c r="B905" s="1">
        <f t="shared" ca="1" si="61"/>
        <v>0.30948713973267872</v>
      </c>
      <c r="C905" s="1">
        <f t="shared" ca="1" si="60"/>
        <v>1</v>
      </c>
      <c r="D905" s="1">
        <f t="shared" ca="1" si="62"/>
        <v>474</v>
      </c>
      <c r="E905" s="2">
        <f t="shared" ca="1" si="63"/>
        <v>42831</v>
      </c>
      <c r="F905" s="6">
        <f t="shared" ca="1" si="64"/>
        <v>136.49673473253014</v>
      </c>
    </row>
    <row r="906" spans="1:6">
      <c r="A906" s="1">
        <v>9124012</v>
      </c>
      <c r="B906" s="1">
        <f t="shared" ca="1" si="61"/>
        <v>0.81283499140938509</v>
      </c>
      <c r="C906" s="1">
        <f t="shared" ca="1" si="60"/>
        <v>390</v>
      </c>
      <c r="D906" s="1">
        <f t="shared" ca="1" si="62"/>
        <v>573</v>
      </c>
      <c r="E906" s="2">
        <f t="shared" ca="1" si="63"/>
        <v>43340</v>
      </c>
      <c r="F906" s="6">
        <f t="shared" ca="1" si="64"/>
        <v>314.15763147227796</v>
      </c>
    </row>
    <row r="907" spans="1:6">
      <c r="A907" s="1">
        <v>9124015</v>
      </c>
      <c r="B907" s="1">
        <f t="shared" ca="1" si="61"/>
        <v>0.74205598623716817</v>
      </c>
      <c r="C907" s="1">
        <f t="shared" ca="1" si="60"/>
        <v>11</v>
      </c>
      <c r="D907" s="1">
        <f t="shared" ca="1" si="62"/>
        <v>437</v>
      </c>
      <c r="E907" s="2">
        <f t="shared" ca="1" si="63"/>
        <v>42806</v>
      </c>
      <c r="F907" s="6">
        <f t="shared" ca="1" si="64"/>
        <v>7.5994677995651099</v>
      </c>
    </row>
    <row r="908" spans="1:6">
      <c r="A908" s="1">
        <v>9124018</v>
      </c>
      <c r="B908" s="1">
        <f t="shared" ca="1" si="61"/>
        <v>0.22660080958242412</v>
      </c>
      <c r="C908" s="1">
        <f t="shared" ca="1" si="60"/>
        <v>51</v>
      </c>
      <c r="D908" s="1">
        <f t="shared" ca="1" si="62"/>
        <v>93</v>
      </c>
      <c r="E908" s="2">
        <f t="shared" ca="1" si="63"/>
        <v>43088</v>
      </c>
      <c r="F908" s="6">
        <f t="shared" ca="1" si="64"/>
        <v>108.1258544432099</v>
      </c>
    </row>
    <row r="909" spans="1:6">
      <c r="A909" s="1">
        <v>9124021</v>
      </c>
      <c r="B909" s="1">
        <f t="shared" ca="1" si="61"/>
        <v>0.27839948767359557</v>
      </c>
      <c r="C909" s="1">
        <f t="shared" ca="1" si="60"/>
        <v>96</v>
      </c>
      <c r="D909" s="1">
        <f t="shared" ca="1" si="62"/>
        <v>486</v>
      </c>
      <c r="E909" s="2">
        <f t="shared" ca="1" si="63"/>
        <v>42963</v>
      </c>
      <c r="F909" s="6">
        <f t="shared" ca="1" si="64"/>
        <v>14.231562131883598</v>
      </c>
    </row>
    <row r="910" spans="1:6">
      <c r="A910" s="1">
        <v>9124024</v>
      </c>
      <c r="B910" s="1">
        <f t="shared" ca="1" si="61"/>
        <v>0.69620318210123211</v>
      </c>
      <c r="C910" s="1">
        <f t="shared" ca="1" si="60"/>
        <v>71</v>
      </c>
      <c r="D910" s="1">
        <f t="shared" ca="1" si="62"/>
        <v>281</v>
      </c>
      <c r="E910" s="2">
        <f t="shared" ca="1" si="63"/>
        <v>43131</v>
      </c>
      <c r="F910" s="6">
        <f t="shared" ca="1" si="64"/>
        <v>41.933577398644815</v>
      </c>
    </row>
    <row r="911" spans="1:6">
      <c r="A911" s="1">
        <v>9124027</v>
      </c>
      <c r="B911" s="1">
        <f t="shared" ca="1" si="61"/>
        <v>0.14627169885066904</v>
      </c>
      <c r="C911" s="1">
        <f t="shared" ca="1" si="60"/>
        <v>1</v>
      </c>
      <c r="D911" s="1">
        <f t="shared" ca="1" si="62"/>
        <v>474</v>
      </c>
      <c r="E911" s="2">
        <f t="shared" ca="1" si="63"/>
        <v>43018</v>
      </c>
      <c r="F911" s="6">
        <f t="shared" ca="1" si="64"/>
        <v>5.5691476699271742</v>
      </c>
    </row>
    <row r="912" spans="1:6">
      <c r="A912" s="1">
        <v>9124030</v>
      </c>
      <c r="B912" s="1">
        <f t="shared" ca="1" si="61"/>
        <v>0.72241588127401202</v>
      </c>
      <c r="C912" s="1">
        <f t="shared" ca="1" si="60"/>
        <v>15</v>
      </c>
      <c r="D912" s="1">
        <f t="shared" ca="1" si="62"/>
        <v>284</v>
      </c>
      <c r="E912" s="2">
        <f t="shared" ca="1" si="63"/>
        <v>42822</v>
      </c>
      <c r="F912" s="6">
        <f t="shared" ca="1" si="64"/>
        <v>66.479962660443164</v>
      </c>
    </row>
    <row r="913" spans="1:6">
      <c r="A913" s="1">
        <v>9124033</v>
      </c>
      <c r="B913" s="1">
        <f t="shared" ca="1" si="61"/>
        <v>0.95787788218151804</v>
      </c>
      <c r="C913" s="1">
        <f t="shared" ca="1" si="60"/>
        <v>1</v>
      </c>
      <c r="D913" s="1">
        <f t="shared" ca="1" si="62"/>
        <v>474</v>
      </c>
      <c r="E913" s="2">
        <f t="shared" ca="1" si="63"/>
        <v>43451</v>
      </c>
      <c r="F913" s="6">
        <f t="shared" ca="1" si="64"/>
        <v>131.33637096036122</v>
      </c>
    </row>
    <row r="914" spans="1:6">
      <c r="A914" s="1">
        <v>9124036</v>
      </c>
      <c r="B914" s="1">
        <f t="shared" ca="1" si="61"/>
        <v>5.124074467586881E-2</v>
      </c>
      <c r="C914" s="1">
        <f t="shared" ca="1" si="60"/>
        <v>17</v>
      </c>
      <c r="D914" s="1">
        <f t="shared" ca="1" si="62"/>
        <v>165</v>
      </c>
      <c r="E914" s="2">
        <f t="shared" ca="1" si="63"/>
        <v>43227</v>
      </c>
      <c r="F914" s="6">
        <f t="shared" ca="1" si="64"/>
        <v>35.878375502469297</v>
      </c>
    </row>
    <row r="915" spans="1:6">
      <c r="A915" s="1">
        <v>9124039</v>
      </c>
      <c r="B915" s="1">
        <f t="shared" ca="1" si="61"/>
        <v>0.53443878465584127</v>
      </c>
      <c r="C915" s="1">
        <f t="shared" ca="1" si="60"/>
        <v>18</v>
      </c>
      <c r="D915" s="1">
        <f t="shared" ca="1" si="62"/>
        <v>511</v>
      </c>
      <c r="E915" s="2">
        <f t="shared" ca="1" si="63"/>
        <v>43305</v>
      </c>
      <c r="F915" s="6">
        <f t="shared" ca="1" si="64"/>
        <v>182.96545501252231</v>
      </c>
    </row>
    <row r="916" spans="1:6">
      <c r="A916" s="1">
        <v>9124042</v>
      </c>
      <c r="B916" s="1">
        <f t="shared" ca="1" si="61"/>
        <v>0.2050041905114427</v>
      </c>
      <c r="C916" s="1">
        <f t="shared" ca="1" si="60"/>
        <v>108</v>
      </c>
      <c r="D916" s="1">
        <f t="shared" ca="1" si="62"/>
        <v>530</v>
      </c>
      <c r="E916" s="2">
        <f t="shared" ca="1" si="63"/>
        <v>43064</v>
      </c>
      <c r="F916" s="6">
        <f t="shared" ca="1" si="64"/>
        <v>124.89232654454997</v>
      </c>
    </row>
    <row r="917" spans="1:6">
      <c r="A917" s="1">
        <v>9124045</v>
      </c>
      <c r="B917" s="1">
        <f t="shared" ca="1" si="61"/>
        <v>8.1839922736692827E-2</v>
      </c>
      <c r="C917" s="1">
        <f t="shared" ca="1" si="60"/>
        <v>22</v>
      </c>
      <c r="D917" s="1">
        <f t="shared" ca="1" si="62"/>
        <v>413</v>
      </c>
      <c r="E917" s="2">
        <f t="shared" ca="1" si="63"/>
        <v>42794</v>
      </c>
      <c r="F917" s="6">
        <f t="shared" ca="1" si="64"/>
        <v>31.471107085370484</v>
      </c>
    </row>
    <row r="918" spans="1:6">
      <c r="A918" s="1">
        <v>9124048</v>
      </c>
      <c r="B918" s="1">
        <f t="shared" ca="1" si="61"/>
        <v>0.94262538268031748</v>
      </c>
      <c r="C918" s="1">
        <f t="shared" ca="1" si="60"/>
        <v>61</v>
      </c>
      <c r="D918" s="1">
        <f t="shared" ca="1" si="62"/>
        <v>92</v>
      </c>
      <c r="E918" s="2">
        <f t="shared" ca="1" si="63"/>
        <v>43394</v>
      </c>
      <c r="F918" s="6">
        <f t="shared" ca="1" si="64"/>
        <v>226.07358396137502</v>
      </c>
    </row>
    <row r="919" spans="1:6">
      <c r="A919" s="1">
        <v>9124051</v>
      </c>
      <c r="B919" s="1">
        <f t="shared" ca="1" si="61"/>
        <v>0.43002532935325322</v>
      </c>
      <c r="C919" s="1">
        <f t="shared" ca="1" si="60"/>
        <v>49</v>
      </c>
      <c r="D919" s="1">
        <f t="shared" ca="1" si="62"/>
        <v>26</v>
      </c>
      <c r="E919" s="2">
        <f t="shared" ca="1" si="63"/>
        <v>43023</v>
      </c>
      <c r="F919" s="6">
        <f t="shared" ca="1" si="64"/>
        <v>3.4370198837254491</v>
      </c>
    </row>
    <row r="920" spans="1:6">
      <c r="A920" s="1">
        <v>9124054</v>
      </c>
      <c r="B920" s="1">
        <f t="shared" ca="1" si="61"/>
        <v>0.14444958551661669</v>
      </c>
      <c r="C920" s="1">
        <f t="shared" ca="1" si="60"/>
        <v>61</v>
      </c>
      <c r="D920" s="1">
        <f t="shared" ca="1" si="62"/>
        <v>92</v>
      </c>
      <c r="E920" s="2">
        <f t="shared" ca="1" si="63"/>
        <v>43172</v>
      </c>
      <c r="F920" s="6">
        <f t="shared" ca="1" si="64"/>
        <v>25.190136659801709</v>
      </c>
    </row>
    <row r="921" spans="1:6">
      <c r="A921" s="1">
        <v>9124057</v>
      </c>
      <c r="B921" s="1">
        <f t="shared" ca="1" si="61"/>
        <v>0.90704207094481115</v>
      </c>
      <c r="C921" s="1">
        <f t="shared" ca="1" si="60"/>
        <v>5</v>
      </c>
      <c r="D921" s="1">
        <f t="shared" ca="1" si="62"/>
        <v>363</v>
      </c>
      <c r="E921" s="2">
        <f t="shared" ca="1" si="63"/>
        <v>42914</v>
      </c>
      <c r="F921" s="6">
        <f t="shared" ca="1" si="64"/>
        <v>641.39598931256148</v>
      </c>
    </row>
    <row r="922" spans="1:6">
      <c r="A922" s="1">
        <v>9124060</v>
      </c>
      <c r="B922" s="1">
        <f t="shared" ca="1" si="61"/>
        <v>0.74206061420284153</v>
      </c>
      <c r="C922" s="1">
        <f t="shared" ca="1" si="60"/>
        <v>62</v>
      </c>
      <c r="D922" s="1">
        <f t="shared" ca="1" si="62"/>
        <v>235</v>
      </c>
      <c r="E922" s="2">
        <f t="shared" ca="1" si="63"/>
        <v>43082</v>
      </c>
      <c r="F922" s="6">
        <f t="shared" ca="1" si="64"/>
        <v>3.3541570159005918</v>
      </c>
    </row>
    <row r="923" spans="1:6">
      <c r="A923" s="1">
        <v>9124063</v>
      </c>
      <c r="B923" s="1">
        <f t="shared" ca="1" si="61"/>
        <v>0.54286773926033527</v>
      </c>
      <c r="C923" s="1">
        <f t="shared" ref="C923:C986" ca="1" si="65">ROUND(_xlfn.GAMMA.INV(RAND(),$J$11,$J$12)*100,0)+1</f>
        <v>20</v>
      </c>
      <c r="D923" s="1">
        <f t="shared" ca="1" si="62"/>
        <v>444</v>
      </c>
      <c r="E923" s="2">
        <f t="shared" ca="1" si="63"/>
        <v>43270</v>
      </c>
      <c r="F923" s="6">
        <f t="shared" ca="1" si="64"/>
        <v>35.791396681666782</v>
      </c>
    </row>
    <row r="924" spans="1:6">
      <c r="A924" s="1">
        <v>9124066</v>
      </c>
      <c r="B924" s="1">
        <f t="shared" ca="1" si="61"/>
        <v>0.53410007474256971</v>
      </c>
      <c r="C924" s="1">
        <f t="shared" ca="1" si="65"/>
        <v>21</v>
      </c>
      <c r="D924" s="1">
        <f t="shared" ca="1" si="62"/>
        <v>566</v>
      </c>
      <c r="E924" s="2">
        <f t="shared" ca="1" si="63"/>
        <v>42870</v>
      </c>
      <c r="F924" s="6">
        <f t="shared" ca="1" si="64"/>
        <v>134.83678847756519</v>
      </c>
    </row>
    <row r="925" spans="1:6">
      <c r="A925" s="1">
        <v>9124069</v>
      </c>
      <c r="B925" s="1">
        <f t="shared" ca="1" si="61"/>
        <v>0.94443349688210865</v>
      </c>
      <c r="C925" s="1">
        <f t="shared" ca="1" si="65"/>
        <v>19</v>
      </c>
      <c r="D925" s="1">
        <f t="shared" ca="1" si="62"/>
        <v>42</v>
      </c>
      <c r="E925" s="2">
        <f t="shared" ca="1" si="63"/>
        <v>43194</v>
      </c>
      <c r="F925" s="6">
        <f t="shared" ca="1" si="64"/>
        <v>147.42148224906552</v>
      </c>
    </row>
    <row r="926" spans="1:6">
      <c r="A926" s="1">
        <v>9124072</v>
      </c>
      <c r="B926" s="1">
        <f t="shared" ca="1" si="61"/>
        <v>0.18045198253240735</v>
      </c>
      <c r="C926" s="1">
        <f t="shared" ca="1" si="65"/>
        <v>7</v>
      </c>
      <c r="D926" s="1">
        <f t="shared" ca="1" si="62"/>
        <v>138</v>
      </c>
      <c r="E926" s="2">
        <f t="shared" ca="1" si="63"/>
        <v>43136</v>
      </c>
      <c r="F926" s="6">
        <f t="shared" ca="1" si="64"/>
        <v>123.23182739314618</v>
      </c>
    </row>
    <row r="927" spans="1:6">
      <c r="A927" s="1">
        <v>9124075</v>
      </c>
      <c r="B927" s="1">
        <f t="shared" ca="1" si="61"/>
        <v>0.80895555124400964</v>
      </c>
      <c r="C927" s="1">
        <f t="shared" ca="1" si="65"/>
        <v>29</v>
      </c>
      <c r="D927" s="1">
        <f t="shared" ca="1" si="62"/>
        <v>514</v>
      </c>
      <c r="E927" s="2">
        <f t="shared" ca="1" si="63"/>
        <v>42814</v>
      </c>
      <c r="F927" s="6">
        <f t="shared" ca="1" si="64"/>
        <v>8.5098461457166437</v>
      </c>
    </row>
    <row r="928" spans="1:6">
      <c r="A928" s="1">
        <v>9124078</v>
      </c>
      <c r="B928" s="1">
        <f t="shared" ca="1" si="61"/>
        <v>0.46065282809301711</v>
      </c>
      <c r="C928" s="1">
        <f t="shared" ca="1" si="65"/>
        <v>65</v>
      </c>
      <c r="D928" s="1">
        <f t="shared" ca="1" si="62"/>
        <v>463</v>
      </c>
      <c r="E928" s="2">
        <f t="shared" ca="1" si="63"/>
        <v>42927</v>
      </c>
      <c r="F928" s="6">
        <f t="shared" ca="1" si="64"/>
        <v>51.10969255446291</v>
      </c>
    </row>
    <row r="929" spans="1:6">
      <c r="A929" s="1">
        <v>9124081</v>
      </c>
      <c r="B929" s="1">
        <f t="shared" ca="1" si="61"/>
        <v>0.15871229588688895</v>
      </c>
      <c r="C929" s="1">
        <f t="shared" ca="1" si="65"/>
        <v>15</v>
      </c>
      <c r="D929" s="1">
        <f t="shared" ca="1" si="62"/>
        <v>284</v>
      </c>
      <c r="E929" s="2">
        <f t="shared" ca="1" si="63"/>
        <v>43387</v>
      </c>
      <c r="F929" s="6">
        <f t="shared" ca="1" si="64"/>
        <v>66.670954794599751</v>
      </c>
    </row>
    <row r="930" spans="1:6">
      <c r="A930" s="1">
        <v>9124084</v>
      </c>
      <c r="B930" s="1">
        <f t="shared" ca="1" si="61"/>
        <v>0.82962587687735723</v>
      </c>
      <c r="C930" s="1">
        <f t="shared" ca="1" si="65"/>
        <v>59</v>
      </c>
      <c r="D930" s="1">
        <f t="shared" ca="1" si="62"/>
        <v>95</v>
      </c>
      <c r="E930" s="2">
        <f t="shared" ca="1" si="63"/>
        <v>43160</v>
      </c>
      <c r="F930" s="6">
        <f t="shared" ca="1" si="64"/>
        <v>26.511630841338278</v>
      </c>
    </row>
    <row r="931" spans="1:6">
      <c r="A931" s="1">
        <v>9124087</v>
      </c>
      <c r="B931" s="1">
        <f t="shared" ca="1" si="61"/>
        <v>0.4247426905612306</v>
      </c>
      <c r="C931" s="1">
        <f t="shared" ca="1" si="65"/>
        <v>7</v>
      </c>
      <c r="D931" s="1">
        <f t="shared" ca="1" si="62"/>
        <v>138</v>
      </c>
      <c r="E931" s="2">
        <f t="shared" ca="1" si="63"/>
        <v>42898</v>
      </c>
      <c r="F931" s="6">
        <f t="shared" ca="1" si="64"/>
        <v>54.096288368587018</v>
      </c>
    </row>
    <row r="932" spans="1:6">
      <c r="A932" s="1">
        <v>9124090</v>
      </c>
      <c r="B932" s="1">
        <f t="shared" ca="1" si="61"/>
        <v>0.90115717379669613</v>
      </c>
      <c r="C932" s="1">
        <f t="shared" ca="1" si="65"/>
        <v>10</v>
      </c>
      <c r="D932" s="1">
        <f t="shared" ca="1" si="62"/>
        <v>236</v>
      </c>
      <c r="E932" s="2">
        <f t="shared" ca="1" si="63"/>
        <v>43007</v>
      </c>
      <c r="F932" s="6">
        <f t="shared" ca="1" si="64"/>
        <v>6.7129923385187782</v>
      </c>
    </row>
    <row r="933" spans="1:6">
      <c r="A933" s="1">
        <v>9124093</v>
      </c>
      <c r="B933" s="1">
        <f t="shared" ca="1" si="61"/>
        <v>0.84924608973922711</v>
      </c>
      <c r="C933" s="1">
        <f t="shared" ca="1" si="65"/>
        <v>40</v>
      </c>
      <c r="D933" s="1">
        <f t="shared" ca="1" si="62"/>
        <v>426</v>
      </c>
      <c r="E933" s="2">
        <f t="shared" ca="1" si="63"/>
        <v>43129</v>
      </c>
      <c r="F933" s="6">
        <f t="shared" ca="1" si="64"/>
        <v>34.914457199894812</v>
      </c>
    </row>
    <row r="934" spans="1:6">
      <c r="A934" s="1">
        <v>9124096</v>
      </c>
      <c r="B934" s="1">
        <f t="shared" ca="1" si="61"/>
        <v>4.658869053367487E-2</v>
      </c>
      <c r="C934" s="1">
        <f t="shared" ca="1" si="65"/>
        <v>9</v>
      </c>
      <c r="D934" s="1">
        <f t="shared" ca="1" si="62"/>
        <v>278</v>
      </c>
      <c r="E934" s="2">
        <f t="shared" ca="1" si="63"/>
        <v>42968</v>
      </c>
      <c r="F934" s="6">
        <f t="shared" ca="1" si="64"/>
        <v>10.209956845381353</v>
      </c>
    </row>
    <row r="935" spans="1:6">
      <c r="A935" s="1">
        <v>9124099</v>
      </c>
      <c r="B935" s="1">
        <f t="shared" ca="1" si="61"/>
        <v>0.97955582146689824</v>
      </c>
      <c r="C935" s="1">
        <f t="shared" ca="1" si="65"/>
        <v>54</v>
      </c>
      <c r="D935" s="1">
        <f t="shared" ca="1" si="62"/>
        <v>168</v>
      </c>
      <c r="E935" s="2">
        <f t="shared" ca="1" si="63"/>
        <v>42870</v>
      </c>
      <c r="F935" s="6">
        <f t="shared" ca="1" si="64"/>
        <v>11.23765919427616</v>
      </c>
    </row>
    <row r="936" spans="1:6">
      <c r="A936" s="1">
        <v>9124102</v>
      </c>
      <c r="B936" s="1">
        <f t="shared" ca="1" si="61"/>
        <v>0.96336550456356129</v>
      </c>
      <c r="C936" s="1">
        <f t="shared" ca="1" si="65"/>
        <v>23</v>
      </c>
      <c r="D936" s="1">
        <f t="shared" ca="1" si="62"/>
        <v>516</v>
      </c>
      <c r="E936" s="2">
        <f t="shared" ca="1" si="63"/>
        <v>43216</v>
      </c>
      <c r="F936" s="6">
        <f t="shared" ca="1" si="64"/>
        <v>122.71064245404641</v>
      </c>
    </row>
    <row r="937" spans="1:6">
      <c r="A937" s="1">
        <v>9124105</v>
      </c>
      <c r="B937" s="1">
        <f t="shared" ca="1" si="61"/>
        <v>0.56075713018785966</v>
      </c>
      <c r="C937" s="1">
        <f t="shared" ca="1" si="65"/>
        <v>119</v>
      </c>
      <c r="D937" s="1">
        <f t="shared" ca="1" si="62"/>
        <v>184</v>
      </c>
      <c r="E937" s="2">
        <f t="shared" ca="1" si="63"/>
        <v>43170</v>
      </c>
      <c r="F937" s="6">
        <f t="shared" ca="1" si="64"/>
        <v>21.868844582238015</v>
      </c>
    </row>
    <row r="938" spans="1:6">
      <c r="A938" s="1">
        <v>9124108</v>
      </c>
      <c r="B938" s="1">
        <f t="shared" ca="1" si="61"/>
        <v>0.68063106622628478</v>
      </c>
      <c r="C938" s="1">
        <f t="shared" ca="1" si="65"/>
        <v>3</v>
      </c>
      <c r="D938" s="1">
        <f t="shared" ca="1" si="62"/>
        <v>263</v>
      </c>
      <c r="E938" s="2">
        <f t="shared" ca="1" si="63"/>
        <v>43309</v>
      </c>
      <c r="F938" s="6">
        <f t="shared" ca="1" si="64"/>
        <v>34.82717229280594</v>
      </c>
    </row>
    <row r="939" spans="1:6">
      <c r="A939" s="1">
        <v>9124111</v>
      </c>
      <c r="B939" s="1">
        <f t="shared" ca="1" si="61"/>
        <v>9.0928489387000266E-2</v>
      </c>
      <c r="C939" s="1">
        <f t="shared" ca="1" si="65"/>
        <v>110</v>
      </c>
      <c r="D939" s="1">
        <f t="shared" ca="1" si="62"/>
        <v>144</v>
      </c>
      <c r="E939" s="2">
        <f t="shared" ca="1" si="63"/>
        <v>42756</v>
      </c>
      <c r="F939" s="6">
        <f t="shared" ca="1" si="64"/>
        <v>136.27348071943436</v>
      </c>
    </row>
    <row r="940" spans="1:6">
      <c r="A940" s="1">
        <v>9124114</v>
      </c>
      <c r="B940" s="1">
        <f t="shared" ca="1" si="61"/>
        <v>0.14754185890892302</v>
      </c>
      <c r="C940" s="1">
        <f t="shared" ca="1" si="65"/>
        <v>298</v>
      </c>
      <c r="D940" s="1">
        <f t="shared" ca="1" si="62"/>
        <v>303</v>
      </c>
      <c r="E940" s="2">
        <f t="shared" ca="1" si="63"/>
        <v>43196</v>
      </c>
      <c r="F940" s="6">
        <f t="shared" ca="1" si="64"/>
        <v>8.7194041924793986</v>
      </c>
    </row>
    <row r="941" spans="1:6">
      <c r="A941" s="1">
        <v>9124117</v>
      </c>
      <c r="B941" s="1">
        <f t="shared" ca="1" si="61"/>
        <v>0.32174606563614128</v>
      </c>
      <c r="C941" s="1">
        <f t="shared" ca="1" si="65"/>
        <v>1</v>
      </c>
      <c r="D941" s="1">
        <f t="shared" ca="1" si="62"/>
        <v>474</v>
      </c>
      <c r="E941" s="2">
        <f t="shared" ca="1" si="63"/>
        <v>42785</v>
      </c>
      <c r="F941" s="6">
        <f t="shared" ca="1" si="64"/>
        <v>35.622548898731417</v>
      </c>
    </row>
    <row r="942" spans="1:6">
      <c r="A942" s="1">
        <v>9124120</v>
      </c>
      <c r="B942" s="1">
        <f t="shared" ca="1" si="61"/>
        <v>0.20363768328817322</v>
      </c>
      <c r="C942" s="1">
        <f t="shared" ca="1" si="65"/>
        <v>5</v>
      </c>
      <c r="D942" s="1">
        <f t="shared" ca="1" si="62"/>
        <v>363</v>
      </c>
      <c r="E942" s="2">
        <f t="shared" ca="1" si="63"/>
        <v>43207</v>
      </c>
      <c r="F942" s="6">
        <f t="shared" ca="1" si="64"/>
        <v>225.10728113235913</v>
      </c>
    </row>
    <row r="943" spans="1:6">
      <c r="A943" s="1">
        <v>9124123</v>
      </c>
      <c r="B943" s="1">
        <f t="shared" ca="1" si="61"/>
        <v>0.51677994375350456</v>
      </c>
      <c r="C943" s="1">
        <f t="shared" ca="1" si="65"/>
        <v>159</v>
      </c>
      <c r="D943" s="1">
        <f t="shared" ca="1" si="62"/>
        <v>58</v>
      </c>
      <c r="E943" s="2">
        <f t="shared" ca="1" si="63"/>
        <v>42937</v>
      </c>
      <c r="F943" s="6">
        <f t="shared" ca="1" si="64"/>
        <v>13.605305706670368</v>
      </c>
    </row>
    <row r="944" spans="1:6">
      <c r="A944" s="1">
        <v>9124126</v>
      </c>
      <c r="B944" s="1">
        <f t="shared" ca="1" si="61"/>
        <v>0.17183889202976455</v>
      </c>
      <c r="C944" s="1">
        <f t="shared" ca="1" si="65"/>
        <v>75</v>
      </c>
      <c r="D944" s="1">
        <f t="shared" ca="1" si="62"/>
        <v>599</v>
      </c>
      <c r="E944" s="2">
        <f t="shared" ca="1" si="63"/>
        <v>43182</v>
      </c>
      <c r="F944" s="6">
        <f t="shared" ca="1" si="64"/>
        <v>29.986433244997254</v>
      </c>
    </row>
    <row r="945" spans="1:6">
      <c r="A945" s="1">
        <v>9124129</v>
      </c>
      <c r="B945" s="1">
        <f t="shared" ca="1" si="61"/>
        <v>0.459973145999519</v>
      </c>
      <c r="C945" s="1">
        <f t="shared" ca="1" si="65"/>
        <v>41</v>
      </c>
      <c r="D945" s="1">
        <f t="shared" ca="1" si="62"/>
        <v>37</v>
      </c>
      <c r="E945" s="2">
        <f t="shared" ca="1" si="63"/>
        <v>43189</v>
      </c>
      <c r="F945" s="6">
        <f t="shared" ca="1" si="64"/>
        <v>13.282604719421002</v>
      </c>
    </row>
    <row r="946" spans="1:6">
      <c r="A946" s="1">
        <v>9124132</v>
      </c>
      <c r="B946" s="1">
        <f t="shared" ca="1" si="61"/>
        <v>0.16368117250885561</v>
      </c>
      <c r="C946" s="1">
        <f t="shared" ca="1" si="65"/>
        <v>43</v>
      </c>
      <c r="D946" s="1">
        <f t="shared" ca="1" si="62"/>
        <v>73</v>
      </c>
      <c r="E946" s="2">
        <f t="shared" ca="1" si="63"/>
        <v>43362</v>
      </c>
      <c r="F946" s="6">
        <f t="shared" ca="1" si="64"/>
        <v>35.609544620175221</v>
      </c>
    </row>
    <row r="947" spans="1:6">
      <c r="A947" s="1">
        <v>9124135</v>
      </c>
      <c r="B947" s="1">
        <f t="shared" ca="1" si="61"/>
        <v>0.32452881400036582</v>
      </c>
      <c r="C947" s="1">
        <f t="shared" ca="1" si="65"/>
        <v>5</v>
      </c>
      <c r="D947" s="1">
        <f t="shared" ca="1" si="62"/>
        <v>363</v>
      </c>
      <c r="E947" s="2">
        <f t="shared" ca="1" si="63"/>
        <v>43293</v>
      </c>
      <c r="F947" s="6">
        <f t="shared" ca="1" si="64"/>
        <v>72.338324581687033</v>
      </c>
    </row>
    <row r="948" spans="1:6">
      <c r="A948" s="1">
        <v>9124138</v>
      </c>
      <c r="B948" s="1">
        <f t="shared" ca="1" si="61"/>
        <v>0.71115076221493734</v>
      </c>
      <c r="C948" s="1">
        <f t="shared" ca="1" si="65"/>
        <v>75</v>
      </c>
      <c r="D948" s="1">
        <f t="shared" ca="1" si="62"/>
        <v>599</v>
      </c>
      <c r="E948" s="2">
        <f t="shared" ca="1" si="63"/>
        <v>43247</v>
      </c>
      <c r="F948" s="6">
        <f t="shared" ca="1" si="64"/>
        <v>55.452507095282897</v>
      </c>
    </row>
    <row r="949" spans="1:6">
      <c r="A949" s="1">
        <v>9124141</v>
      </c>
      <c r="B949" s="1">
        <f t="shared" ca="1" si="61"/>
        <v>0.76365702520031364</v>
      </c>
      <c r="C949" s="1">
        <f t="shared" ca="1" si="65"/>
        <v>2</v>
      </c>
      <c r="D949" s="1">
        <f t="shared" ca="1" si="62"/>
        <v>30</v>
      </c>
      <c r="E949" s="2">
        <f t="shared" ca="1" si="63"/>
        <v>43013</v>
      </c>
      <c r="F949" s="6">
        <f t="shared" ca="1" si="64"/>
        <v>12.187477925630283</v>
      </c>
    </row>
    <row r="950" spans="1:6">
      <c r="A950" s="1">
        <v>9124144</v>
      </c>
      <c r="B950" s="1">
        <f t="shared" ca="1" si="61"/>
        <v>0.93218067800160254</v>
      </c>
      <c r="C950" s="1">
        <f t="shared" ca="1" si="65"/>
        <v>115</v>
      </c>
      <c r="D950" s="1">
        <f t="shared" ca="1" si="62"/>
        <v>508</v>
      </c>
      <c r="E950" s="2">
        <f t="shared" ca="1" si="63"/>
        <v>43175</v>
      </c>
      <c r="F950" s="6">
        <f t="shared" ca="1" si="64"/>
        <v>55.153178688897469</v>
      </c>
    </row>
    <row r="951" spans="1:6">
      <c r="A951" s="1">
        <v>9124147</v>
      </c>
      <c r="B951" s="1">
        <f t="shared" ca="1" si="61"/>
        <v>0.77267442642094186</v>
      </c>
      <c r="C951" s="1">
        <f t="shared" ca="1" si="65"/>
        <v>250</v>
      </c>
      <c r="D951" s="1">
        <f t="shared" ca="1" si="62"/>
        <v>202</v>
      </c>
      <c r="E951" s="2">
        <f t="shared" ca="1" si="63"/>
        <v>42760</v>
      </c>
      <c r="F951" s="6">
        <f t="shared" ca="1" si="64"/>
        <v>42.426379953232328</v>
      </c>
    </row>
    <row r="952" spans="1:6">
      <c r="A952" s="1">
        <v>9124150</v>
      </c>
      <c r="B952" s="1">
        <f t="shared" ca="1" si="61"/>
        <v>0.51566405731258835</v>
      </c>
      <c r="C952" s="1">
        <f t="shared" ca="1" si="65"/>
        <v>10</v>
      </c>
      <c r="D952" s="1">
        <f t="shared" ca="1" si="62"/>
        <v>236</v>
      </c>
      <c r="E952" s="2">
        <f t="shared" ca="1" si="63"/>
        <v>43383</v>
      </c>
      <c r="F952" s="6">
        <f t="shared" ca="1" si="64"/>
        <v>175.40029307485244</v>
      </c>
    </row>
    <row r="953" spans="1:6">
      <c r="A953" s="1">
        <v>9124153</v>
      </c>
      <c r="B953" s="1">
        <f t="shared" ca="1" si="61"/>
        <v>8.9941781895051975E-2</v>
      </c>
      <c r="C953" s="1">
        <f t="shared" ca="1" si="65"/>
        <v>2</v>
      </c>
      <c r="D953" s="1">
        <f t="shared" ca="1" si="62"/>
        <v>30</v>
      </c>
      <c r="E953" s="2">
        <f t="shared" ca="1" si="63"/>
        <v>42994</v>
      </c>
      <c r="F953" s="6">
        <f t="shared" ca="1" si="64"/>
        <v>7.8295898628360829</v>
      </c>
    </row>
    <row r="954" spans="1:6">
      <c r="A954" s="1">
        <v>9124156</v>
      </c>
      <c r="B954" s="1">
        <f t="shared" ca="1" si="61"/>
        <v>1.2427804011906352E-3</v>
      </c>
      <c r="C954" s="1">
        <f t="shared" ca="1" si="65"/>
        <v>141</v>
      </c>
      <c r="D954" s="1">
        <f t="shared" ca="1" si="62"/>
        <v>130</v>
      </c>
      <c r="E954" s="2">
        <f t="shared" ca="1" si="63"/>
        <v>43325</v>
      </c>
      <c r="F954" s="6">
        <f t="shared" ca="1" si="64"/>
        <v>130.997540479468</v>
      </c>
    </row>
    <row r="955" spans="1:6">
      <c r="A955" s="1">
        <v>9124159</v>
      </c>
      <c r="B955" s="1">
        <f t="shared" ca="1" si="61"/>
        <v>0.68584116519316229</v>
      </c>
      <c r="C955" s="1">
        <f t="shared" ca="1" si="65"/>
        <v>85</v>
      </c>
      <c r="D955" s="1">
        <f t="shared" ca="1" si="62"/>
        <v>81</v>
      </c>
      <c r="E955" s="2">
        <f t="shared" ca="1" si="63"/>
        <v>43040</v>
      </c>
      <c r="F955" s="6">
        <f t="shared" ca="1" si="64"/>
        <v>22.502552008009673</v>
      </c>
    </row>
    <row r="956" spans="1:6">
      <c r="A956" s="1">
        <v>9124162</v>
      </c>
      <c r="B956" s="1">
        <f t="shared" ca="1" si="61"/>
        <v>0.76949952663775445</v>
      </c>
      <c r="C956" s="1">
        <f t="shared" ca="1" si="65"/>
        <v>4</v>
      </c>
      <c r="D956" s="1">
        <f t="shared" ca="1" si="62"/>
        <v>493</v>
      </c>
      <c r="E956" s="2">
        <f t="shared" ca="1" si="63"/>
        <v>43311</v>
      </c>
      <c r="F956" s="6">
        <f t="shared" ca="1" si="64"/>
        <v>149.67926418282681</v>
      </c>
    </row>
    <row r="957" spans="1:6">
      <c r="A957" s="1">
        <v>9124165</v>
      </c>
      <c r="B957" s="1">
        <f t="shared" ca="1" si="61"/>
        <v>0.47716783454081124</v>
      </c>
      <c r="C957" s="1">
        <f t="shared" ca="1" si="65"/>
        <v>123</v>
      </c>
      <c r="D957" s="1">
        <f t="shared" ca="1" si="62"/>
        <v>288</v>
      </c>
      <c r="E957" s="2">
        <f t="shared" ca="1" si="63"/>
        <v>43394</v>
      </c>
      <c r="F957" s="6">
        <f t="shared" ca="1" si="64"/>
        <v>5.6627198866645134</v>
      </c>
    </row>
    <row r="958" spans="1:6">
      <c r="A958" s="1">
        <v>9124168</v>
      </c>
      <c r="B958" s="1">
        <f t="shared" ca="1" si="61"/>
        <v>0.81263707008604957</v>
      </c>
      <c r="C958" s="1">
        <f t="shared" ca="1" si="65"/>
        <v>24</v>
      </c>
      <c r="D958" s="1">
        <f t="shared" ca="1" si="62"/>
        <v>334</v>
      </c>
      <c r="E958" s="2">
        <f t="shared" ca="1" si="63"/>
        <v>42838</v>
      </c>
      <c r="F958" s="6">
        <f t="shared" ca="1" si="64"/>
        <v>6.5210448322425663</v>
      </c>
    </row>
    <row r="959" spans="1:6">
      <c r="A959" s="1">
        <v>9124171</v>
      </c>
      <c r="B959" s="1">
        <f t="shared" ca="1" si="61"/>
        <v>0.8621530032148681</v>
      </c>
      <c r="C959" s="1">
        <f t="shared" ca="1" si="65"/>
        <v>61</v>
      </c>
      <c r="D959" s="1">
        <f t="shared" ca="1" si="62"/>
        <v>92</v>
      </c>
      <c r="E959" s="2">
        <f t="shared" ca="1" si="63"/>
        <v>42866</v>
      </c>
      <c r="F959" s="6">
        <f t="shared" ca="1" si="64"/>
        <v>82.956391837306768</v>
      </c>
    </row>
    <row r="960" spans="1:6">
      <c r="A960" s="1">
        <v>9124174</v>
      </c>
      <c r="B960" s="1">
        <f t="shared" ca="1" si="61"/>
        <v>0.51256887187796374</v>
      </c>
      <c r="C960" s="1">
        <f t="shared" ca="1" si="65"/>
        <v>24</v>
      </c>
      <c r="D960" s="1">
        <f t="shared" ca="1" si="62"/>
        <v>334</v>
      </c>
      <c r="E960" s="2">
        <f t="shared" ca="1" si="63"/>
        <v>43063</v>
      </c>
      <c r="F960" s="6">
        <f t="shared" ca="1" si="64"/>
        <v>17.598615878957354</v>
      </c>
    </row>
    <row r="961" spans="1:6">
      <c r="A961" s="1">
        <v>9124177</v>
      </c>
      <c r="B961" s="1">
        <f t="shared" ca="1" si="61"/>
        <v>7.0969358260011828E-2</v>
      </c>
      <c r="C961" s="1">
        <f t="shared" ca="1" si="65"/>
        <v>4</v>
      </c>
      <c r="D961" s="1">
        <f t="shared" ca="1" si="62"/>
        <v>493</v>
      </c>
      <c r="E961" s="2">
        <f t="shared" ca="1" si="63"/>
        <v>43246</v>
      </c>
      <c r="F961" s="6">
        <f t="shared" ca="1" si="64"/>
        <v>3.0782516795422357</v>
      </c>
    </row>
    <row r="962" spans="1:6">
      <c r="A962" s="1">
        <v>9124180</v>
      </c>
      <c r="B962" s="1">
        <f t="shared" ref="B962:B1025" ca="1" si="66">RAND()</f>
        <v>0.34199725621344801</v>
      </c>
      <c r="C962" s="1">
        <f t="shared" ca="1" si="65"/>
        <v>3</v>
      </c>
      <c r="D962" s="1">
        <f t="shared" ca="1" si="62"/>
        <v>263</v>
      </c>
      <c r="E962" s="2">
        <f t="shared" ca="1" si="63"/>
        <v>43455</v>
      </c>
      <c r="F962" s="6">
        <f t="shared" ca="1" si="64"/>
        <v>3.2222794715454066</v>
      </c>
    </row>
    <row r="963" spans="1:6">
      <c r="A963" s="1">
        <v>9124183</v>
      </c>
      <c r="B963" s="1">
        <f t="shared" ca="1" si="66"/>
        <v>0.35292807389519731</v>
      </c>
      <c r="C963" s="1">
        <f t="shared" ca="1" si="65"/>
        <v>94</v>
      </c>
      <c r="D963" s="1">
        <f t="shared" ref="D963:D1026" ca="1" si="67">VLOOKUP(SMALL($B$2:$B$601,C963),$B$2:$C$601,2,FALSE)</f>
        <v>87</v>
      </c>
      <c r="E963" s="2">
        <f t="shared" ref="E963:E1026" ca="1" si="68">RANDBETWEEN("1/1/17","2/1/19")</f>
        <v>42851</v>
      </c>
      <c r="F963" s="6">
        <f t="shared" ref="F963:F1026" ca="1" si="69">_xlfn.GAMMA.INV(RAND(),$J$6,$J$7)*100+3</f>
        <v>5.0215290546945379</v>
      </c>
    </row>
    <row r="964" spans="1:6">
      <c r="A964" s="1">
        <v>9124186</v>
      </c>
      <c r="B964" s="1">
        <f t="shared" ca="1" si="66"/>
        <v>0.20298672360798276</v>
      </c>
      <c r="C964" s="1">
        <f t="shared" ca="1" si="65"/>
        <v>3</v>
      </c>
      <c r="D964" s="1">
        <f t="shared" ca="1" si="67"/>
        <v>263</v>
      </c>
      <c r="E964" s="2">
        <f t="shared" ca="1" si="68"/>
        <v>42971</v>
      </c>
      <c r="F964" s="6">
        <f t="shared" ca="1" si="69"/>
        <v>28.686647216499196</v>
      </c>
    </row>
    <row r="965" spans="1:6">
      <c r="A965" s="1">
        <v>9124189</v>
      </c>
      <c r="B965" s="1">
        <f t="shared" ca="1" si="66"/>
        <v>0.6212781885275328</v>
      </c>
      <c r="C965" s="1">
        <f t="shared" ca="1" si="65"/>
        <v>25</v>
      </c>
      <c r="D965" s="1">
        <f t="shared" ca="1" si="67"/>
        <v>257</v>
      </c>
      <c r="E965" s="2">
        <f t="shared" ca="1" si="68"/>
        <v>43234</v>
      </c>
      <c r="F965" s="6">
        <f t="shared" ca="1" si="69"/>
        <v>4.1836629143265327</v>
      </c>
    </row>
    <row r="966" spans="1:6">
      <c r="A966" s="1">
        <v>9124192</v>
      </c>
      <c r="B966" s="1">
        <f t="shared" ca="1" si="66"/>
        <v>0.33666610039612344</v>
      </c>
      <c r="C966" s="1">
        <f t="shared" ca="1" si="65"/>
        <v>7</v>
      </c>
      <c r="D966" s="1">
        <f t="shared" ca="1" si="67"/>
        <v>138</v>
      </c>
      <c r="E966" s="2">
        <f t="shared" ca="1" si="68"/>
        <v>43343</v>
      </c>
      <c r="F966" s="6">
        <f t="shared" ca="1" si="69"/>
        <v>68.475446552505133</v>
      </c>
    </row>
    <row r="967" spans="1:6">
      <c r="A967" s="1">
        <v>9124195</v>
      </c>
      <c r="B967" s="1">
        <f t="shared" ca="1" si="66"/>
        <v>0.9958351756782986</v>
      </c>
      <c r="C967" s="1">
        <f t="shared" ca="1" si="65"/>
        <v>8</v>
      </c>
      <c r="D967" s="1">
        <f t="shared" ca="1" si="67"/>
        <v>456</v>
      </c>
      <c r="E967" s="2">
        <f t="shared" ca="1" si="68"/>
        <v>43494</v>
      </c>
      <c r="F967" s="6">
        <f t="shared" ca="1" si="69"/>
        <v>118.15872343649602</v>
      </c>
    </row>
    <row r="968" spans="1:6">
      <c r="A968" s="1">
        <v>9124198</v>
      </c>
      <c r="B968" s="1">
        <f t="shared" ca="1" si="66"/>
        <v>0.90718482899510378</v>
      </c>
      <c r="C968" s="1">
        <f t="shared" ca="1" si="65"/>
        <v>1</v>
      </c>
      <c r="D968" s="1">
        <f t="shared" ca="1" si="67"/>
        <v>474</v>
      </c>
      <c r="E968" s="2">
        <f t="shared" ca="1" si="68"/>
        <v>43492</v>
      </c>
      <c r="F968" s="6">
        <f t="shared" ca="1" si="69"/>
        <v>8.6206826252474436</v>
      </c>
    </row>
    <row r="969" spans="1:6">
      <c r="A969" s="1">
        <v>9124201</v>
      </c>
      <c r="B969" s="1">
        <f t="shared" ca="1" si="66"/>
        <v>4.2017387342093926E-2</v>
      </c>
      <c r="C969" s="1">
        <f t="shared" ca="1" si="65"/>
        <v>36</v>
      </c>
      <c r="D969" s="1">
        <f t="shared" ca="1" si="67"/>
        <v>529</v>
      </c>
      <c r="E969" s="2">
        <f t="shared" ca="1" si="68"/>
        <v>42868</v>
      </c>
      <c r="F969" s="6">
        <f t="shared" ca="1" si="69"/>
        <v>15.803491698156913</v>
      </c>
    </row>
    <row r="970" spans="1:6">
      <c r="A970" s="1">
        <v>9124204</v>
      </c>
      <c r="B970" s="1">
        <f t="shared" ca="1" si="66"/>
        <v>0.62100543543863185</v>
      </c>
      <c r="C970" s="1">
        <f t="shared" ca="1" si="65"/>
        <v>20</v>
      </c>
      <c r="D970" s="1">
        <f t="shared" ca="1" si="67"/>
        <v>444</v>
      </c>
      <c r="E970" s="2">
        <f t="shared" ca="1" si="68"/>
        <v>43487</v>
      </c>
      <c r="F970" s="6">
        <f t="shared" ca="1" si="69"/>
        <v>85.30457217194882</v>
      </c>
    </row>
    <row r="971" spans="1:6">
      <c r="A971" s="1">
        <v>9124207</v>
      </c>
      <c r="B971" s="1">
        <f t="shared" ca="1" si="66"/>
        <v>0.14126782210007993</v>
      </c>
      <c r="C971" s="1">
        <f t="shared" ca="1" si="65"/>
        <v>5</v>
      </c>
      <c r="D971" s="1">
        <f t="shared" ca="1" si="67"/>
        <v>363</v>
      </c>
      <c r="E971" s="2">
        <f t="shared" ca="1" si="68"/>
        <v>43162</v>
      </c>
      <c r="F971" s="6">
        <f t="shared" ca="1" si="69"/>
        <v>29.139298817367941</v>
      </c>
    </row>
    <row r="972" spans="1:6">
      <c r="A972" s="1">
        <v>9124210</v>
      </c>
      <c r="B972" s="1">
        <f t="shared" ca="1" si="66"/>
        <v>0.12644566739140439</v>
      </c>
      <c r="C972" s="1">
        <f t="shared" ca="1" si="65"/>
        <v>128</v>
      </c>
      <c r="D972" s="1">
        <f t="shared" ca="1" si="67"/>
        <v>317</v>
      </c>
      <c r="E972" s="2">
        <f t="shared" ca="1" si="68"/>
        <v>43103</v>
      </c>
      <c r="F972" s="6">
        <f t="shared" ca="1" si="69"/>
        <v>88.32264366031211</v>
      </c>
    </row>
    <row r="973" spans="1:6">
      <c r="A973" s="1">
        <v>9124213</v>
      </c>
      <c r="B973" s="1">
        <f t="shared" ca="1" si="66"/>
        <v>0.47081753978212615</v>
      </c>
      <c r="C973" s="1">
        <f t="shared" ca="1" si="65"/>
        <v>15</v>
      </c>
      <c r="D973" s="1">
        <f t="shared" ca="1" si="67"/>
        <v>284</v>
      </c>
      <c r="E973" s="2">
        <f t="shared" ca="1" si="68"/>
        <v>42883</v>
      </c>
      <c r="F973" s="6">
        <f t="shared" ca="1" si="69"/>
        <v>25.729919283890744</v>
      </c>
    </row>
    <row r="974" spans="1:6">
      <c r="A974" s="1">
        <v>9124216</v>
      </c>
      <c r="B974" s="1">
        <f t="shared" ca="1" si="66"/>
        <v>0.76337503898293491</v>
      </c>
      <c r="C974" s="1">
        <f t="shared" ca="1" si="65"/>
        <v>15</v>
      </c>
      <c r="D974" s="1">
        <f t="shared" ca="1" si="67"/>
        <v>284</v>
      </c>
      <c r="E974" s="2">
        <f t="shared" ca="1" si="68"/>
        <v>42984</v>
      </c>
      <c r="F974" s="6">
        <f t="shared" ca="1" si="69"/>
        <v>27.386171239899063</v>
      </c>
    </row>
    <row r="975" spans="1:6">
      <c r="A975" s="1">
        <v>9124219</v>
      </c>
      <c r="B975" s="1">
        <f t="shared" ca="1" si="66"/>
        <v>0.88303472219854562</v>
      </c>
      <c r="C975" s="1">
        <f t="shared" ca="1" si="65"/>
        <v>145</v>
      </c>
      <c r="D975" s="1">
        <f t="shared" ca="1" si="67"/>
        <v>389</v>
      </c>
      <c r="E975" s="2">
        <f t="shared" ca="1" si="68"/>
        <v>42804</v>
      </c>
      <c r="F975" s="6">
        <f t="shared" ca="1" si="69"/>
        <v>284.85919323496893</v>
      </c>
    </row>
    <row r="976" spans="1:6">
      <c r="A976" s="1">
        <v>9124222</v>
      </c>
      <c r="B976" s="1">
        <f t="shared" ca="1" si="66"/>
        <v>0.19172118430096075</v>
      </c>
      <c r="C976" s="1">
        <f t="shared" ca="1" si="65"/>
        <v>33</v>
      </c>
      <c r="D976" s="1">
        <f t="shared" ca="1" si="67"/>
        <v>501</v>
      </c>
      <c r="E976" s="2">
        <f t="shared" ca="1" si="68"/>
        <v>43320</v>
      </c>
      <c r="F976" s="6">
        <f t="shared" ca="1" si="69"/>
        <v>3.7970138851852742</v>
      </c>
    </row>
    <row r="977" spans="1:6">
      <c r="A977" s="1">
        <v>9124225</v>
      </c>
      <c r="B977" s="1">
        <f t="shared" ca="1" si="66"/>
        <v>0.49222767632375442</v>
      </c>
      <c r="C977" s="1">
        <f t="shared" ca="1" si="65"/>
        <v>7</v>
      </c>
      <c r="D977" s="1">
        <f t="shared" ca="1" si="67"/>
        <v>138</v>
      </c>
      <c r="E977" s="2">
        <f t="shared" ca="1" si="68"/>
        <v>43166</v>
      </c>
      <c r="F977" s="6">
        <f t="shared" ca="1" si="69"/>
        <v>6.4554087790842578</v>
      </c>
    </row>
    <row r="978" spans="1:6">
      <c r="A978" s="1">
        <v>9124228</v>
      </c>
      <c r="B978" s="1">
        <f t="shared" ca="1" si="66"/>
        <v>0.92740071485410858</v>
      </c>
      <c r="C978" s="1">
        <f t="shared" ca="1" si="65"/>
        <v>12</v>
      </c>
      <c r="D978" s="1">
        <f t="shared" ca="1" si="67"/>
        <v>292</v>
      </c>
      <c r="E978" s="2">
        <f t="shared" ca="1" si="68"/>
        <v>43211</v>
      </c>
      <c r="F978" s="6">
        <f t="shared" ca="1" si="69"/>
        <v>143.88853887645465</v>
      </c>
    </row>
    <row r="979" spans="1:6">
      <c r="A979" s="1">
        <v>9124231</v>
      </c>
      <c r="B979" s="1">
        <f t="shared" ca="1" si="66"/>
        <v>0.76183260526584062</v>
      </c>
      <c r="C979" s="1">
        <f t="shared" ca="1" si="65"/>
        <v>96</v>
      </c>
      <c r="D979" s="1">
        <f t="shared" ca="1" si="67"/>
        <v>486</v>
      </c>
      <c r="E979" s="2">
        <f t="shared" ca="1" si="68"/>
        <v>43268</v>
      </c>
      <c r="F979" s="6">
        <f t="shared" ca="1" si="69"/>
        <v>42.800407617069787</v>
      </c>
    </row>
    <row r="980" spans="1:6">
      <c r="A980" s="1">
        <v>9124234</v>
      </c>
      <c r="B980" s="1">
        <f t="shared" ca="1" si="66"/>
        <v>0.98601929599325389</v>
      </c>
      <c r="C980" s="1">
        <f t="shared" ca="1" si="65"/>
        <v>104</v>
      </c>
      <c r="D980" s="1">
        <f t="shared" ca="1" si="67"/>
        <v>560</v>
      </c>
      <c r="E980" s="2">
        <f t="shared" ca="1" si="68"/>
        <v>43370</v>
      </c>
      <c r="F980" s="6">
        <f t="shared" ca="1" si="69"/>
        <v>220.71921535841673</v>
      </c>
    </row>
    <row r="981" spans="1:6">
      <c r="A981" s="1">
        <v>9124237</v>
      </c>
      <c r="B981" s="1">
        <f t="shared" ca="1" si="66"/>
        <v>0.43528415258806052</v>
      </c>
      <c r="C981" s="1">
        <f t="shared" ca="1" si="65"/>
        <v>9</v>
      </c>
      <c r="D981" s="1">
        <f t="shared" ca="1" si="67"/>
        <v>278</v>
      </c>
      <c r="E981" s="2">
        <f t="shared" ca="1" si="68"/>
        <v>42821</v>
      </c>
      <c r="F981" s="6">
        <f t="shared" ca="1" si="69"/>
        <v>173.54113656563439</v>
      </c>
    </row>
    <row r="982" spans="1:6">
      <c r="A982" s="1">
        <v>9124240</v>
      </c>
      <c r="B982" s="1">
        <f t="shared" ca="1" si="66"/>
        <v>0.20764155012312968</v>
      </c>
      <c r="C982" s="1">
        <f t="shared" ca="1" si="65"/>
        <v>7</v>
      </c>
      <c r="D982" s="1">
        <f t="shared" ca="1" si="67"/>
        <v>138</v>
      </c>
      <c r="E982" s="2">
        <f t="shared" ca="1" si="68"/>
        <v>43089</v>
      </c>
      <c r="F982" s="6">
        <f t="shared" ca="1" si="69"/>
        <v>22.595297120394157</v>
      </c>
    </row>
    <row r="983" spans="1:6">
      <c r="A983" s="1">
        <v>9124243</v>
      </c>
      <c r="B983" s="1">
        <f t="shared" ca="1" si="66"/>
        <v>0.50925642049045572</v>
      </c>
      <c r="C983" s="1">
        <f t="shared" ca="1" si="65"/>
        <v>155</v>
      </c>
      <c r="D983" s="1">
        <f t="shared" ca="1" si="67"/>
        <v>12</v>
      </c>
      <c r="E983" s="2">
        <f t="shared" ca="1" si="68"/>
        <v>42843</v>
      </c>
      <c r="F983" s="6">
        <f t="shared" ca="1" si="69"/>
        <v>3.4121951908667256</v>
      </c>
    </row>
    <row r="984" spans="1:6">
      <c r="A984" s="1">
        <v>9124246</v>
      </c>
      <c r="B984" s="1">
        <f t="shared" ca="1" si="66"/>
        <v>0.3346624151530313</v>
      </c>
      <c r="C984" s="1">
        <f t="shared" ca="1" si="65"/>
        <v>294</v>
      </c>
      <c r="D984" s="1">
        <f t="shared" ca="1" si="67"/>
        <v>488</v>
      </c>
      <c r="E984" s="2">
        <f t="shared" ca="1" si="68"/>
        <v>42959</v>
      </c>
      <c r="F984" s="6">
        <f t="shared" ca="1" si="69"/>
        <v>36.857147556756409</v>
      </c>
    </row>
    <row r="985" spans="1:6">
      <c r="A985" s="1">
        <v>9124249</v>
      </c>
      <c r="B985" s="1">
        <f t="shared" ca="1" si="66"/>
        <v>0.62037877233750838</v>
      </c>
      <c r="C985" s="1">
        <f t="shared" ca="1" si="65"/>
        <v>4</v>
      </c>
      <c r="D985" s="1">
        <f t="shared" ca="1" si="67"/>
        <v>493</v>
      </c>
      <c r="E985" s="2">
        <f t="shared" ca="1" si="68"/>
        <v>43204</v>
      </c>
      <c r="F985" s="6">
        <f t="shared" ca="1" si="69"/>
        <v>18.770261363293741</v>
      </c>
    </row>
    <row r="986" spans="1:6">
      <c r="A986" s="1">
        <v>9124252</v>
      </c>
      <c r="B986" s="1">
        <f t="shared" ca="1" si="66"/>
        <v>0.92519465412441959</v>
      </c>
      <c r="C986" s="1">
        <f t="shared" ca="1" si="65"/>
        <v>212</v>
      </c>
      <c r="D986" s="1">
        <f t="shared" ca="1" si="67"/>
        <v>94</v>
      </c>
      <c r="E986" s="2">
        <f t="shared" ca="1" si="68"/>
        <v>42858</v>
      </c>
      <c r="F986" s="6">
        <f t="shared" ca="1" si="69"/>
        <v>35.870494281081605</v>
      </c>
    </row>
    <row r="987" spans="1:6">
      <c r="A987" s="1">
        <v>9124255</v>
      </c>
      <c r="B987" s="1">
        <f t="shared" ca="1" si="66"/>
        <v>0.85562184112836992</v>
      </c>
      <c r="C987" s="1">
        <f t="shared" ref="C987:C1050" ca="1" si="70">ROUND(_xlfn.GAMMA.INV(RAND(),$J$11,$J$12)*100,0)+1</f>
        <v>16</v>
      </c>
      <c r="D987" s="1">
        <f t="shared" ca="1" si="67"/>
        <v>465</v>
      </c>
      <c r="E987" s="2">
        <f t="shared" ca="1" si="68"/>
        <v>43256</v>
      </c>
      <c r="F987" s="6">
        <f t="shared" ca="1" si="69"/>
        <v>107.33313512222335</v>
      </c>
    </row>
    <row r="988" spans="1:6">
      <c r="A988" s="1">
        <v>9124258</v>
      </c>
      <c r="B988" s="1">
        <f t="shared" ca="1" si="66"/>
        <v>0.62707208647900592</v>
      </c>
      <c r="C988" s="1">
        <f t="shared" ca="1" si="70"/>
        <v>8</v>
      </c>
      <c r="D988" s="1">
        <f t="shared" ca="1" si="67"/>
        <v>456</v>
      </c>
      <c r="E988" s="2">
        <f t="shared" ca="1" si="68"/>
        <v>43138</v>
      </c>
      <c r="F988" s="6">
        <f t="shared" ca="1" si="69"/>
        <v>14.361062923619169</v>
      </c>
    </row>
    <row r="989" spans="1:6">
      <c r="A989" s="1">
        <v>9124261</v>
      </c>
      <c r="B989" s="1">
        <f t="shared" ca="1" si="66"/>
        <v>0.35490421647115322</v>
      </c>
      <c r="C989" s="1">
        <f t="shared" ca="1" si="70"/>
        <v>2</v>
      </c>
      <c r="D989" s="1">
        <f t="shared" ca="1" si="67"/>
        <v>30</v>
      </c>
      <c r="E989" s="2">
        <f t="shared" ca="1" si="68"/>
        <v>43173</v>
      </c>
      <c r="F989" s="6">
        <f t="shared" ca="1" si="69"/>
        <v>85.284987299360282</v>
      </c>
    </row>
    <row r="990" spans="1:6">
      <c r="A990" s="1">
        <v>9124264</v>
      </c>
      <c r="B990" s="1">
        <f t="shared" ca="1" si="66"/>
        <v>0.6295651183571761</v>
      </c>
      <c r="C990" s="1">
        <f t="shared" ca="1" si="70"/>
        <v>52</v>
      </c>
      <c r="D990" s="1">
        <f t="shared" ca="1" si="67"/>
        <v>574</v>
      </c>
      <c r="E990" s="2">
        <f t="shared" ca="1" si="68"/>
        <v>43306</v>
      </c>
      <c r="F990" s="6">
        <f t="shared" ca="1" si="69"/>
        <v>3.1775382650237618</v>
      </c>
    </row>
    <row r="991" spans="1:6">
      <c r="A991" s="1">
        <v>9124267</v>
      </c>
      <c r="B991" s="1">
        <f t="shared" ca="1" si="66"/>
        <v>5.7560741303647633E-2</v>
      </c>
      <c r="C991" s="1">
        <f t="shared" ca="1" si="70"/>
        <v>74</v>
      </c>
      <c r="D991" s="1">
        <f t="shared" ca="1" si="67"/>
        <v>450</v>
      </c>
      <c r="E991" s="2">
        <f t="shared" ca="1" si="68"/>
        <v>43124</v>
      </c>
      <c r="F991" s="6">
        <f t="shared" ca="1" si="69"/>
        <v>10.401625986081886</v>
      </c>
    </row>
    <row r="992" spans="1:6">
      <c r="A992" s="1">
        <v>9124270</v>
      </c>
      <c r="B992" s="1">
        <f t="shared" ca="1" si="66"/>
        <v>0.12979519311465748</v>
      </c>
      <c r="C992" s="1">
        <f t="shared" ca="1" si="70"/>
        <v>3</v>
      </c>
      <c r="D992" s="1">
        <f t="shared" ca="1" si="67"/>
        <v>263</v>
      </c>
      <c r="E992" s="2">
        <f t="shared" ca="1" si="68"/>
        <v>42954</v>
      </c>
      <c r="F992" s="6">
        <f t="shared" ca="1" si="69"/>
        <v>40.795596679635509</v>
      </c>
    </row>
    <row r="993" spans="1:6">
      <c r="A993" s="1">
        <v>9124273</v>
      </c>
      <c r="B993" s="1">
        <f t="shared" ca="1" si="66"/>
        <v>0.76975144653016658</v>
      </c>
      <c r="C993" s="1">
        <f t="shared" ca="1" si="70"/>
        <v>81</v>
      </c>
      <c r="D993" s="1">
        <f t="shared" ca="1" si="67"/>
        <v>119</v>
      </c>
      <c r="E993" s="2">
        <f t="shared" ca="1" si="68"/>
        <v>42895</v>
      </c>
      <c r="F993" s="6">
        <f t="shared" ca="1" si="69"/>
        <v>389.74474861216351</v>
      </c>
    </row>
    <row r="994" spans="1:6">
      <c r="A994" s="1">
        <v>9124276</v>
      </c>
      <c r="B994" s="1">
        <f t="shared" ca="1" si="66"/>
        <v>0.12800715813168539</v>
      </c>
      <c r="C994" s="1">
        <f t="shared" ca="1" si="70"/>
        <v>50</v>
      </c>
      <c r="D994" s="1">
        <f t="shared" ca="1" si="67"/>
        <v>415</v>
      </c>
      <c r="E994" s="2">
        <f t="shared" ca="1" si="68"/>
        <v>42972</v>
      </c>
      <c r="F994" s="6">
        <f t="shared" ca="1" si="69"/>
        <v>5.2676822274345536</v>
      </c>
    </row>
    <row r="995" spans="1:6">
      <c r="A995" s="1">
        <v>9124279</v>
      </c>
      <c r="B995" s="1">
        <f t="shared" ca="1" si="66"/>
        <v>0.88821295641641862</v>
      </c>
      <c r="C995" s="1">
        <f t="shared" ca="1" si="70"/>
        <v>1</v>
      </c>
      <c r="D995" s="1">
        <f t="shared" ca="1" si="67"/>
        <v>474</v>
      </c>
      <c r="E995" s="2">
        <f t="shared" ca="1" si="68"/>
        <v>43118</v>
      </c>
      <c r="F995" s="6">
        <f t="shared" ca="1" si="69"/>
        <v>39.866005080441091</v>
      </c>
    </row>
    <row r="996" spans="1:6">
      <c r="A996" s="1">
        <v>9124282</v>
      </c>
      <c r="B996" s="1">
        <f t="shared" ca="1" si="66"/>
        <v>0.29956243758254819</v>
      </c>
      <c r="C996" s="1">
        <f t="shared" ca="1" si="70"/>
        <v>2</v>
      </c>
      <c r="D996" s="1">
        <f t="shared" ca="1" si="67"/>
        <v>30</v>
      </c>
      <c r="E996" s="2">
        <f t="shared" ca="1" si="68"/>
        <v>43294</v>
      </c>
      <c r="F996" s="6">
        <f t="shared" ca="1" si="69"/>
        <v>76.621083888238587</v>
      </c>
    </row>
    <row r="997" spans="1:6">
      <c r="A997" s="1">
        <v>9124285</v>
      </c>
      <c r="B997" s="1">
        <f t="shared" ca="1" si="66"/>
        <v>0.90667530438937505</v>
      </c>
      <c r="C997" s="1">
        <f t="shared" ca="1" si="70"/>
        <v>81</v>
      </c>
      <c r="D997" s="1">
        <f t="shared" ca="1" si="67"/>
        <v>119</v>
      </c>
      <c r="E997" s="2">
        <f t="shared" ca="1" si="68"/>
        <v>42736</v>
      </c>
      <c r="F997" s="6">
        <f t="shared" ca="1" si="69"/>
        <v>5.920686564313681</v>
      </c>
    </row>
    <row r="998" spans="1:6">
      <c r="A998" s="1">
        <v>9124288</v>
      </c>
      <c r="B998" s="1">
        <f t="shared" ca="1" si="66"/>
        <v>0.514305779132466</v>
      </c>
      <c r="C998" s="1">
        <f t="shared" ca="1" si="70"/>
        <v>41</v>
      </c>
      <c r="D998" s="1">
        <f t="shared" ca="1" si="67"/>
        <v>37</v>
      </c>
      <c r="E998" s="2">
        <f t="shared" ca="1" si="68"/>
        <v>43305</v>
      </c>
      <c r="F998" s="6">
        <f t="shared" ca="1" si="69"/>
        <v>25.931292220703625</v>
      </c>
    </row>
    <row r="999" spans="1:6">
      <c r="A999" s="1">
        <v>9124291</v>
      </c>
      <c r="B999" s="1">
        <f t="shared" ca="1" si="66"/>
        <v>0.85110065311626926</v>
      </c>
      <c r="C999" s="1">
        <f t="shared" ca="1" si="70"/>
        <v>37</v>
      </c>
      <c r="D999" s="1">
        <f t="shared" ca="1" si="67"/>
        <v>517</v>
      </c>
      <c r="E999" s="2">
        <f t="shared" ca="1" si="68"/>
        <v>43198</v>
      </c>
      <c r="F999" s="6">
        <f t="shared" ca="1" si="69"/>
        <v>4.0644007129836393</v>
      </c>
    </row>
    <row r="1000" spans="1:6">
      <c r="A1000" s="1">
        <v>9124294</v>
      </c>
      <c r="B1000" s="1">
        <f t="shared" ca="1" si="66"/>
        <v>0.99383483247859161</v>
      </c>
      <c r="C1000" s="1">
        <f t="shared" ca="1" si="70"/>
        <v>20</v>
      </c>
      <c r="D1000" s="1">
        <f t="shared" ca="1" si="67"/>
        <v>444</v>
      </c>
      <c r="E1000" s="2">
        <f t="shared" ca="1" si="68"/>
        <v>42765</v>
      </c>
      <c r="F1000" s="6">
        <f t="shared" ca="1" si="69"/>
        <v>28.21447480652078</v>
      </c>
    </row>
    <row r="1001" spans="1:6">
      <c r="A1001" s="1">
        <v>9124297</v>
      </c>
      <c r="B1001" s="1">
        <f t="shared" ca="1" si="66"/>
        <v>5.6235807063905963E-2</v>
      </c>
      <c r="C1001" s="1">
        <f t="shared" ca="1" si="70"/>
        <v>19</v>
      </c>
      <c r="D1001" s="1">
        <f t="shared" ca="1" si="67"/>
        <v>42</v>
      </c>
      <c r="E1001" s="2">
        <f t="shared" ca="1" si="68"/>
        <v>43231</v>
      </c>
      <c r="F1001" s="6">
        <f t="shared" ca="1" si="69"/>
        <v>6.8345587424611836</v>
      </c>
    </row>
    <row r="1002" spans="1:6">
      <c r="A1002" s="1">
        <v>9124300</v>
      </c>
      <c r="B1002" s="1">
        <f t="shared" ca="1" si="66"/>
        <v>0.43143872814771711</v>
      </c>
      <c r="C1002" s="1">
        <f t="shared" ca="1" si="70"/>
        <v>308</v>
      </c>
      <c r="D1002" s="1">
        <f t="shared" ca="1" si="67"/>
        <v>122</v>
      </c>
      <c r="E1002" s="2">
        <f t="shared" ca="1" si="68"/>
        <v>43293</v>
      </c>
      <c r="F1002" s="6">
        <f t="shared" ca="1" si="69"/>
        <v>9.1492777529322389</v>
      </c>
    </row>
    <row r="1003" spans="1:6">
      <c r="A1003" s="1">
        <v>9124303</v>
      </c>
      <c r="B1003" s="1">
        <f t="shared" ca="1" si="66"/>
        <v>0.9717457556710537</v>
      </c>
      <c r="C1003" s="1">
        <f t="shared" ca="1" si="70"/>
        <v>5</v>
      </c>
      <c r="D1003" s="1">
        <f t="shared" ca="1" si="67"/>
        <v>363</v>
      </c>
      <c r="E1003" s="2">
        <f t="shared" ca="1" si="68"/>
        <v>43118</v>
      </c>
      <c r="F1003" s="6">
        <f t="shared" ca="1" si="69"/>
        <v>3.6260357398619694</v>
      </c>
    </row>
    <row r="1004" spans="1:6">
      <c r="A1004" s="1">
        <v>9124306</v>
      </c>
      <c r="B1004" s="1">
        <f t="shared" ca="1" si="66"/>
        <v>0.30624566305363377</v>
      </c>
      <c r="C1004" s="1">
        <f t="shared" ca="1" si="70"/>
        <v>95</v>
      </c>
      <c r="D1004" s="1">
        <f t="shared" ca="1" si="67"/>
        <v>62</v>
      </c>
      <c r="E1004" s="2">
        <f t="shared" ca="1" si="68"/>
        <v>42877</v>
      </c>
      <c r="F1004" s="6">
        <f t="shared" ca="1" si="69"/>
        <v>26.016869653131852</v>
      </c>
    </row>
    <row r="1005" spans="1:6">
      <c r="A1005" s="1">
        <v>9124309</v>
      </c>
      <c r="B1005" s="1">
        <f t="shared" ca="1" si="66"/>
        <v>0.29826088180889265</v>
      </c>
      <c r="C1005" s="1">
        <f t="shared" ca="1" si="70"/>
        <v>1</v>
      </c>
      <c r="D1005" s="1">
        <f t="shared" ca="1" si="67"/>
        <v>474</v>
      </c>
      <c r="E1005" s="2">
        <f t="shared" ca="1" si="68"/>
        <v>42785</v>
      </c>
      <c r="F1005" s="6">
        <f t="shared" ca="1" si="69"/>
        <v>55.253920537645335</v>
      </c>
    </row>
    <row r="1006" spans="1:6">
      <c r="A1006" s="1">
        <v>9124312</v>
      </c>
      <c r="B1006" s="1">
        <f t="shared" ca="1" si="66"/>
        <v>7.3896017690245674E-2</v>
      </c>
      <c r="C1006" s="1">
        <f t="shared" ca="1" si="70"/>
        <v>7</v>
      </c>
      <c r="D1006" s="1">
        <f t="shared" ca="1" si="67"/>
        <v>138</v>
      </c>
      <c r="E1006" s="2">
        <f t="shared" ca="1" si="68"/>
        <v>43481</v>
      </c>
      <c r="F1006" s="6">
        <f t="shared" ca="1" si="69"/>
        <v>19.350741662311169</v>
      </c>
    </row>
    <row r="1007" spans="1:6">
      <c r="A1007" s="1">
        <v>9124315</v>
      </c>
      <c r="B1007" s="1">
        <f t="shared" ca="1" si="66"/>
        <v>0.52688086659687139</v>
      </c>
      <c r="C1007" s="1">
        <f t="shared" ca="1" si="70"/>
        <v>272</v>
      </c>
      <c r="D1007" s="1">
        <f t="shared" ca="1" si="67"/>
        <v>129</v>
      </c>
      <c r="E1007" s="2">
        <f t="shared" ca="1" si="68"/>
        <v>42845</v>
      </c>
      <c r="F1007" s="6">
        <f t="shared" ca="1" si="69"/>
        <v>9.1838450493892143</v>
      </c>
    </row>
    <row r="1008" spans="1:6">
      <c r="A1008" s="1">
        <v>9124318</v>
      </c>
      <c r="B1008" s="1">
        <f t="shared" ca="1" si="66"/>
        <v>0.45533530203712835</v>
      </c>
      <c r="C1008" s="1">
        <f t="shared" ca="1" si="70"/>
        <v>16</v>
      </c>
      <c r="D1008" s="1">
        <f t="shared" ca="1" si="67"/>
        <v>465</v>
      </c>
      <c r="E1008" s="2">
        <f t="shared" ca="1" si="68"/>
        <v>43181</v>
      </c>
      <c r="F1008" s="6">
        <f t="shared" ca="1" si="69"/>
        <v>4.2782744005013571</v>
      </c>
    </row>
    <row r="1009" spans="1:6">
      <c r="A1009" s="1">
        <v>9124321</v>
      </c>
      <c r="B1009" s="1">
        <f t="shared" ca="1" si="66"/>
        <v>0.96931484583924743</v>
      </c>
      <c r="C1009" s="1">
        <f t="shared" ca="1" si="70"/>
        <v>48</v>
      </c>
      <c r="D1009" s="1">
        <f t="shared" ca="1" si="67"/>
        <v>424</v>
      </c>
      <c r="E1009" s="2">
        <f t="shared" ca="1" si="68"/>
        <v>43114</v>
      </c>
      <c r="F1009" s="6">
        <f t="shared" ca="1" si="69"/>
        <v>6.9719278809510783</v>
      </c>
    </row>
    <row r="1010" spans="1:6">
      <c r="A1010" s="1">
        <v>9124324</v>
      </c>
      <c r="B1010" s="1">
        <f t="shared" ca="1" si="66"/>
        <v>0.28974976667385277</v>
      </c>
      <c r="C1010" s="1">
        <f t="shared" ca="1" si="70"/>
        <v>35</v>
      </c>
      <c r="D1010" s="1">
        <f t="shared" ca="1" si="67"/>
        <v>423</v>
      </c>
      <c r="E1010" s="2">
        <f t="shared" ca="1" si="68"/>
        <v>43033</v>
      </c>
      <c r="F1010" s="6">
        <f t="shared" ca="1" si="69"/>
        <v>3.1350736555066279</v>
      </c>
    </row>
    <row r="1011" spans="1:6">
      <c r="A1011" s="1">
        <v>9124327</v>
      </c>
      <c r="B1011" s="1">
        <f t="shared" ca="1" si="66"/>
        <v>0.9181414538848004</v>
      </c>
      <c r="C1011" s="1">
        <f t="shared" ca="1" si="70"/>
        <v>20</v>
      </c>
      <c r="D1011" s="1">
        <f t="shared" ca="1" si="67"/>
        <v>444</v>
      </c>
      <c r="E1011" s="2">
        <f t="shared" ca="1" si="68"/>
        <v>43158</v>
      </c>
      <c r="F1011" s="6">
        <f t="shared" ca="1" si="69"/>
        <v>15.729520729254084</v>
      </c>
    </row>
    <row r="1012" spans="1:6">
      <c r="A1012" s="1">
        <v>9124330</v>
      </c>
      <c r="B1012" s="1">
        <f t="shared" ca="1" si="66"/>
        <v>0.56985897334541979</v>
      </c>
      <c r="C1012" s="1">
        <f t="shared" ca="1" si="70"/>
        <v>32</v>
      </c>
      <c r="D1012" s="1">
        <f t="shared" ca="1" si="67"/>
        <v>497</v>
      </c>
      <c r="E1012" s="2">
        <f t="shared" ca="1" si="68"/>
        <v>43121</v>
      </c>
      <c r="F1012" s="6">
        <f t="shared" ca="1" si="69"/>
        <v>52.338093469252222</v>
      </c>
    </row>
    <row r="1013" spans="1:6">
      <c r="A1013" s="1">
        <v>9124333</v>
      </c>
      <c r="B1013" s="1">
        <f t="shared" ca="1" si="66"/>
        <v>0.53539893197792421</v>
      </c>
      <c r="C1013" s="1">
        <f t="shared" ca="1" si="70"/>
        <v>1</v>
      </c>
      <c r="D1013" s="1">
        <f t="shared" ca="1" si="67"/>
        <v>474</v>
      </c>
      <c r="E1013" s="2">
        <f t="shared" ca="1" si="68"/>
        <v>42877</v>
      </c>
      <c r="F1013" s="6">
        <f t="shared" ca="1" si="69"/>
        <v>171.36927503541918</v>
      </c>
    </row>
    <row r="1014" spans="1:6">
      <c r="A1014" s="1">
        <v>9124336</v>
      </c>
      <c r="B1014" s="1">
        <f t="shared" ca="1" si="66"/>
        <v>0.8735804681971806</v>
      </c>
      <c r="C1014" s="1">
        <f t="shared" ca="1" si="70"/>
        <v>1</v>
      </c>
      <c r="D1014" s="1">
        <f t="shared" ca="1" si="67"/>
        <v>474</v>
      </c>
      <c r="E1014" s="2">
        <f t="shared" ca="1" si="68"/>
        <v>43259</v>
      </c>
      <c r="F1014" s="6">
        <f t="shared" ca="1" si="69"/>
        <v>12.212103417640341</v>
      </c>
    </row>
    <row r="1015" spans="1:6">
      <c r="A1015" s="1">
        <v>9124339</v>
      </c>
      <c r="B1015" s="1">
        <f t="shared" ca="1" si="66"/>
        <v>0.846735990057772</v>
      </c>
      <c r="C1015" s="1">
        <f t="shared" ca="1" si="70"/>
        <v>63</v>
      </c>
      <c r="D1015" s="1">
        <f t="shared" ca="1" si="67"/>
        <v>571</v>
      </c>
      <c r="E1015" s="2">
        <f t="shared" ca="1" si="68"/>
        <v>43227</v>
      </c>
      <c r="F1015" s="6">
        <f t="shared" ca="1" si="69"/>
        <v>154.06488148405498</v>
      </c>
    </row>
    <row r="1016" spans="1:6">
      <c r="A1016" s="1">
        <v>9124342</v>
      </c>
      <c r="B1016" s="1">
        <f t="shared" ca="1" si="66"/>
        <v>0.6754838498655853</v>
      </c>
      <c r="C1016" s="1">
        <f t="shared" ca="1" si="70"/>
        <v>69</v>
      </c>
      <c r="D1016" s="1">
        <f t="shared" ca="1" si="67"/>
        <v>142</v>
      </c>
      <c r="E1016" s="2">
        <f t="shared" ca="1" si="68"/>
        <v>43299</v>
      </c>
      <c r="F1016" s="6">
        <f t="shared" ca="1" si="69"/>
        <v>375.19537639602953</v>
      </c>
    </row>
    <row r="1017" spans="1:6">
      <c r="A1017" s="1">
        <v>9124345</v>
      </c>
      <c r="B1017" s="1">
        <f t="shared" ca="1" si="66"/>
        <v>0.64119303952584517</v>
      </c>
      <c r="C1017" s="1">
        <f t="shared" ca="1" si="70"/>
        <v>71</v>
      </c>
      <c r="D1017" s="1">
        <f t="shared" ca="1" si="67"/>
        <v>281</v>
      </c>
      <c r="E1017" s="2">
        <f t="shared" ca="1" si="68"/>
        <v>42974</v>
      </c>
      <c r="F1017" s="6">
        <f t="shared" ca="1" si="69"/>
        <v>34.001155596844086</v>
      </c>
    </row>
    <row r="1018" spans="1:6">
      <c r="A1018" s="1">
        <v>9124348</v>
      </c>
      <c r="B1018" s="1">
        <f t="shared" ca="1" si="66"/>
        <v>0.45582687165715319</v>
      </c>
      <c r="C1018" s="1">
        <f t="shared" ca="1" si="70"/>
        <v>12</v>
      </c>
      <c r="D1018" s="1">
        <f t="shared" ca="1" si="67"/>
        <v>292</v>
      </c>
      <c r="E1018" s="2">
        <f t="shared" ca="1" si="68"/>
        <v>42913</v>
      </c>
      <c r="F1018" s="6">
        <f t="shared" ca="1" si="69"/>
        <v>56.724518912251796</v>
      </c>
    </row>
    <row r="1019" spans="1:6">
      <c r="A1019" s="1">
        <v>9124351</v>
      </c>
      <c r="B1019" s="1">
        <f t="shared" ca="1" si="66"/>
        <v>0.85678646264289482</v>
      </c>
      <c r="C1019" s="1">
        <f t="shared" ca="1" si="70"/>
        <v>1</v>
      </c>
      <c r="D1019" s="1">
        <f t="shared" ca="1" si="67"/>
        <v>474</v>
      </c>
      <c r="E1019" s="2">
        <f t="shared" ca="1" si="68"/>
        <v>43346</v>
      </c>
      <c r="F1019" s="6">
        <f t="shared" ca="1" si="69"/>
        <v>14.289008825933497</v>
      </c>
    </row>
    <row r="1020" spans="1:6">
      <c r="A1020" s="1">
        <v>9124354</v>
      </c>
      <c r="B1020" s="1">
        <f t="shared" ca="1" si="66"/>
        <v>0.79965533512106057</v>
      </c>
      <c r="C1020" s="1">
        <f t="shared" ca="1" si="70"/>
        <v>212</v>
      </c>
      <c r="D1020" s="1">
        <f t="shared" ca="1" si="67"/>
        <v>94</v>
      </c>
      <c r="E1020" s="2">
        <f t="shared" ca="1" si="68"/>
        <v>43175</v>
      </c>
      <c r="F1020" s="6">
        <f t="shared" ca="1" si="69"/>
        <v>12.50550130881323</v>
      </c>
    </row>
    <row r="1021" spans="1:6">
      <c r="A1021" s="1">
        <v>9124357</v>
      </c>
      <c r="B1021" s="1">
        <f t="shared" ca="1" si="66"/>
        <v>0.13379400748098291</v>
      </c>
      <c r="C1021" s="1">
        <f t="shared" ca="1" si="70"/>
        <v>6</v>
      </c>
      <c r="D1021" s="1">
        <f t="shared" ca="1" si="67"/>
        <v>208</v>
      </c>
      <c r="E1021" s="2">
        <f t="shared" ca="1" si="68"/>
        <v>43084</v>
      </c>
      <c r="F1021" s="6">
        <f t="shared" ca="1" si="69"/>
        <v>4.556202254038408</v>
      </c>
    </row>
    <row r="1022" spans="1:6">
      <c r="A1022" s="1">
        <v>9124360</v>
      </c>
      <c r="B1022" s="1">
        <f t="shared" ca="1" si="66"/>
        <v>0.34378284821178184</v>
      </c>
      <c r="C1022" s="1">
        <f t="shared" ca="1" si="70"/>
        <v>342</v>
      </c>
      <c r="D1022" s="1">
        <f t="shared" ca="1" si="67"/>
        <v>297</v>
      </c>
      <c r="E1022" s="2">
        <f t="shared" ca="1" si="68"/>
        <v>42949</v>
      </c>
      <c r="F1022" s="6">
        <f t="shared" ca="1" si="69"/>
        <v>3.0231790568052244</v>
      </c>
    </row>
    <row r="1023" spans="1:6">
      <c r="A1023" s="1">
        <v>9124363</v>
      </c>
      <c r="B1023" s="1">
        <f t="shared" ca="1" si="66"/>
        <v>0.32399596693541655</v>
      </c>
      <c r="C1023" s="1">
        <f t="shared" ca="1" si="70"/>
        <v>188</v>
      </c>
      <c r="D1023" s="1">
        <f t="shared" ca="1" si="67"/>
        <v>25</v>
      </c>
      <c r="E1023" s="2">
        <f t="shared" ca="1" si="68"/>
        <v>43475</v>
      </c>
      <c r="F1023" s="6">
        <f t="shared" ca="1" si="69"/>
        <v>87.14263211567426</v>
      </c>
    </row>
    <row r="1024" spans="1:6">
      <c r="A1024" s="1">
        <v>9124366</v>
      </c>
      <c r="B1024" s="1">
        <f t="shared" ca="1" si="66"/>
        <v>0.66401048811274088</v>
      </c>
      <c r="C1024" s="1">
        <f t="shared" ca="1" si="70"/>
        <v>50</v>
      </c>
      <c r="D1024" s="1">
        <f t="shared" ca="1" si="67"/>
        <v>415</v>
      </c>
      <c r="E1024" s="2">
        <f t="shared" ca="1" si="68"/>
        <v>43242</v>
      </c>
      <c r="F1024" s="6">
        <f t="shared" ca="1" si="69"/>
        <v>74.900384901539383</v>
      </c>
    </row>
    <row r="1025" spans="1:6">
      <c r="A1025" s="1">
        <v>9124369</v>
      </c>
      <c r="B1025" s="1">
        <f t="shared" ca="1" si="66"/>
        <v>0.40654508392291533</v>
      </c>
      <c r="C1025" s="1">
        <f t="shared" ca="1" si="70"/>
        <v>15</v>
      </c>
      <c r="D1025" s="1">
        <f t="shared" ca="1" si="67"/>
        <v>284</v>
      </c>
      <c r="E1025" s="2">
        <f t="shared" ca="1" si="68"/>
        <v>42840</v>
      </c>
      <c r="F1025" s="6">
        <f t="shared" ca="1" si="69"/>
        <v>3.0489081609558144</v>
      </c>
    </row>
    <row r="1026" spans="1:6">
      <c r="A1026" s="1">
        <v>9124372</v>
      </c>
      <c r="B1026" s="1">
        <f t="shared" ref="B1026:B1089" ca="1" si="71">RAND()</f>
        <v>8.8267122060653791E-2</v>
      </c>
      <c r="C1026" s="1">
        <f t="shared" ca="1" si="70"/>
        <v>4</v>
      </c>
      <c r="D1026" s="1">
        <f t="shared" ca="1" si="67"/>
        <v>493</v>
      </c>
      <c r="E1026" s="2">
        <f t="shared" ca="1" si="68"/>
        <v>42933</v>
      </c>
      <c r="F1026" s="6">
        <f t="shared" ca="1" si="69"/>
        <v>3.9285856928240901</v>
      </c>
    </row>
    <row r="1027" spans="1:6">
      <c r="A1027" s="1">
        <v>9124375</v>
      </c>
      <c r="B1027" s="1">
        <f t="shared" ca="1" si="71"/>
        <v>0.10313882717743195</v>
      </c>
      <c r="C1027" s="1">
        <f t="shared" ca="1" si="70"/>
        <v>67</v>
      </c>
      <c r="D1027" s="1">
        <f t="shared" ref="D1027:D1090" ca="1" si="72">VLOOKUP(SMALL($B$2:$B$601,C1027),$B$2:$C$601,2,FALSE)</f>
        <v>259</v>
      </c>
      <c r="E1027" s="2">
        <f t="shared" ref="E1027:E1090" ca="1" si="73">RANDBETWEEN("1/1/17","2/1/19")</f>
        <v>42800</v>
      </c>
      <c r="F1027" s="6">
        <f t="shared" ref="F1027:F1090" ca="1" si="74">_xlfn.GAMMA.INV(RAND(),$J$6,$J$7)*100+3</f>
        <v>18.835841977428441</v>
      </c>
    </row>
    <row r="1028" spans="1:6">
      <c r="A1028" s="1">
        <v>9124378</v>
      </c>
      <c r="B1028" s="1">
        <f t="shared" ca="1" si="71"/>
        <v>0.67626738837647871</v>
      </c>
      <c r="C1028" s="1">
        <f t="shared" ca="1" si="70"/>
        <v>30</v>
      </c>
      <c r="D1028" s="1">
        <f t="shared" ca="1" si="72"/>
        <v>53</v>
      </c>
      <c r="E1028" s="2">
        <f t="shared" ca="1" si="73"/>
        <v>42894</v>
      </c>
      <c r="F1028" s="6">
        <f t="shared" ca="1" si="74"/>
        <v>81.827085994570936</v>
      </c>
    </row>
    <row r="1029" spans="1:6">
      <c r="A1029" s="1">
        <v>9124381</v>
      </c>
      <c r="B1029" s="1">
        <f t="shared" ca="1" si="71"/>
        <v>0.53889963363770266</v>
      </c>
      <c r="C1029" s="1">
        <f t="shared" ca="1" si="70"/>
        <v>94</v>
      </c>
      <c r="D1029" s="1">
        <f t="shared" ca="1" si="72"/>
        <v>87</v>
      </c>
      <c r="E1029" s="2">
        <f t="shared" ca="1" si="73"/>
        <v>42985</v>
      </c>
      <c r="F1029" s="6">
        <f t="shared" ca="1" si="74"/>
        <v>31.096825781964451</v>
      </c>
    </row>
    <row r="1030" spans="1:6">
      <c r="A1030" s="1">
        <v>9124384</v>
      </c>
      <c r="B1030" s="1">
        <f t="shared" ca="1" si="71"/>
        <v>0.86669345585800117</v>
      </c>
      <c r="C1030" s="1">
        <f t="shared" ca="1" si="70"/>
        <v>223</v>
      </c>
      <c r="D1030" s="1">
        <f t="shared" ca="1" si="72"/>
        <v>294</v>
      </c>
      <c r="E1030" s="2">
        <f t="shared" ca="1" si="73"/>
        <v>43311</v>
      </c>
      <c r="F1030" s="6">
        <f t="shared" ca="1" si="74"/>
        <v>17.387317423510275</v>
      </c>
    </row>
    <row r="1031" spans="1:6">
      <c r="A1031" s="1">
        <v>9124387</v>
      </c>
      <c r="B1031" s="1">
        <f t="shared" ca="1" si="71"/>
        <v>0.37210427399397561</v>
      </c>
      <c r="C1031" s="1">
        <f t="shared" ca="1" si="70"/>
        <v>16</v>
      </c>
      <c r="D1031" s="1">
        <f t="shared" ca="1" si="72"/>
        <v>465</v>
      </c>
      <c r="E1031" s="2">
        <f t="shared" ca="1" si="73"/>
        <v>43168</v>
      </c>
      <c r="F1031" s="6">
        <f t="shared" ca="1" si="74"/>
        <v>91.914142712110106</v>
      </c>
    </row>
    <row r="1032" spans="1:6">
      <c r="A1032" s="1">
        <v>9124390</v>
      </c>
      <c r="B1032" s="1">
        <f t="shared" ca="1" si="71"/>
        <v>0.54890622134891243</v>
      </c>
      <c r="C1032" s="1">
        <f t="shared" ca="1" si="70"/>
        <v>22</v>
      </c>
      <c r="D1032" s="1">
        <f t="shared" ca="1" si="72"/>
        <v>413</v>
      </c>
      <c r="E1032" s="2">
        <f t="shared" ca="1" si="73"/>
        <v>42934</v>
      </c>
      <c r="F1032" s="6">
        <f t="shared" ca="1" si="74"/>
        <v>45.291724407278984</v>
      </c>
    </row>
    <row r="1033" spans="1:6">
      <c r="A1033" s="1">
        <v>9124393</v>
      </c>
      <c r="B1033" s="1">
        <f t="shared" ca="1" si="71"/>
        <v>0.50645316081279501</v>
      </c>
      <c r="C1033" s="1">
        <f t="shared" ca="1" si="70"/>
        <v>21</v>
      </c>
      <c r="D1033" s="1">
        <f t="shared" ca="1" si="72"/>
        <v>566</v>
      </c>
      <c r="E1033" s="2">
        <f t="shared" ca="1" si="73"/>
        <v>43343</v>
      </c>
      <c r="F1033" s="6">
        <f t="shared" ca="1" si="74"/>
        <v>4.6160650170941295</v>
      </c>
    </row>
    <row r="1034" spans="1:6">
      <c r="A1034" s="1">
        <v>9124396</v>
      </c>
      <c r="B1034" s="1">
        <f t="shared" ca="1" si="71"/>
        <v>0.67973827287354827</v>
      </c>
      <c r="C1034" s="1">
        <f t="shared" ca="1" si="70"/>
        <v>86</v>
      </c>
      <c r="D1034" s="1">
        <f t="shared" ca="1" si="72"/>
        <v>526</v>
      </c>
      <c r="E1034" s="2">
        <f t="shared" ca="1" si="73"/>
        <v>43056</v>
      </c>
      <c r="F1034" s="6">
        <f t="shared" ca="1" si="74"/>
        <v>135.71938711241239</v>
      </c>
    </row>
    <row r="1035" spans="1:6">
      <c r="A1035" s="1">
        <v>9124399</v>
      </c>
      <c r="B1035" s="1">
        <f t="shared" ca="1" si="71"/>
        <v>0.4495932097263845</v>
      </c>
      <c r="C1035" s="1">
        <f t="shared" ca="1" si="70"/>
        <v>88</v>
      </c>
      <c r="D1035" s="1">
        <f t="shared" ca="1" si="72"/>
        <v>253</v>
      </c>
      <c r="E1035" s="2">
        <f t="shared" ca="1" si="73"/>
        <v>43012</v>
      </c>
      <c r="F1035" s="6">
        <f t="shared" ca="1" si="74"/>
        <v>38.461736877071317</v>
      </c>
    </row>
    <row r="1036" spans="1:6">
      <c r="A1036" s="1">
        <v>9124402</v>
      </c>
      <c r="B1036" s="1">
        <f t="shared" ca="1" si="71"/>
        <v>3.4595024480155168E-2</v>
      </c>
      <c r="C1036" s="1">
        <f t="shared" ca="1" si="70"/>
        <v>65</v>
      </c>
      <c r="D1036" s="1">
        <f t="shared" ca="1" si="72"/>
        <v>463</v>
      </c>
      <c r="E1036" s="2">
        <f t="shared" ca="1" si="73"/>
        <v>43346</v>
      </c>
      <c r="F1036" s="6">
        <f t="shared" ca="1" si="74"/>
        <v>59.278491539309606</v>
      </c>
    </row>
    <row r="1037" spans="1:6">
      <c r="A1037" s="1">
        <v>9124405</v>
      </c>
      <c r="B1037" s="1">
        <f t="shared" ca="1" si="71"/>
        <v>0.54856799209590157</v>
      </c>
      <c r="C1037" s="1">
        <f t="shared" ca="1" si="70"/>
        <v>9</v>
      </c>
      <c r="D1037" s="1">
        <f t="shared" ca="1" si="72"/>
        <v>278</v>
      </c>
      <c r="E1037" s="2">
        <f t="shared" ca="1" si="73"/>
        <v>43117</v>
      </c>
      <c r="F1037" s="6">
        <f t="shared" ca="1" si="74"/>
        <v>182.52075337321125</v>
      </c>
    </row>
    <row r="1038" spans="1:6">
      <c r="A1038" s="1">
        <v>9124408</v>
      </c>
      <c r="B1038" s="1">
        <f t="shared" ca="1" si="71"/>
        <v>0.78993001955868647</v>
      </c>
      <c r="C1038" s="1">
        <f t="shared" ca="1" si="70"/>
        <v>19</v>
      </c>
      <c r="D1038" s="1">
        <f t="shared" ca="1" si="72"/>
        <v>42</v>
      </c>
      <c r="E1038" s="2">
        <f t="shared" ca="1" si="73"/>
        <v>43367</v>
      </c>
      <c r="F1038" s="6">
        <f t="shared" ca="1" si="74"/>
        <v>71.080247077227639</v>
      </c>
    </row>
    <row r="1039" spans="1:6">
      <c r="A1039" s="1">
        <v>9124411</v>
      </c>
      <c r="B1039" s="1">
        <f t="shared" ca="1" si="71"/>
        <v>5.8723081544857947E-2</v>
      </c>
      <c r="C1039" s="1">
        <f t="shared" ca="1" si="70"/>
        <v>19</v>
      </c>
      <c r="D1039" s="1">
        <f t="shared" ca="1" si="72"/>
        <v>42</v>
      </c>
      <c r="E1039" s="2">
        <f t="shared" ca="1" si="73"/>
        <v>43042</v>
      </c>
      <c r="F1039" s="6">
        <f t="shared" ca="1" si="74"/>
        <v>3.1859731939596578</v>
      </c>
    </row>
    <row r="1040" spans="1:6">
      <c r="A1040" s="1">
        <v>9124414</v>
      </c>
      <c r="B1040" s="1">
        <f t="shared" ca="1" si="71"/>
        <v>0.55891493188235974</v>
      </c>
      <c r="C1040" s="1">
        <f t="shared" ca="1" si="70"/>
        <v>1</v>
      </c>
      <c r="D1040" s="1">
        <f t="shared" ca="1" si="72"/>
        <v>474</v>
      </c>
      <c r="E1040" s="2">
        <f t="shared" ca="1" si="73"/>
        <v>43270</v>
      </c>
      <c r="F1040" s="6">
        <f t="shared" ca="1" si="74"/>
        <v>4.5949682114225752</v>
      </c>
    </row>
    <row r="1041" spans="1:6">
      <c r="A1041" s="1">
        <v>9124417</v>
      </c>
      <c r="B1041" s="1">
        <f t="shared" ca="1" si="71"/>
        <v>0.35366778018959388</v>
      </c>
      <c r="C1041" s="1">
        <f t="shared" ca="1" si="70"/>
        <v>12</v>
      </c>
      <c r="D1041" s="1">
        <f t="shared" ca="1" si="72"/>
        <v>292</v>
      </c>
      <c r="E1041" s="2">
        <f t="shared" ca="1" si="73"/>
        <v>43462</v>
      </c>
      <c r="F1041" s="6">
        <f t="shared" ca="1" si="74"/>
        <v>10.371516534501986</v>
      </c>
    </row>
    <row r="1042" spans="1:6">
      <c r="A1042" s="1">
        <v>9124420</v>
      </c>
      <c r="B1042" s="1">
        <f t="shared" ca="1" si="71"/>
        <v>0.67450961780452157</v>
      </c>
      <c r="C1042" s="1">
        <f t="shared" ca="1" si="70"/>
        <v>21</v>
      </c>
      <c r="D1042" s="1">
        <f t="shared" ca="1" si="72"/>
        <v>566</v>
      </c>
      <c r="E1042" s="2">
        <f t="shared" ca="1" si="73"/>
        <v>42961</v>
      </c>
      <c r="F1042" s="6">
        <f t="shared" ca="1" si="74"/>
        <v>194.29773034485663</v>
      </c>
    </row>
    <row r="1043" spans="1:6">
      <c r="A1043" s="1">
        <v>9124423</v>
      </c>
      <c r="B1043" s="1">
        <f t="shared" ca="1" si="71"/>
        <v>0.70597179546927002</v>
      </c>
      <c r="C1043" s="1">
        <f t="shared" ca="1" si="70"/>
        <v>7</v>
      </c>
      <c r="D1043" s="1">
        <f t="shared" ca="1" si="72"/>
        <v>138</v>
      </c>
      <c r="E1043" s="2">
        <f t="shared" ca="1" si="73"/>
        <v>42778</v>
      </c>
      <c r="F1043" s="6">
        <f t="shared" ca="1" si="74"/>
        <v>55.307427505588478</v>
      </c>
    </row>
    <row r="1044" spans="1:6">
      <c r="A1044" s="1">
        <v>9124426</v>
      </c>
      <c r="B1044" s="1">
        <f t="shared" ca="1" si="71"/>
        <v>0.27305472065758674</v>
      </c>
      <c r="C1044" s="1">
        <f t="shared" ca="1" si="70"/>
        <v>1</v>
      </c>
      <c r="D1044" s="1">
        <f t="shared" ca="1" si="72"/>
        <v>474</v>
      </c>
      <c r="E1044" s="2">
        <f t="shared" ca="1" si="73"/>
        <v>42866</v>
      </c>
      <c r="F1044" s="6">
        <f t="shared" ca="1" si="74"/>
        <v>6.9895284505503721</v>
      </c>
    </row>
    <row r="1045" spans="1:6">
      <c r="A1045" s="1">
        <v>9124429</v>
      </c>
      <c r="B1045" s="1">
        <f t="shared" ca="1" si="71"/>
        <v>0.43052591877158752</v>
      </c>
      <c r="C1045" s="1">
        <f t="shared" ca="1" si="70"/>
        <v>13</v>
      </c>
      <c r="D1045" s="1">
        <f t="shared" ca="1" si="72"/>
        <v>80</v>
      </c>
      <c r="E1045" s="2">
        <f t="shared" ca="1" si="73"/>
        <v>43095</v>
      </c>
      <c r="F1045" s="6">
        <f t="shared" ca="1" si="74"/>
        <v>68.995156073353286</v>
      </c>
    </row>
    <row r="1046" spans="1:6">
      <c r="A1046" s="1">
        <v>9124432</v>
      </c>
      <c r="B1046" s="1">
        <f t="shared" ca="1" si="71"/>
        <v>0.49579474214044339</v>
      </c>
      <c r="C1046" s="1">
        <f t="shared" ca="1" si="70"/>
        <v>4</v>
      </c>
      <c r="D1046" s="1">
        <f t="shared" ca="1" si="72"/>
        <v>493</v>
      </c>
      <c r="E1046" s="2">
        <f t="shared" ca="1" si="73"/>
        <v>43103</v>
      </c>
      <c r="F1046" s="6">
        <f t="shared" ca="1" si="74"/>
        <v>141.34642945163404</v>
      </c>
    </row>
    <row r="1047" spans="1:6">
      <c r="A1047" s="1">
        <v>9124435</v>
      </c>
      <c r="B1047" s="1">
        <f t="shared" ca="1" si="71"/>
        <v>0.70161229211019582</v>
      </c>
      <c r="C1047" s="1">
        <f t="shared" ca="1" si="70"/>
        <v>10</v>
      </c>
      <c r="D1047" s="1">
        <f t="shared" ca="1" si="72"/>
        <v>236</v>
      </c>
      <c r="E1047" s="2">
        <f t="shared" ca="1" si="73"/>
        <v>43064</v>
      </c>
      <c r="F1047" s="6">
        <f t="shared" ca="1" si="74"/>
        <v>110.82860051787773</v>
      </c>
    </row>
    <row r="1048" spans="1:6">
      <c r="A1048" s="1">
        <v>9124438</v>
      </c>
      <c r="B1048" s="1">
        <f t="shared" ca="1" si="71"/>
        <v>0.12430321643575515</v>
      </c>
      <c r="C1048" s="1">
        <f t="shared" ca="1" si="70"/>
        <v>12</v>
      </c>
      <c r="D1048" s="1">
        <f t="shared" ca="1" si="72"/>
        <v>292</v>
      </c>
      <c r="E1048" s="2">
        <f t="shared" ca="1" si="73"/>
        <v>43045</v>
      </c>
      <c r="F1048" s="6">
        <f t="shared" ca="1" si="74"/>
        <v>60.067244451023527</v>
      </c>
    </row>
    <row r="1049" spans="1:6">
      <c r="A1049" s="1">
        <v>9124441</v>
      </c>
      <c r="B1049" s="1">
        <f t="shared" ca="1" si="71"/>
        <v>9.951703787476307E-2</v>
      </c>
      <c r="C1049" s="1">
        <f t="shared" ca="1" si="70"/>
        <v>72</v>
      </c>
      <c r="D1049" s="1">
        <f t="shared" ca="1" si="72"/>
        <v>267</v>
      </c>
      <c r="E1049" s="2">
        <f t="shared" ca="1" si="73"/>
        <v>43045</v>
      </c>
      <c r="F1049" s="6">
        <f t="shared" ca="1" si="74"/>
        <v>60.934704712397448</v>
      </c>
    </row>
    <row r="1050" spans="1:6">
      <c r="A1050" s="1">
        <v>9124444</v>
      </c>
      <c r="B1050" s="1">
        <f t="shared" ca="1" si="71"/>
        <v>0.9012782463301946</v>
      </c>
      <c r="C1050" s="1">
        <f t="shared" ca="1" si="70"/>
        <v>18</v>
      </c>
      <c r="D1050" s="1">
        <f t="shared" ca="1" si="72"/>
        <v>511</v>
      </c>
      <c r="E1050" s="2">
        <f t="shared" ca="1" si="73"/>
        <v>42866</v>
      </c>
      <c r="F1050" s="6">
        <f t="shared" ca="1" si="74"/>
        <v>10.6226846829673</v>
      </c>
    </row>
    <row r="1051" spans="1:6">
      <c r="A1051" s="1">
        <v>9124447</v>
      </c>
      <c r="B1051" s="1">
        <f t="shared" ca="1" si="71"/>
        <v>0.77222671032178936</v>
      </c>
      <c r="C1051" s="1">
        <f t="shared" ref="C1051:C1114" ca="1" si="75">ROUND(_xlfn.GAMMA.INV(RAND(),$J$11,$J$12)*100,0)+1</f>
        <v>28</v>
      </c>
      <c r="D1051" s="1">
        <f t="shared" ca="1" si="72"/>
        <v>401</v>
      </c>
      <c r="E1051" s="2">
        <f t="shared" ca="1" si="73"/>
        <v>43330</v>
      </c>
      <c r="F1051" s="6">
        <f t="shared" ca="1" si="74"/>
        <v>76.398824444301027</v>
      </c>
    </row>
    <row r="1052" spans="1:6">
      <c r="A1052" s="1">
        <v>9124450</v>
      </c>
      <c r="B1052" s="1">
        <f t="shared" ca="1" si="71"/>
        <v>0.68283172592214125</v>
      </c>
      <c r="C1052" s="1">
        <f t="shared" ca="1" si="75"/>
        <v>59</v>
      </c>
      <c r="D1052" s="1">
        <f t="shared" ca="1" si="72"/>
        <v>95</v>
      </c>
      <c r="E1052" s="2">
        <f t="shared" ca="1" si="73"/>
        <v>43163</v>
      </c>
      <c r="F1052" s="6">
        <f t="shared" ca="1" si="74"/>
        <v>330.29145119822414</v>
      </c>
    </row>
    <row r="1053" spans="1:6">
      <c r="A1053" s="1">
        <v>9124453</v>
      </c>
      <c r="B1053" s="1">
        <f t="shared" ca="1" si="71"/>
        <v>0.88442899948960885</v>
      </c>
      <c r="C1053" s="1">
        <f t="shared" ca="1" si="75"/>
        <v>62</v>
      </c>
      <c r="D1053" s="1">
        <f t="shared" ca="1" si="72"/>
        <v>235</v>
      </c>
      <c r="E1053" s="2">
        <f t="shared" ca="1" si="73"/>
        <v>42913</v>
      </c>
      <c r="F1053" s="6">
        <f t="shared" ca="1" si="74"/>
        <v>82.555391662131086</v>
      </c>
    </row>
    <row r="1054" spans="1:6">
      <c r="A1054" s="1">
        <v>9124456</v>
      </c>
      <c r="B1054" s="1">
        <f t="shared" ca="1" si="71"/>
        <v>0.54445714241612875</v>
      </c>
      <c r="C1054" s="1">
        <f t="shared" ca="1" si="75"/>
        <v>31</v>
      </c>
      <c r="D1054" s="1">
        <f t="shared" ca="1" si="72"/>
        <v>535</v>
      </c>
      <c r="E1054" s="2">
        <f t="shared" ca="1" si="73"/>
        <v>43433</v>
      </c>
      <c r="F1054" s="6">
        <f t="shared" ca="1" si="74"/>
        <v>5.193353889960572</v>
      </c>
    </row>
    <row r="1055" spans="1:6">
      <c r="A1055" s="1">
        <v>9124459</v>
      </c>
      <c r="B1055" s="1">
        <f t="shared" ca="1" si="71"/>
        <v>0.97811859734031026</v>
      </c>
      <c r="C1055" s="1">
        <f t="shared" ca="1" si="75"/>
        <v>111</v>
      </c>
      <c r="D1055" s="1">
        <f t="shared" ca="1" si="72"/>
        <v>230</v>
      </c>
      <c r="E1055" s="2">
        <f t="shared" ca="1" si="73"/>
        <v>43096</v>
      </c>
      <c r="F1055" s="6">
        <f t="shared" ca="1" si="74"/>
        <v>59.48529277137979</v>
      </c>
    </row>
    <row r="1056" spans="1:6">
      <c r="A1056" s="1">
        <v>9124462</v>
      </c>
      <c r="B1056" s="1">
        <f t="shared" ca="1" si="71"/>
        <v>0.7336387960092573</v>
      </c>
      <c r="C1056" s="1">
        <f t="shared" ca="1" si="75"/>
        <v>52</v>
      </c>
      <c r="D1056" s="1">
        <f t="shared" ca="1" si="72"/>
        <v>574</v>
      </c>
      <c r="E1056" s="2">
        <f t="shared" ca="1" si="73"/>
        <v>43395</v>
      </c>
      <c r="F1056" s="6">
        <f t="shared" ca="1" si="74"/>
        <v>35.501244793967246</v>
      </c>
    </row>
    <row r="1057" spans="1:6">
      <c r="A1057" s="1">
        <v>9124465</v>
      </c>
      <c r="B1057" s="1">
        <f t="shared" ca="1" si="71"/>
        <v>0.53694912075954759</v>
      </c>
      <c r="C1057" s="1">
        <f t="shared" ca="1" si="75"/>
        <v>29</v>
      </c>
      <c r="D1057" s="1">
        <f t="shared" ca="1" si="72"/>
        <v>514</v>
      </c>
      <c r="E1057" s="2">
        <f t="shared" ca="1" si="73"/>
        <v>42798</v>
      </c>
      <c r="F1057" s="6">
        <f t="shared" ca="1" si="74"/>
        <v>4.9663426935041537</v>
      </c>
    </row>
    <row r="1058" spans="1:6">
      <c r="A1058" s="1">
        <v>9124468</v>
      </c>
      <c r="B1058" s="1">
        <f t="shared" ca="1" si="71"/>
        <v>0.2651452719313383</v>
      </c>
      <c r="C1058" s="1">
        <f t="shared" ca="1" si="75"/>
        <v>30</v>
      </c>
      <c r="D1058" s="1">
        <f t="shared" ca="1" si="72"/>
        <v>53</v>
      </c>
      <c r="E1058" s="2">
        <f t="shared" ca="1" si="73"/>
        <v>42931</v>
      </c>
      <c r="F1058" s="6">
        <f t="shared" ca="1" si="74"/>
        <v>65.360104191070747</v>
      </c>
    </row>
    <row r="1059" spans="1:6">
      <c r="A1059" s="1">
        <v>9124471</v>
      </c>
      <c r="B1059" s="1">
        <f t="shared" ca="1" si="71"/>
        <v>0.40881332455490371</v>
      </c>
      <c r="C1059" s="1">
        <f t="shared" ca="1" si="75"/>
        <v>25</v>
      </c>
      <c r="D1059" s="1">
        <f t="shared" ca="1" si="72"/>
        <v>257</v>
      </c>
      <c r="E1059" s="2">
        <f t="shared" ca="1" si="73"/>
        <v>43293</v>
      </c>
      <c r="F1059" s="6">
        <f t="shared" ca="1" si="74"/>
        <v>99.63649695119895</v>
      </c>
    </row>
    <row r="1060" spans="1:6">
      <c r="A1060" s="1">
        <v>9124474</v>
      </c>
      <c r="B1060" s="1">
        <f t="shared" ca="1" si="71"/>
        <v>6.5116536262086355E-2</v>
      </c>
      <c r="C1060" s="1">
        <f t="shared" ca="1" si="75"/>
        <v>65</v>
      </c>
      <c r="D1060" s="1">
        <f t="shared" ca="1" si="72"/>
        <v>463</v>
      </c>
      <c r="E1060" s="2">
        <f t="shared" ca="1" si="73"/>
        <v>42869</v>
      </c>
      <c r="F1060" s="6">
        <f t="shared" ca="1" si="74"/>
        <v>51.645399170393567</v>
      </c>
    </row>
    <row r="1061" spans="1:6">
      <c r="A1061" s="1">
        <v>9124477</v>
      </c>
      <c r="B1061" s="1">
        <f t="shared" ca="1" si="71"/>
        <v>0.14716173877145466</v>
      </c>
      <c r="C1061" s="1">
        <f t="shared" ca="1" si="75"/>
        <v>12</v>
      </c>
      <c r="D1061" s="1">
        <f t="shared" ca="1" si="72"/>
        <v>292</v>
      </c>
      <c r="E1061" s="2">
        <f t="shared" ca="1" si="73"/>
        <v>43411</v>
      </c>
      <c r="F1061" s="6">
        <f t="shared" ca="1" si="74"/>
        <v>66.347317721908212</v>
      </c>
    </row>
    <row r="1062" spans="1:6">
      <c r="A1062" s="1">
        <v>9124480</v>
      </c>
      <c r="B1062" s="1">
        <f t="shared" ca="1" si="71"/>
        <v>0.69980718697891342</v>
      </c>
      <c r="C1062" s="1">
        <f t="shared" ca="1" si="75"/>
        <v>30</v>
      </c>
      <c r="D1062" s="1">
        <f t="shared" ca="1" si="72"/>
        <v>53</v>
      </c>
      <c r="E1062" s="2">
        <f t="shared" ca="1" si="73"/>
        <v>42946</v>
      </c>
      <c r="F1062" s="6">
        <f t="shared" ca="1" si="74"/>
        <v>5.5539395641368818</v>
      </c>
    </row>
    <row r="1063" spans="1:6">
      <c r="A1063" s="1">
        <v>9124483</v>
      </c>
      <c r="B1063" s="1">
        <f t="shared" ca="1" si="71"/>
        <v>0.19476781784372221</v>
      </c>
      <c r="C1063" s="1">
        <f t="shared" ca="1" si="75"/>
        <v>22</v>
      </c>
      <c r="D1063" s="1">
        <f t="shared" ca="1" si="72"/>
        <v>413</v>
      </c>
      <c r="E1063" s="2">
        <f t="shared" ca="1" si="73"/>
        <v>42945</v>
      </c>
      <c r="F1063" s="6">
        <f t="shared" ca="1" si="74"/>
        <v>25.767309630562977</v>
      </c>
    </row>
    <row r="1064" spans="1:6">
      <c r="A1064" s="1">
        <v>9124486</v>
      </c>
      <c r="B1064" s="1">
        <f t="shared" ca="1" si="71"/>
        <v>0.9364038670135566</v>
      </c>
      <c r="C1064" s="1">
        <f t="shared" ca="1" si="75"/>
        <v>108</v>
      </c>
      <c r="D1064" s="1">
        <f t="shared" ca="1" si="72"/>
        <v>530</v>
      </c>
      <c r="E1064" s="2">
        <f t="shared" ca="1" si="73"/>
        <v>43435</v>
      </c>
      <c r="F1064" s="6">
        <f t="shared" ca="1" si="74"/>
        <v>12.941194567876325</v>
      </c>
    </row>
    <row r="1065" spans="1:6">
      <c r="A1065" s="1">
        <v>9124489</v>
      </c>
      <c r="B1065" s="1">
        <f t="shared" ca="1" si="71"/>
        <v>6.5833946373177632E-2</v>
      </c>
      <c r="C1065" s="1">
        <f t="shared" ca="1" si="75"/>
        <v>236</v>
      </c>
      <c r="D1065" s="1">
        <f t="shared" ca="1" si="72"/>
        <v>504</v>
      </c>
      <c r="E1065" s="2">
        <f t="shared" ca="1" si="73"/>
        <v>43017</v>
      </c>
      <c r="F1065" s="6">
        <f t="shared" ca="1" si="74"/>
        <v>13.287303978231217</v>
      </c>
    </row>
    <row r="1066" spans="1:6">
      <c r="A1066" s="1">
        <v>9124492</v>
      </c>
      <c r="B1066" s="1">
        <f t="shared" ca="1" si="71"/>
        <v>0.48696096650062271</v>
      </c>
      <c r="C1066" s="1">
        <f t="shared" ca="1" si="75"/>
        <v>3</v>
      </c>
      <c r="D1066" s="1">
        <f t="shared" ca="1" si="72"/>
        <v>263</v>
      </c>
      <c r="E1066" s="2">
        <f t="shared" ca="1" si="73"/>
        <v>42889</v>
      </c>
      <c r="F1066" s="6">
        <f t="shared" ca="1" si="74"/>
        <v>5.6556734245110754</v>
      </c>
    </row>
    <row r="1067" spans="1:6">
      <c r="A1067" s="1">
        <v>9124495</v>
      </c>
      <c r="B1067" s="1">
        <f t="shared" ca="1" si="71"/>
        <v>0.38450662863906093</v>
      </c>
      <c r="C1067" s="1">
        <f t="shared" ca="1" si="75"/>
        <v>71</v>
      </c>
      <c r="D1067" s="1">
        <f t="shared" ca="1" si="72"/>
        <v>281</v>
      </c>
      <c r="E1067" s="2">
        <f t="shared" ca="1" si="73"/>
        <v>43301</v>
      </c>
      <c r="F1067" s="6">
        <f t="shared" ca="1" si="74"/>
        <v>6.1013481701446359</v>
      </c>
    </row>
    <row r="1068" spans="1:6">
      <c r="A1068" s="1">
        <v>9124498</v>
      </c>
      <c r="B1068" s="1">
        <f t="shared" ca="1" si="71"/>
        <v>0.88024683139586746</v>
      </c>
      <c r="C1068" s="1">
        <f t="shared" ca="1" si="75"/>
        <v>210</v>
      </c>
      <c r="D1068" s="1">
        <f t="shared" ca="1" si="72"/>
        <v>156</v>
      </c>
      <c r="E1068" s="2">
        <f t="shared" ca="1" si="73"/>
        <v>43250</v>
      </c>
      <c r="F1068" s="6">
        <f t="shared" ca="1" si="74"/>
        <v>57.887609029057757</v>
      </c>
    </row>
    <row r="1069" spans="1:6">
      <c r="A1069" s="1">
        <v>9124501</v>
      </c>
      <c r="B1069" s="1">
        <f t="shared" ca="1" si="71"/>
        <v>0.7997837607049435</v>
      </c>
      <c r="C1069" s="1">
        <f t="shared" ca="1" si="75"/>
        <v>316</v>
      </c>
      <c r="D1069" s="1">
        <f t="shared" ca="1" si="72"/>
        <v>448</v>
      </c>
      <c r="E1069" s="2">
        <f t="shared" ca="1" si="73"/>
        <v>42921</v>
      </c>
      <c r="F1069" s="6">
        <f t="shared" ca="1" si="74"/>
        <v>63.072112169257899</v>
      </c>
    </row>
    <row r="1070" spans="1:6">
      <c r="A1070" s="1">
        <v>9124504</v>
      </c>
      <c r="B1070" s="1">
        <f t="shared" ca="1" si="71"/>
        <v>0.33042392624407679</v>
      </c>
      <c r="C1070" s="1">
        <f t="shared" ca="1" si="75"/>
        <v>57</v>
      </c>
      <c r="D1070" s="1">
        <f t="shared" ca="1" si="72"/>
        <v>24</v>
      </c>
      <c r="E1070" s="2">
        <f t="shared" ca="1" si="73"/>
        <v>42926</v>
      </c>
      <c r="F1070" s="6">
        <f t="shared" ca="1" si="74"/>
        <v>19.415696402294628</v>
      </c>
    </row>
    <row r="1071" spans="1:6">
      <c r="A1071" s="1">
        <v>9124507</v>
      </c>
      <c r="B1071" s="1">
        <f t="shared" ca="1" si="71"/>
        <v>0.86850650066260748</v>
      </c>
      <c r="C1071" s="1">
        <f t="shared" ca="1" si="75"/>
        <v>3</v>
      </c>
      <c r="D1071" s="1">
        <f t="shared" ca="1" si="72"/>
        <v>263</v>
      </c>
      <c r="E1071" s="2">
        <f t="shared" ca="1" si="73"/>
        <v>43099</v>
      </c>
      <c r="F1071" s="6">
        <f t="shared" ca="1" si="74"/>
        <v>240.05911671927763</v>
      </c>
    </row>
    <row r="1072" spans="1:6">
      <c r="A1072" s="1">
        <v>9124510</v>
      </c>
      <c r="B1072" s="1">
        <f t="shared" ca="1" si="71"/>
        <v>0.80700848226385924</v>
      </c>
      <c r="C1072" s="1">
        <f t="shared" ca="1" si="75"/>
        <v>2</v>
      </c>
      <c r="D1072" s="1">
        <f t="shared" ca="1" si="72"/>
        <v>30</v>
      </c>
      <c r="E1072" s="2">
        <f t="shared" ca="1" si="73"/>
        <v>43412</v>
      </c>
      <c r="F1072" s="6">
        <f t="shared" ca="1" si="74"/>
        <v>115.10673054856014</v>
      </c>
    </row>
    <row r="1073" spans="1:6">
      <c r="A1073" s="1">
        <v>9124513</v>
      </c>
      <c r="B1073" s="1">
        <f t="shared" ca="1" si="71"/>
        <v>3.2924570441136503E-2</v>
      </c>
      <c r="C1073" s="1">
        <f t="shared" ca="1" si="75"/>
        <v>117</v>
      </c>
      <c r="D1073" s="1">
        <f t="shared" ca="1" si="72"/>
        <v>600</v>
      </c>
      <c r="E1073" s="2">
        <f t="shared" ca="1" si="73"/>
        <v>43154</v>
      </c>
      <c r="F1073" s="6">
        <f t="shared" ca="1" si="74"/>
        <v>8.1208606872573412</v>
      </c>
    </row>
    <row r="1074" spans="1:6">
      <c r="A1074" s="1">
        <v>9124516</v>
      </c>
      <c r="B1074" s="1">
        <f t="shared" ca="1" si="71"/>
        <v>0.96422055520153527</v>
      </c>
      <c r="C1074" s="1">
        <f t="shared" ca="1" si="75"/>
        <v>14</v>
      </c>
      <c r="D1074" s="1">
        <f t="shared" ca="1" si="72"/>
        <v>576</v>
      </c>
      <c r="E1074" s="2">
        <f t="shared" ca="1" si="73"/>
        <v>43232</v>
      </c>
      <c r="F1074" s="6">
        <f t="shared" ca="1" si="74"/>
        <v>9.8081002854106778</v>
      </c>
    </row>
    <row r="1075" spans="1:6">
      <c r="A1075" s="1">
        <v>9124519</v>
      </c>
      <c r="B1075" s="1">
        <f t="shared" ca="1" si="71"/>
        <v>0.98557333720018758</v>
      </c>
      <c r="C1075" s="1">
        <f t="shared" ca="1" si="75"/>
        <v>42</v>
      </c>
      <c r="D1075" s="1">
        <f t="shared" ca="1" si="72"/>
        <v>36</v>
      </c>
      <c r="E1075" s="2">
        <f t="shared" ca="1" si="73"/>
        <v>42907</v>
      </c>
      <c r="F1075" s="6">
        <f t="shared" ca="1" si="74"/>
        <v>4.902908253260045</v>
      </c>
    </row>
    <row r="1076" spans="1:6">
      <c r="A1076" s="1">
        <v>9124522</v>
      </c>
      <c r="B1076" s="1">
        <f t="shared" ca="1" si="71"/>
        <v>0.21782427574507668</v>
      </c>
      <c r="C1076" s="1">
        <f t="shared" ca="1" si="75"/>
        <v>115</v>
      </c>
      <c r="D1076" s="1">
        <f t="shared" ca="1" si="72"/>
        <v>508</v>
      </c>
      <c r="E1076" s="2">
        <f t="shared" ca="1" si="73"/>
        <v>43031</v>
      </c>
      <c r="F1076" s="6">
        <f t="shared" ca="1" si="74"/>
        <v>30.23701515806194</v>
      </c>
    </row>
    <row r="1077" spans="1:6">
      <c r="A1077" s="1">
        <v>9124525</v>
      </c>
      <c r="B1077" s="1">
        <f t="shared" ca="1" si="71"/>
        <v>0.81877177124840794</v>
      </c>
      <c r="C1077" s="1">
        <f t="shared" ca="1" si="75"/>
        <v>2</v>
      </c>
      <c r="D1077" s="1">
        <f t="shared" ca="1" si="72"/>
        <v>30</v>
      </c>
      <c r="E1077" s="2">
        <f t="shared" ca="1" si="73"/>
        <v>43477</v>
      </c>
      <c r="F1077" s="6">
        <f t="shared" ca="1" si="74"/>
        <v>12.581466021788595</v>
      </c>
    </row>
    <row r="1078" spans="1:6">
      <c r="A1078" s="1">
        <v>9124528</v>
      </c>
      <c r="B1078" s="1">
        <f t="shared" ca="1" si="71"/>
        <v>0.10424117787063392</v>
      </c>
      <c r="C1078" s="1">
        <f t="shared" ca="1" si="75"/>
        <v>62</v>
      </c>
      <c r="D1078" s="1">
        <f t="shared" ca="1" si="72"/>
        <v>235</v>
      </c>
      <c r="E1078" s="2">
        <f t="shared" ca="1" si="73"/>
        <v>43211</v>
      </c>
      <c r="F1078" s="6">
        <f t="shared" ca="1" si="74"/>
        <v>7.8905487995947263</v>
      </c>
    </row>
    <row r="1079" spans="1:6">
      <c r="A1079" s="1">
        <v>9124531</v>
      </c>
      <c r="B1079" s="1">
        <f t="shared" ca="1" si="71"/>
        <v>0.27664082495221032</v>
      </c>
      <c r="C1079" s="1">
        <f t="shared" ca="1" si="75"/>
        <v>1</v>
      </c>
      <c r="D1079" s="1">
        <f t="shared" ca="1" si="72"/>
        <v>474</v>
      </c>
      <c r="E1079" s="2">
        <f t="shared" ca="1" si="73"/>
        <v>43139</v>
      </c>
      <c r="F1079" s="6">
        <f t="shared" ca="1" si="74"/>
        <v>4.7881246659993542</v>
      </c>
    </row>
    <row r="1080" spans="1:6">
      <c r="A1080" s="1">
        <v>9124534</v>
      </c>
      <c r="B1080" s="1">
        <f t="shared" ca="1" si="71"/>
        <v>3.3522382430996811E-2</v>
      </c>
      <c r="C1080" s="1">
        <f t="shared" ca="1" si="75"/>
        <v>12</v>
      </c>
      <c r="D1080" s="1">
        <f t="shared" ca="1" si="72"/>
        <v>292</v>
      </c>
      <c r="E1080" s="2">
        <f t="shared" ca="1" si="73"/>
        <v>43264</v>
      </c>
      <c r="F1080" s="6">
        <f t="shared" ca="1" si="74"/>
        <v>12.245181190644278</v>
      </c>
    </row>
    <row r="1081" spans="1:6">
      <c r="A1081" s="1">
        <v>9124537</v>
      </c>
      <c r="B1081" s="1">
        <f t="shared" ca="1" si="71"/>
        <v>0.32091718019569204</v>
      </c>
      <c r="C1081" s="1">
        <f t="shared" ca="1" si="75"/>
        <v>42</v>
      </c>
      <c r="D1081" s="1">
        <f t="shared" ca="1" si="72"/>
        <v>36</v>
      </c>
      <c r="E1081" s="2">
        <f t="shared" ca="1" si="73"/>
        <v>43245</v>
      </c>
      <c r="F1081" s="6">
        <f t="shared" ca="1" si="74"/>
        <v>201.55462591065276</v>
      </c>
    </row>
    <row r="1082" spans="1:6">
      <c r="A1082" s="1">
        <v>9124540</v>
      </c>
      <c r="B1082" s="1">
        <f t="shared" ca="1" si="71"/>
        <v>0.26111177402996077</v>
      </c>
      <c r="C1082" s="1">
        <f t="shared" ca="1" si="75"/>
        <v>64</v>
      </c>
      <c r="D1082" s="1">
        <f t="shared" ca="1" si="72"/>
        <v>1</v>
      </c>
      <c r="E1082" s="2">
        <f t="shared" ca="1" si="73"/>
        <v>42840</v>
      </c>
      <c r="F1082" s="6">
        <f t="shared" ca="1" si="74"/>
        <v>28.076682932377715</v>
      </c>
    </row>
    <row r="1083" spans="1:6">
      <c r="A1083" s="1">
        <v>9124543</v>
      </c>
      <c r="B1083" s="1">
        <f t="shared" ca="1" si="71"/>
        <v>0.62428324830445414</v>
      </c>
      <c r="C1083" s="1">
        <f t="shared" ca="1" si="75"/>
        <v>137</v>
      </c>
      <c r="D1083" s="1">
        <f t="shared" ca="1" si="72"/>
        <v>101</v>
      </c>
      <c r="E1083" s="2">
        <f t="shared" ca="1" si="73"/>
        <v>42804</v>
      </c>
      <c r="F1083" s="6">
        <f t="shared" ca="1" si="74"/>
        <v>3.7080130371935547</v>
      </c>
    </row>
    <row r="1084" spans="1:6">
      <c r="A1084" s="1">
        <v>9124546</v>
      </c>
      <c r="B1084" s="1">
        <f t="shared" ca="1" si="71"/>
        <v>0.64662614702002486</v>
      </c>
      <c r="C1084" s="1">
        <f t="shared" ca="1" si="75"/>
        <v>173</v>
      </c>
      <c r="D1084" s="1">
        <f t="shared" ca="1" si="72"/>
        <v>523</v>
      </c>
      <c r="E1084" s="2">
        <f t="shared" ca="1" si="73"/>
        <v>43366</v>
      </c>
      <c r="F1084" s="6">
        <f t="shared" ca="1" si="74"/>
        <v>8.4303426375563877</v>
      </c>
    </row>
    <row r="1085" spans="1:6">
      <c r="A1085" s="1">
        <v>9124549</v>
      </c>
      <c r="B1085" s="1">
        <f t="shared" ca="1" si="71"/>
        <v>2.3852559964342102E-2</v>
      </c>
      <c r="C1085" s="1">
        <f t="shared" ca="1" si="75"/>
        <v>30</v>
      </c>
      <c r="D1085" s="1">
        <f t="shared" ca="1" si="72"/>
        <v>53</v>
      </c>
      <c r="E1085" s="2">
        <f t="shared" ca="1" si="73"/>
        <v>43194</v>
      </c>
      <c r="F1085" s="6">
        <f t="shared" ca="1" si="74"/>
        <v>4.9147747798479839</v>
      </c>
    </row>
    <row r="1086" spans="1:6">
      <c r="A1086" s="1">
        <v>9124552</v>
      </c>
      <c r="B1086" s="1">
        <f t="shared" ca="1" si="71"/>
        <v>0.78696414991356611</v>
      </c>
      <c r="C1086" s="1">
        <f t="shared" ca="1" si="75"/>
        <v>3</v>
      </c>
      <c r="D1086" s="1">
        <f t="shared" ca="1" si="72"/>
        <v>263</v>
      </c>
      <c r="E1086" s="2">
        <f t="shared" ca="1" si="73"/>
        <v>43156</v>
      </c>
      <c r="F1086" s="6">
        <f t="shared" ca="1" si="74"/>
        <v>34.729915176921466</v>
      </c>
    </row>
    <row r="1087" spans="1:6">
      <c r="A1087" s="1">
        <v>9124555</v>
      </c>
      <c r="B1087" s="1">
        <f t="shared" ca="1" si="71"/>
        <v>0.40331767951871067</v>
      </c>
      <c r="C1087" s="1">
        <f t="shared" ca="1" si="75"/>
        <v>20</v>
      </c>
      <c r="D1087" s="1">
        <f t="shared" ca="1" si="72"/>
        <v>444</v>
      </c>
      <c r="E1087" s="2">
        <f t="shared" ca="1" si="73"/>
        <v>43412</v>
      </c>
      <c r="F1087" s="6">
        <f t="shared" ca="1" si="74"/>
        <v>30.985228519620005</v>
      </c>
    </row>
    <row r="1088" spans="1:6">
      <c r="A1088" s="1">
        <v>9124558</v>
      </c>
      <c r="B1088" s="1">
        <f t="shared" ca="1" si="71"/>
        <v>3.305972917600597E-3</v>
      </c>
      <c r="C1088" s="1">
        <f t="shared" ca="1" si="75"/>
        <v>185</v>
      </c>
      <c r="D1088" s="1">
        <f t="shared" ca="1" si="72"/>
        <v>169</v>
      </c>
      <c r="E1088" s="2">
        <f t="shared" ca="1" si="73"/>
        <v>43275</v>
      </c>
      <c r="F1088" s="6">
        <f t="shared" ca="1" si="74"/>
        <v>289.46833343179014</v>
      </c>
    </row>
    <row r="1089" spans="1:6">
      <c r="A1089" s="1">
        <v>9124561</v>
      </c>
      <c r="B1089" s="1">
        <f t="shared" ca="1" si="71"/>
        <v>0.34792178581008482</v>
      </c>
      <c r="C1089" s="1">
        <f t="shared" ca="1" si="75"/>
        <v>31</v>
      </c>
      <c r="D1089" s="1">
        <f t="shared" ca="1" si="72"/>
        <v>535</v>
      </c>
      <c r="E1089" s="2">
        <f t="shared" ca="1" si="73"/>
        <v>42976</v>
      </c>
      <c r="F1089" s="6">
        <f t="shared" ca="1" si="74"/>
        <v>25.14216610593548</v>
      </c>
    </row>
    <row r="1090" spans="1:6">
      <c r="A1090" s="1">
        <v>9124564</v>
      </c>
      <c r="B1090" s="1">
        <f t="shared" ref="B1090:B1153" ca="1" si="76">RAND()</f>
        <v>0.41092162666212573</v>
      </c>
      <c r="C1090" s="1">
        <f t="shared" ca="1" si="75"/>
        <v>1</v>
      </c>
      <c r="D1090" s="1">
        <f t="shared" ca="1" si="72"/>
        <v>474</v>
      </c>
      <c r="E1090" s="2">
        <f t="shared" ca="1" si="73"/>
        <v>43282</v>
      </c>
      <c r="F1090" s="6">
        <f t="shared" ca="1" si="74"/>
        <v>17.306845467516585</v>
      </c>
    </row>
    <row r="1091" spans="1:6">
      <c r="A1091" s="1">
        <v>9124567</v>
      </c>
      <c r="B1091" s="1">
        <f t="shared" ca="1" si="76"/>
        <v>0.84668013781032836</v>
      </c>
      <c r="C1091" s="1">
        <f t="shared" ca="1" si="75"/>
        <v>108</v>
      </c>
      <c r="D1091" s="1">
        <f t="shared" ref="D1091:D1154" ca="1" si="77">VLOOKUP(SMALL($B$2:$B$601,C1091),$B$2:$C$601,2,FALSE)</f>
        <v>530</v>
      </c>
      <c r="E1091" s="2">
        <f t="shared" ref="E1091:E1154" ca="1" si="78">RANDBETWEEN("1/1/17","2/1/19")</f>
        <v>43293</v>
      </c>
      <c r="F1091" s="6">
        <f t="shared" ref="F1091:F1154" ca="1" si="79">_xlfn.GAMMA.INV(RAND(),$J$6,$J$7)*100+3</f>
        <v>142.82769851538495</v>
      </c>
    </row>
    <row r="1092" spans="1:6">
      <c r="A1092" s="1">
        <v>9124570</v>
      </c>
      <c r="B1092" s="1">
        <f t="shared" ca="1" si="76"/>
        <v>0.68306109343258725</v>
      </c>
      <c r="C1092" s="1">
        <f t="shared" ca="1" si="75"/>
        <v>8</v>
      </c>
      <c r="D1092" s="1">
        <f t="shared" ca="1" si="77"/>
        <v>456</v>
      </c>
      <c r="E1092" s="2">
        <f t="shared" ca="1" si="78"/>
        <v>42829</v>
      </c>
      <c r="F1092" s="6">
        <f t="shared" ca="1" si="79"/>
        <v>6.4568338081863939</v>
      </c>
    </row>
    <row r="1093" spans="1:6">
      <c r="A1093" s="1">
        <v>9124573</v>
      </c>
      <c r="B1093" s="1">
        <f t="shared" ca="1" si="76"/>
        <v>0.16683983649042211</v>
      </c>
      <c r="C1093" s="1">
        <f t="shared" ca="1" si="75"/>
        <v>19</v>
      </c>
      <c r="D1093" s="1">
        <f t="shared" ca="1" si="77"/>
        <v>42</v>
      </c>
      <c r="E1093" s="2">
        <f t="shared" ca="1" si="78"/>
        <v>43492</v>
      </c>
      <c r="F1093" s="6">
        <f t="shared" ca="1" si="79"/>
        <v>64.901703046981012</v>
      </c>
    </row>
    <row r="1094" spans="1:6">
      <c r="A1094" s="1">
        <v>9124576</v>
      </c>
      <c r="B1094" s="1">
        <f t="shared" ca="1" si="76"/>
        <v>0.8592196714672683</v>
      </c>
      <c r="C1094" s="1">
        <f t="shared" ca="1" si="75"/>
        <v>235</v>
      </c>
      <c r="D1094" s="1">
        <f t="shared" ca="1" si="77"/>
        <v>74</v>
      </c>
      <c r="E1094" s="2">
        <f t="shared" ca="1" si="78"/>
        <v>43050</v>
      </c>
      <c r="F1094" s="6">
        <f t="shared" ca="1" si="79"/>
        <v>26.140764227049086</v>
      </c>
    </row>
    <row r="1095" spans="1:6">
      <c r="A1095" s="1">
        <v>9124579</v>
      </c>
      <c r="B1095" s="1">
        <f t="shared" ca="1" si="76"/>
        <v>0.15691425785721114</v>
      </c>
      <c r="C1095" s="1">
        <f t="shared" ca="1" si="75"/>
        <v>19</v>
      </c>
      <c r="D1095" s="1">
        <f t="shared" ca="1" si="77"/>
        <v>42</v>
      </c>
      <c r="E1095" s="2">
        <f t="shared" ca="1" si="78"/>
        <v>43204</v>
      </c>
      <c r="F1095" s="6">
        <f t="shared" ca="1" si="79"/>
        <v>61.118476270178775</v>
      </c>
    </row>
    <row r="1096" spans="1:6">
      <c r="A1096" s="1">
        <v>9124582</v>
      </c>
      <c r="B1096" s="1">
        <f t="shared" ca="1" si="76"/>
        <v>3.2013691934196675E-2</v>
      </c>
      <c r="C1096" s="1">
        <f t="shared" ca="1" si="75"/>
        <v>23</v>
      </c>
      <c r="D1096" s="1">
        <f t="shared" ca="1" si="77"/>
        <v>516</v>
      </c>
      <c r="E1096" s="2">
        <f t="shared" ca="1" si="78"/>
        <v>42941</v>
      </c>
      <c r="F1096" s="6">
        <f t="shared" ca="1" si="79"/>
        <v>4.6199974237535484</v>
      </c>
    </row>
    <row r="1097" spans="1:6">
      <c r="A1097" s="1">
        <v>9124585</v>
      </c>
      <c r="B1097" s="1">
        <f t="shared" ca="1" si="76"/>
        <v>0.91552884440411963</v>
      </c>
      <c r="C1097" s="1">
        <f t="shared" ca="1" si="75"/>
        <v>6</v>
      </c>
      <c r="D1097" s="1">
        <f t="shared" ca="1" si="77"/>
        <v>208</v>
      </c>
      <c r="E1097" s="2">
        <f t="shared" ca="1" si="78"/>
        <v>43273</v>
      </c>
      <c r="F1097" s="6">
        <f t="shared" ca="1" si="79"/>
        <v>71.87152580697375</v>
      </c>
    </row>
    <row r="1098" spans="1:6">
      <c r="A1098" s="1">
        <v>9124588</v>
      </c>
      <c r="B1098" s="1">
        <f t="shared" ca="1" si="76"/>
        <v>0.18397847889720143</v>
      </c>
      <c r="C1098" s="1">
        <f t="shared" ca="1" si="75"/>
        <v>3</v>
      </c>
      <c r="D1098" s="1">
        <f t="shared" ca="1" si="77"/>
        <v>263</v>
      </c>
      <c r="E1098" s="2">
        <f t="shared" ca="1" si="78"/>
        <v>42958</v>
      </c>
      <c r="F1098" s="6">
        <f t="shared" ca="1" si="79"/>
        <v>5.6799260002902301</v>
      </c>
    </row>
    <row r="1099" spans="1:6">
      <c r="A1099" s="1">
        <v>9124591</v>
      </c>
      <c r="B1099" s="1">
        <f t="shared" ca="1" si="76"/>
        <v>0.65149995645757652</v>
      </c>
      <c r="C1099" s="1">
        <f t="shared" ca="1" si="75"/>
        <v>5</v>
      </c>
      <c r="D1099" s="1">
        <f t="shared" ca="1" si="77"/>
        <v>363</v>
      </c>
      <c r="E1099" s="2">
        <f t="shared" ca="1" si="78"/>
        <v>43311</v>
      </c>
      <c r="F1099" s="6">
        <f t="shared" ca="1" si="79"/>
        <v>14.566171480151</v>
      </c>
    </row>
    <row r="1100" spans="1:6">
      <c r="A1100" s="1">
        <v>9124594</v>
      </c>
      <c r="B1100" s="1">
        <f t="shared" ca="1" si="76"/>
        <v>0.14664801630045421</v>
      </c>
      <c r="C1100" s="1">
        <f t="shared" ca="1" si="75"/>
        <v>1</v>
      </c>
      <c r="D1100" s="1">
        <f t="shared" ca="1" si="77"/>
        <v>474</v>
      </c>
      <c r="E1100" s="2">
        <f t="shared" ca="1" si="78"/>
        <v>43171</v>
      </c>
      <c r="F1100" s="6">
        <f t="shared" ca="1" si="79"/>
        <v>14.836931895837584</v>
      </c>
    </row>
    <row r="1101" spans="1:6">
      <c r="A1101" s="1">
        <v>9124597</v>
      </c>
      <c r="B1101" s="1">
        <f t="shared" ca="1" si="76"/>
        <v>0.19085684199739361</v>
      </c>
      <c r="C1101" s="1">
        <f t="shared" ca="1" si="75"/>
        <v>10</v>
      </c>
      <c r="D1101" s="1">
        <f t="shared" ca="1" si="77"/>
        <v>236</v>
      </c>
      <c r="E1101" s="2">
        <f t="shared" ca="1" si="78"/>
        <v>43028</v>
      </c>
      <c r="F1101" s="6">
        <f t="shared" ca="1" si="79"/>
        <v>3.1532469563425791</v>
      </c>
    </row>
    <row r="1102" spans="1:6">
      <c r="A1102" s="1">
        <v>9124600</v>
      </c>
      <c r="B1102" s="1">
        <f t="shared" ca="1" si="76"/>
        <v>0.59600270865128735</v>
      </c>
      <c r="C1102" s="1">
        <f t="shared" ca="1" si="75"/>
        <v>6</v>
      </c>
      <c r="D1102" s="1">
        <f t="shared" ca="1" si="77"/>
        <v>208</v>
      </c>
      <c r="E1102" s="2">
        <f t="shared" ca="1" si="78"/>
        <v>43049</v>
      </c>
      <c r="F1102" s="6">
        <f t="shared" ca="1" si="79"/>
        <v>26.981809430481846</v>
      </c>
    </row>
    <row r="1103" spans="1:6">
      <c r="A1103" s="1">
        <v>9124603</v>
      </c>
      <c r="B1103" s="1">
        <f t="shared" ca="1" si="76"/>
        <v>0.84613935694425779</v>
      </c>
      <c r="C1103" s="1">
        <f t="shared" ca="1" si="75"/>
        <v>64</v>
      </c>
      <c r="D1103" s="1">
        <f t="shared" ca="1" si="77"/>
        <v>1</v>
      </c>
      <c r="E1103" s="2">
        <f t="shared" ca="1" si="78"/>
        <v>43170</v>
      </c>
      <c r="F1103" s="6">
        <f t="shared" ca="1" si="79"/>
        <v>221.12846448804368</v>
      </c>
    </row>
    <row r="1104" spans="1:6">
      <c r="A1104" s="1">
        <v>9124606</v>
      </c>
      <c r="B1104" s="1">
        <f t="shared" ca="1" si="76"/>
        <v>0.35957914938289159</v>
      </c>
      <c r="C1104" s="1">
        <f t="shared" ca="1" si="75"/>
        <v>8</v>
      </c>
      <c r="D1104" s="1">
        <f t="shared" ca="1" si="77"/>
        <v>456</v>
      </c>
      <c r="E1104" s="2">
        <f t="shared" ca="1" si="78"/>
        <v>42835</v>
      </c>
      <c r="F1104" s="6">
        <f t="shared" ca="1" si="79"/>
        <v>70.881934087720069</v>
      </c>
    </row>
    <row r="1105" spans="1:6">
      <c r="A1105" s="1">
        <v>9124609</v>
      </c>
      <c r="B1105" s="1">
        <f t="shared" ca="1" si="76"/>
        <v>0.37873432815860308</v>
      </c>
      <c r="C1105" s="1">
        <f t="shared" ca="1" si="75"/>
        <v>32</v>
      </c>
      <c r="D1105" s="1">
        <f t="shared" ca="1" si="77"/>
        <v>497</v>
      </c>
      <c r="E1105" s="2">
        <f t="shared" ca="1" si="78"/>
        <v>43063</v>
      </c>
      <c r="F1105" s="6">
        <f t="shared" ca="1" si="79"/>
        <v>15.613804915608501</v>
      </c>
    </row>
    <row r="1106" spans="1:6">
      <c r="A1106" s="1">
        <v>9124612</v>
      </c>
      <c r="B1106" s="1">
        <f t="shared" ca="1" si="76"/>
        <v>0.77782764566437712</v>
      </c>
      <c r="C1106" s="1">
        <f t="shared" ca="1" si="75"/>
        <v>127</v>
      </c>
      <c r="D1106" s="1">
        <f t="shared" ca="1" si="77"/>
        <v>68</v>
      </c>
      <c r="E1106" s="2">
        <f t="shared" ca="1" si="78"/>
        <v>43451</v>
      </c>
      <c r="F1106" s="6">
        <f t="shared" ca="1" si="79"/>
        <v>6.3969705963733272</v>
      </c>
    </row>
    <row r="1107" spans="1:6">
      <c r="A1107" s="1">
        <v>9124615</v>
      </c>
      <c r="B1107" s="1">
        <f t="shared" ca="1" si="76"/>
        <v>9.9147739915000588E-2</v>
      </c>
      <c r="C1107" s="1">
        <f t="shared" ca="1" si="75"/>
        <v>7</v>
      </c>
      <c r="D1107" s="1">
        <f t="shared" ca="1" si="77"/>
        <v>138</v>
      </c>
      <c r="E1107" s="2">
        <f t="shared" ca="1" si="78"/>
        <v>43062</v>
      </c>
      <c r="F1107" s="6">
        <f t="shared" ca="1" si="79"/>
        <v>101.26904358740258</v>
      </c>
    </row>
    <row r="1108" spans="1:6">
      <c r="A1108" s="1">
        <v>9124618</v>
      </c>
      <c r="B1108" s="1">
        <f t="shared" ca="1" si="76"/>
        <v>0.27112111707191433</v>
      </c>
      <c r="C1108" s="1">
        <f t="shared" ca="1" si="75"/>
        <v>10</v>
      </c>
      <c r="D1108" s="1">
        <f t="shared" ca="1" si="77"/>
        <v>236</v>
      </c>
      <c r="E1108" s="2">
        <f t="shared" ca="1" si="78"/>
        <v>43160</v>
      </c>
      <c r="F1108" s="6">
        <f t="shared" ca="1" si="79"/>
        <v>16.083126466161421</v>
      </c>
    </row>
    <row r="1109" spans="1:6">
      <c r="A1109" s="1">
        <v>9124621</v>
      </c>
      <c r="B1109" s="1">
        <f t="shared" ca="1" si="76"/>
        <v>0.20855001159948716</v>
      </c>
      <c r="C1109" s="1">
        <f t="shared" ca="1" si="75"/>
        <v>7</v>
      </c>
      <c r="D1109" s="1">
        <f t="shared" ca="1" si="77"/>
        <v>138</v>
      </c>
      <c r="E1109" s="2">
        <f t="shared" ca="1" si="78"/>
        <v>42913</v>
      </c>
      <c r="F1109" s="6">
        <f t="shared" ca="1" si="79"/>
        <v>5.6453032221042037</v>
      </c>
    </row>
    <row r="1110" spans="1:6">
      <c r="A1110" s="1">
        <v>9124624</v>
      </c>
      <c r="B1110" s="1">
        <f t="shared" ca="1" si="76"/>
        <v>0.57601163595778038</v>
      </c>
      <c r="C1110" s="1">
        <f t="shared" ca="1" si="75"/>
        <v>16</v>
      </c>
      <c r="D1110" s="1">
        <f t="shared" ca="1" si="77"/>
        <v>465</v>
      </c>
      <c r="E1110" s="2">
        <f t="shared" ca="1" si="78"/>
        <v>42969</v>
      </c>
      <c r="F1110" s="6">
        <f t="shared" ca="1" si="79"/>
        <v>67.317747094949482</v>
      </c>
    </row>
    <row r="1111" spans="1:6">
      <c r="A1111" s="1">
        <v>9124627</v>
      </c>
      <c r="B1111" s="1">
        <f t="shared" ca="1" si="76"/>
        <v>0.59363919005388355</v>
      </c>
      <c r="C1111" s="1">
        <f t="shared" ca="1" si="75"/>
        <v>258</v>
      </c>
      <c r="D1111" s="1">
        <f t="shared" ca="1" si="77"/>
        <v>483</v>
      </c>
      <c r="E1111" s="2">
        <f t="shared" ca="1" si="78"/>
        <v>43116</v>
      </c>
      <c r="F1111" s="6">
        <f t="shared" ca="1" si="79"/>
        <v>5.3467106086357674</v>
      </c>
    </row>
    <row r="1112" spans="1:6">
      <c r="A1112" s="1">
        <v>9124630</v>
      </c>
      <c r="B1112" s="1">
        <f t="shared" ca="1" si="76"/>
        <v>0.14344840816359483</v>
      </c>
      <c r="C1112" s="1">
        <f t="shared" ca="1" si="75"/>
        <v>1</v>
      </c>
      <c r="D1112" s="1">
        <f t="shared" ca="1" si="77"/>
        <v>474</v>
      </c>
      <c r="E1112" s="2">
        <f t="shared" ca="1" si="78"/>
        <v>43370</v>
      </c>
      <c r="F1112" s="6">
        <f t="shared" ca="1" si="79"/>
        <v>3.2678500588763586</v>
      </c>
    </row>
    <row r="1113" spans="1:6">
      <c r="A1113" s="1">
        <v>9124633</v>
      </c>
      <c r="B1113" s="1">
        <f t="shared" ca="1" si="76"/>
        <v>0.71974278208670384</v>
      </c>
      <c r="C1113" s="1">
        <f t="shared" ca="1" si="75"/>
        <v>46</v>
      </c>
      <c r="D1113" s="1">
        <f t="shared" ca="1" si="77"/>
        <v>192</v>
      </c>
      <c r="E1113" s="2">
        <f t="shared" ca="1" si="78"/>
        <v>42858</v>
      </c>
      <c r="F1113" s="6">
        <f t="shared" ca="1" si="79"/>
        <v>8.4298151594969326</v>
      </c>
    </row>
    <row r="1114" spans="1:6">
      <c r="A1114" s="1">
        <v>9124636</v>
      </c>
      <c r="B1114" s="1">
        <f t="shared" ca="1" si="76"/>
        <v>0.12079861414853199</v>
      </c>
      <c r="C1114" s="1">
        <f t="shared" ca="1" si="75"/>
        <v>73</v>
      </c>
      <c r="D1114" s="1">
        <f t="shared" ca="1" si="77"/>
        <v>591</v>
      </c>
      <c r="E1114" s="2">
        <f t="shared" ca="1" si="78"/>
        <v>43243</v>
      </c>
      <c r="F1114" s="6">
        <f t="shared" ca="1" si="79"/>
        <v>72.298510003404772</v>
      </c>
    </row>
    <row r="1115" spans="1:6">
      <c r="A1115" s="1">
        <v>9124639</v>
      </c>
      <c r="B1115" s="1">
        <f t="shared" ca="1" si="76"/>
        <v>0.9567298857202452</v>
      </c>
      <c r="C1115" s="1">
        <f t="shared" ref="C1115:C1178" ca="1" si="80">ROUND(_xlfn.GAMMA.INV(RAND(),$J$11,$J$12)*100,0)+1</f>
        <v>2</v>
      </c>
      <c r="D1115" s="1">
        <f t="shared" ca="1" si="77"/>
        <v>30</v>
      </c>
      <c r="E1115" s="2">
        <f t="shared" ca="1" si="78"/>
        <v>43270</v>
      </c>
      <c r="F1115" s="6">
        <f t="shared" ca="1" si="79"/>
        <v>249.35949648616668</v>
      </c>
    </row>
    <row r="1116" spans="1:6">
      <c r="A1116" s="1">
        <v>9124642</v>
      </c>
      <c r="B1116" s="1">
        <f t="shared" ca="1" si="76"/>
        <v>0.65692036211692151</v>
      </c>
      <c r="C1116" s="1">
        <f t="shared" ca="1" si="80"/>
        <v>18</v>
      </c>
      <c r="D1116" s="1">
        <f t="shared" ca="1" si="77"/>
        <v>511</v>
      </c>
      <c r="E1116" s="2">
        <f t="shared" ca="1" si="78"/>
        <v>42914</v>
      </c>
      <c r="F1116" s="6">
        <f t="shared" ca="1" si="79"/>
        <v>3.0006308473864705</v>
      </c>
    </row>
    <row r="1117" spans="1:6">
      <c r="A1117" s="1">
        <v>9124645</v>
      </c>
      <c r="B1117" s="1">
        <f t="shared" ca="1" si="76"/>
        <v>0.81691521014816548</v>
      </c>
      <c r="C1117" s="1">
        <f t="shared" ca="1" si="80"/>
        <v>74</v>
      </c>
      <c r="D1117" s="1">
        <f t="shared" ca="1" si="77"/>
        <v>450</v>
      </c>
      <c r="E1117" s="2">
        <f t="shared" ca="1" si="78"/>
        <v>43228</v>
      </c>
      <c r="F1117" s="6">
        <f t="shared" ca="1" si="79"/>
        <v>15.762257620594905</v>
      </c>
    </row>
    <row r="1118" spans="1:6">
      <c r="A1118" s="1">
        <v>9124648</v>
      </c>
      <c r="B1118" s="1">
        <f t="shared" ca="1" si="76"/>
        <v>0.54120969226886473</v>
      </c>
      <c r="C1118" s="1">
        <f t="shared" ca="1" si="80"/>
        <v>13</v>
      </c>
      <c r="D1118" s="1">
        <f t="shared" ca="1" si="77"/>
        <v>80</v>
      </c>
      <c r="E1118" s="2">
        <f t="shared" ca="1" si="78"/>
        <v>43447</v>
      </c>
      <c r="F1118" s="6">
        <f t="shared" ca="1" si="79"/>
        <v>122.26876390795486</v>
      </c>
    </row>
    <row r="1119" spans="1:6">
      <c r="A1119" s="1">
        <v>9124651</v>
      </c>
      <c r="B1119" s="1">
        <f t="shared" ca="1" si="76"/>
        <v>8.6315637308144177E-2</v>
      </c>
      <c r="C1119" s="1">
        <f t="shared" ca="1" si="80"/>
        <v>31</v>
      </c>
      <c r="D1119" s="1">
        <f t="shared" ca="1" si="77"/>
        <v>535</v>
      </c>
      <c r="E1119" s="2">
        <f t="shared" ca="1" si="78"/>
        <v>43129</v>
      </c>
      <c r="F1119" s="6">
        <f t="shared" ca="1" si="79"/>
        <v>3.0000030593222808</v>
      </c>
    </row>
    <row r="1120" spans="1:6">
      <c r="A1120" s="1">
        <v>9124654</v>
      </c>
      <c r="B1120" s="1">
        <f t="shared" ca="1" si="76"/>
        <v>0.89670303350628044</v>
      </c>
      <c r="C1120" s="1">
        <f t="shared" ca="1" si="80"/>
        <v>1</v>
      </c>
      <c r="D1120" s="1">
        <f t="shared" ca="1" si="77"/>
        <v>474</v>
      </c>
      <c r="E1120" s="2">
        <f t="shared" ca="1" si="78"/>
        <v>43050</v>
      </c>
      <c r="F1120" s="6">
        <f t="shared" ca="1" si="79"/>
        <v>19.837808660981171</v>
      </c>
    </row>
    <row r="1121" spans="1:6">
      <c r="A1121" s="1">
        <v>9124657</v>
      </c>
      <c r="B1121" s="1">
        <f t="shared" ca="1" si="76"/>
        <v>0.59579129623240612</v>
      </c>
      <c r="C1121" s="1">
        <f t="shared" ca="1" si="80"/>
        <v>8</v>
      </c>
      <c r="D1121" s="1">
        <f t="shared" ca="1" si="77"/>
        <v>456</v>
      </c>
      <c r="E1121" s="2">
        <f t="shared" ca="1" si="78"/>
        <v>42853</v>
      </c>
      <c r="F1121" s="6">
        <f t="shared" ca="1" si="79"/>
        <v>195.94089042269198</v>
      </c>
    </row>
    <row r="1122" spans="1:6">
      <c r="A1122" s="1">
        <v>9124660</v>
      </c>
      <c r="B1122" s="1">
        <f t="shared" ca="1" si="76"/>
        <v>0.7470541539321448</v>
      </c>
      <c r="C1122" s="1">
        <f t="shared" ca="1" si="80"/>
        <v>19</v>
      </c>
      <c r="D1122" s="1">
        <f t="shared" ca="1" si="77"/>
        <v>42</v>
      </c>
      <c r="E1122" s="2">
        <f t="shared" ca="1" si="78"/>
        <v>43158</v>
      </c>
      <c r="F1122" s="6">
        <f t="shared" ca="1" si="79"/>
        <v>64.538118014128941</v>
      </c>
    </row>
    <row r="1123" spans="1:6">
      <c r="A1123" s="1">
        <v>9124663</v>
      </c>
      <c r="B1123" s="1">
        <f t="shared" ca="1" si="76"/>
        <v>0.60148988047414476</v>
      </c>
      <c r="C1123" s="1">
        <f t="shared" ca="1" si="80"/>
        <v>7</v>
      </c>
      <c r="D1123" s="1">
        <f t="shared" ca="1" si="77"/>
        <v>138</v>
      </c>
      <c r="E1123" s="2">
        <f t="shared" ca="1" si="78"/>
        <v>43348</v>
      </c>
      <c r="F1123" s="6">
        <f t="shared" ca="1" si="79"/>
        <v>382.28210515285173</v>
      </c>
    </row>
    <row r="1124" spans="1:6">
      <c r="A1124" s="1">
        <v>9124666</v>
      </c>
      <c r="B1124" s="1">
        <f t="shared" ca="1" si="76"/>
        <v>0.44990667006238039</v>
      </c>
      <c r="C1124" s="1">
        <f t="shared" ca="1" si="80"/>
        <v>1</v>
      </c>
      <c r="D1124" s="1">
        <f t="shared" ca="1" si="77"/>
        <v>474</v>
      </c>
      <c r="E1124" s="2">
        <f t="shared" ca="1" si="78"/>
        <v>42784</v>
      </c>
      <c r="F1124" s="6">
        <f t="shared" ca="1" si="79"/>
        <v>14.589947631313791</v>
      </c>
    </row>
    <row r="1125" spans="1:6">
      <c r="A1125" s="1">
        <v>9124669</v>
      </c>
      <c r="B1125" s="1">
        <f t="shared" ca="1" si="76"/>
        <v>0.17943551507380229</v>
      </c>
      <c r="C1125" s="1">
        <f t="shared" ca="1" si="80"/>
        <v>8</v>
      </c>
      <c r="D1125" s="1">
        <f t="shared" ca="1" si="77"/>
        <v>456</v>
      </c>
      <c r="E1125" s="2">
        <f t="shared" ca="1" si="78"/>
        <v>42919</v>
      </c>
      <c r="F1125" s="6">
        <f t="shared" ca="1" si="79"/>
        <v>4.0470697514590164</v>
      </c>
    </row>
    <row r="1126" spans="1:6">
      <c r="A1126" s="1">
        <v>9124672</v>
      </c>
      <c r="B1126" s="1">
        <f t="shared" ca="1" si="76"/>
        <v>0.1925600818649883</v>
      </c>
      <c r="C1126" s="1">
        <f t="shared" ca="1" si="80"/>
        <v>62</v>
      </c>
      <c r="D1126" s="1">
        <f t="shared" ca="1" si="77"/>
        <v>235</v>
      </c>
      <c r="E1126" s="2">
        <f t="shared" ca="1" si="78"/>
        <v>43397</v>
      </c>
      <c r="F1126" s="6">
        <f t="shared" ca="1" si="79"/>
        <v>12.03563999654811</v>
      </c>
    </row>
    <row r="1127" spans="1:6">
      <c r="A1127" s="1">
        <v>9124675</v>
      </c>
      <c r="B1127" s="1">
        <f t="shared" ca="1" si="76"/>
        <v>0.96677273188092605</v>
      </c>
      <c r="C1127" s="1">
        <f t="shared" ca="1" si="80"/>
        <v>102</v>
      </c>
      <c r="D1127" s="1">
        <f t="shared" ca="1" si="77"/>
        <v>366</v>
      </c>
      <c r="E1127" s="2">
        <f t="shared" ca="1" si="78"/>
        <v>43164</v>
      </c>
      <c r="F1127" s="6">
        <f t="shared" ca="1" si="79"/>
        <v>66.402619310883665</v>
      </c>
    </row>
    <row r="1128" spans="1:6">
      <c r="A1128" s="1">
        <v>9124678</v>
      </c>
      <c r="B1128" s="1">
        <f t="shared" ca="1" si="76"/>
        <v>0.85244389781983043</v>
      </c>
      <c r="C1128" s="1">
        <f t="shared" ca="1" si="80"/>
        <v>7</v>
      </c>
      <c r="D1128" s="1">
        <f t="shared" ca="1" si="77"/>
        <v>138</v>
      </c>
      <c r="E1128" s="2">
        <f t="shared" ca="1" si="78"/>
        <v>43162</v>
      </c>
      <c r="F1128" s="6">
        <f t="shared" ca="1" si="79"/>
        <v>13.846677755449218</v>
      </c>
    </row>
    <row r="1129" spans="1:6">
      <c r="A1129" s="1">
        <v>9124681</v>
      </c>
      <c r="B1129" s="1">
        <f t="shared" ca="1" si="76"/>
        <v>0.74347545313237606</v>
      </c>
      <c r="C1129" s="1">
        <f t="shared" ca="1" si="80"/>
        <v>27</v>
      </c>
      <c r="D1129" s="1">
        <f t="shared" ca="1" si="77"/>
        <v>398</v>
      </c>
      <c r="E1129" s="2">
        <f t="shared" ca="1" si="78"/>
        <v>43296</v>
      </c>
      <c r="F1129" s="6">
        <f t="shared" ca="1" si="79"/>
        <v>3.6624070578073726</v>
      </c>
    </row>
    <row r="1130" spans="1:6">
      <c r="A1130" s="1">
        <v>9124684</v>
      </c>
      <c r="B1130" s="1">
        <f t="shared" ca="1" si="76"/>
        <v>0.30288483259208754</v>
      </c>
      <c r="C1130" s="1">
        <f t="shared" ca="1" si="80"/>
        <v>1</v>
      </c>
      <c r="D1130" s="1">
        <f t="shared" ca="1" si="77"/>
        <v>474</v>
      </c>
      <c r="E1130" s="2">
        <f t="shared" ca="1" si="78"/>
        <v>43321</v>
      </c>
      <c r="F1130" s="6">
        <f t="shared" ca="1" si="79"/>
        <v>25.883466052412178</v>
      </c>
    </row>
    <row r="1131" spans="1:6">
      <c r="A1131" s="1">
        <v>9124687</v>
      </c>
      <c r="B1131" s="1">
        <f t="shared" ca="1" si="76"/>
        <v>0.33046733436651066</v>
      </c>
      <c r="C1131" s="1">
        <f t="shared" ca="1" si="80"/>
        <v>7</v>
      </c>
      <c r="D1131" s="1">
        <f t="shared" ca="1" si="77"/>
        <v>138</v>
      </c>
      <c r="E1131" s="2">
        <f t="shared" ca="1" si="78"/>
        <v>42869</v>
      </c>
      <c r="F1131" s="6">
        <f t="shared" ca="1" si="79"/>
        <v>3.7342219849912359</v>
      </c>
    </row>
    <row r="1132" spans="1:6">
      <c r="A1132" s="1">
        <v>9124690</v>
      </c>
      <c r="B1132" s="1">
        <f t="shared" ca="1" si="76"/>
        <v>0.4638884111231445</v>
      </c>
      <c r="C1132" s="1">
        <f t="shared" ca="1" si="80"/>
        <v>277</v>
      </c>
      <c r="D1132" s="1">
        <f t="shared" ca="1" si="77"/>
        <v>215</v>
      </c>
      <c r="E1132" s="2">
        <f t="shared" ca="1" si="78"/>
        <v>42803</v>
      </c>
      <c r="F1132" s="6">
        <f t="shared" ca="1" si="79"/>
        <v>98.512783931475653</v>
      </c>
    </row>
    <row r="1133" spans="1:6">
      <c r="A1133" s="1">
        <v>9124693</v>
      </c>
      <c r="B1133" s="1">
        <f t="shared" ca="1" si="76"/>
        <v>0.91897390424164693</v>
      </c>
      <c r="C1133" s="1">
        <f t="shared" ca="1" si="80"/>
        <v>64</v>
      </c>
      <c r="D1133" s="1">
        <f t="shared" ca="1" si="77"/>
        <v>1</v>
      </c>
      <c r="E1133" s="2">
        <f t="shared" ca="1" si="78"/>
        <v>43155</v>
      </c>
      <c r="F1133" s="6">
        <f t="shared" ca="1" si="79"/>
        <v>4.0508020111283054</v>
      </c>
    </row>
    <row r="1134" spans="1:6">
      <c r="A1134" s="1">
        <v>9124696</v>
      </c>
      <c r="B1134" s="1">
        <f t="shared" ca="1" si="76"/>
        <v>0.21886786398495339</v>
      </c>
      <c r="C1134" s="1">
        <f t="shared" ca="1" si="80"/>
        <v>101</v>
      </c>
      <c r="D1134" s="1">
        <f t="shared" ca="1" si="77"/>
        <v>166</v>
      </c>
      <c r="E1134" s="2">
        <f t="shared" ca="1" si="78"/>
        <v>43315</v>
      </c>
      <c r="F1134" s="6">
        <f t="shared" ca="1" si="79"/>
        <v>25.37630748877493</v>
      </c>
    </row>
    <row r="1135" spans="1:6">
      <c r="A1135" s="1">
        <v>9124699</v>
      </c>
      <c r="B1135" s="1">
        <f t="shared" ca="1" si="76"/>
        <v>0.59874416532031816</v>
      </c>
      <c r="C1135" s="1">
        <f t="shared" ca="1" si="80"/>
        <v>8</v>
      </c>
      <c r="D1135" s="1">
        <f t="shared" ca="1" si="77"/>
        <v>456</v>
      </c>
      <c r="E1135" s="2">
        <f t="shared" ca="1" si="78"/>
        <v>42883</v>
      </c>
      <c r="F1135" s="6">
        <f t="shared" ca="1" si="79"/>
        <v>59.956684333198247</v>
      </c>
    </row>
    <row r="1136" spans="1:6">
      <c r="A1136" s="1">
        <v>9124702</v>
      </c>
      <c r="B1136" s="1">
        <f t="shared" ca="1" si="76"/>
        <v>0.29173657554287813</v>
      </c>
      <c r="C1136" s="1">
        <f t="shared" ca="1" si="80"/>
        <v>106</v>
      </c>
      <c r="D1136" s="1">
        <f t="shared" ca="1" si="77"/>
        <v>238</v>
      </c>
      <c r="E1136" s="2">
        <f t="shared" ca="1" si="78"/>
        <v>42931</v>
      </c>
      <c r="F1136" s="6">
        <f t="shared" ca="1" si="79"/>
        <v>17.036218684006741</v>
      </c>
    </row>
    <row r="1137" spans="1:6">
      <c r="A1137" s="1">
        <v>9124705</v>
      </c>
      <c r="B1137" s="1">
        <f t="shared" ca="1" si="76"/>
        <v>0.68180717189998119</v>
      </c>
      <c r="C1137" s="1">
        <f t="shared" ca="1" si="80"/>
        <v>166</v>
      </c>
      <c r="D1137" s="1">
        <f t="shared" ca="1" si="77"/>
        <v>150</v>
      </c>
      <c r="E1137" s="2">
        <f t="shared" ca="1" si="78"/>
        <v>42825</v>
      </c>
      <c r="F1137" s="6">
        <f t="shared" ca="1" si="79"/>
        <v>71.211584070865655</v>
      </c>
    </row>
    <row r="1138" spans="1:6">
      <c r="A1138" s="1">
        <v>9124708</v>
      </c>
      <c r="B1138" s="1">
        <f t="shared" ca="1" si="76"/>
        <v>0.85936815747106743</v>
      </c>
      <c r="C1138" s="1">
        <f t="shared" ca="1" si="80"/>
        <v>70</v>
      </c>
      <c r="D1138" s="1">
        <f t="shared" ca="1" si="77"/>
        <v>82</v>
      </c>
      <c r="E1138" s="2">
        <f t="shared" ca="1" si="78"/>
        <v>42821</v>
      </c>
      <c r="F1138" s="6">
        <f t="shared" ca="1" si="79"/>
        <v>20.002863280996657</v>
      </c>
    </row>
    <row r="1139" spans="1:6">
      <c r="A1139" s="1">
        <v>9124711</v>
      </c>
      <c r="B1139" s="1">
        <f t="shared" ca="1" si="76"/>
        <v>0.8630637611222346</v>
      </c>
      <c r="C1139" s="1">
        <f t="shared" ca="1" si="80"/>
        <v>7</v>
      </c>
      <c r="D1139" s="1">
        <f t="shared" ca="1" si="77"/>
        <v>138</v>
      </c>
      <c r="E1139" s="2">
        <f t="shared" ca="1" si="78"/>
        <v>43114</v>
      </c>
      <c r="F1139" s="6">
        <f t="shared" ca="1" si="79"/>
        <v>16.385833262318101</v>
      </c>
    </row>
    <row r="1140" spans="1:6">
      <c r="A1140" s="1">
        <v>9124714</v>
      </c>
      <c r="B1140" s="1">
        <f t="shared" ca="1" si="76"/>
        <v>0.53233687644343797</v>
      </c>
      <c r="C1140" s="1">
        <f t="shared" ca="1" si="80"/>
        <v>1</v>
      </c>
      <c r="D1140" s="1">
        <f t="shared" ca="1" si="77"/>
        <v>474</v>
      </c>
      <c r="E1140" s="2">
        <f t="shared" ca="1" si="78"/>
        <v>42993</v>
      </c>
      <c r="F1140" s="6">
        <f t="shared" ca="1" si="79"/>
        <v>85.368290826200607</v>
      </c>
    </row>
    <row r="1141" spans="1:6">
      <c r="A1141" s="1">
        <v>9124717</v>
      </c>
      <c r="B1141" s="1">
        <f t="shared" ca="1" si="76"/>
        <v>0.36115993499537724</v>
      </c>
      <c r="C1141" s="1">
        <f t="shared" ca="1" si="80"/>
        <v>1</v>
      </c>
      <c r="D1141" s="1">
        <f t="shared" ca="1" si="77"/>
        <v>474</v>
      </c>
      <c r="E1141" s="2">
        <f t="shared" ca="1" si="78"/>
        <v>43019</v>
      </c>
      <c r="F1141" s="6">
        <f t="shared" ca="1" si="79"/>
        <v>3.486739481287362</v>
      </c>
    </row>
    <row r="1142" spans="1:6">
      <c r="A1142" s="1">
        <v>9124720</v>
      </c>
      <c r="B1142" s="1">
        <f t="shared" ca="1" si="76"/>
        <v>0.5699611832649677</v>
      </c>
      <c r="C1142" s="1">
        <f t="shared" ca="1" si="80"/>
        <v>21</v>
      </c>
      <c r="D1142" s="1">
        <f t="shared" ca="1" si="77"/>
        <v>566</v>
      </c>
      <c r="E1142" s="2">
        <f t="shared" ca="1" si="78"/>
        <v>42862</v>
      </c>
      <c r="F1142" s="6">
        <f t="shared" ca="1" si="79"/>
        <v>4.0056555449976861</v>
      </c>
    </row>
    <row r="1143" spans="1:6">
      <c r="A1143" s="1">
        <v>9124723</v>
      </c>
      <c r="B1143" s="1">
        <f t="shared" ca="1" si="76"/>
        <v>0.45763281698055613</v>
      </c>
      <c r="C1143" s="1">
        <f t="shared" ca="1" si="80"/>
        <v>48</v>
      </c>
      <c r="D1143" s="1">
        <f t="shared" ca="1" si="77"/>
        <v>424</v>
      </c>
      <c r="E1143" s="2">
        <f t="shared" ca="1" si="78"/>
        <v>43406</v>
      </c>
      <c r="F1143" s="6">
        <f t="shared" ca="1" si="79"/>
        <v>5.5891096577856239</v>
      </c>
    </row>
    <row r="1144" spans="1:6">
      <c r="A1144" s="1">
        <v>9124726</v>
      </c>
      <c r="B1144" s="1">
        <f t="shared" ca="1" si="76"/>
        <v>0.95273246115367982</v>
      </c>
      <c r="C1144" s="1">
        <f t="shared" ca="1" si="80"/>
        <v>8</v>
      </c>
      <c r="D1144" s="1">
        <f t="shared" ca="1" si="77"/>
        <v>456</v>
      </c>
      <c r="E1144" s="2">
        <f t="shared" ca="1" si="78"/>
        <v>43115</v>
      </c>
      <c r="F1144" s="6">
        <f t="shared" ca="1" si="79"/>
        <v>115.25581414304358</v>
      </c>
    </row>
    <row r="1145" spans="1:6">
      <c r="A1145" s="1">
        <v>9124729</v>
      </c>
      <c r="B1145" s="1">
        <f t="shared" ca="1" si="76"/>
        <v>0.27299930491564184</v>
      </c>
      <c r="C1145" s="1">
        <f t="shared" ca="1" si="80"/>
        <v>21</v>
      </c>
      <c r="D1145" s="1">
        <f t="shared" ca="1" si="77"/>
        <v>566</v>
      </c>
      <c r="E1145" s="2">
        <f t="shared" ca="1" si="78"/>
        <v>42928</v>
      </c>
      <c r="F1145" s="6">
        <f t="shared" ca="1" si="79"/>
        <v>48.490197940434236</v>
      </c>
    </row>
    <row r="1146" spans="1:6">
      <c r="A1146" s="1">
        <v>9124732</v>
      </c>
      <c r="B1146" s="1">
        <f t="shared" ca="1" si="76"/>
        <v>8.9123020043384571E-2</v>
      </c>
      <c r="C1146" s="1">
        <f t="shared" ca="1" si="80"/>
        <v>37</v>
      </c>
      <c r="D1146" s="1">
        <f t="shared" ca="1" si="77"/>
        <v>517</v>
      </c>
      <c r="E1146" s="2">
        <f t="shared" ca="1" si="78"/>
        <v>43336</v>
      </c>
      <c r="F1146" s="6">
        <f t="shared" ca="1" si="79"/>
        <v>95.79206996640697</v>
      </c>
    </row>
    <row r="1147" spans="1:6">
      <c r="A1147" s="1">
        <v>9124735</v>
      </c>
      <c r="B1147" s="1">
        <f t="shared" ca="1" si="76"/>
        <v>0.61736151010336882</v>
      </c>
      <c r="C1147" s="1">
        <f t="shared" ca="1" si="80"/>
        <v>8</v>
      </c>
      <c r="D1147" s="1">
        <f t="shared" ca="1" si="77"/>
        <v>456</v>
      </c>
      <c r="E1147" s="2">
        <f t="shared" ca="1" si="78"/>
        <v>43237</v>
      </c>
      <c r="F1147" s="6">
        <f t="shared" ca="1" si="79"/>
        <v>34.934431320081757</v>
      </c>
    </row>
    <row r="1148" spans="1:6">
      <c r="A1148" s="1">
        <v>9124738</v>
      </c>
      <c r="B1148" s="1">
        <f t="shared" ca="1" si="76"/>
        <v>0.13461071128048174</v>
      </c>
      <c r="C1148" s="1">
        <f t="shared" ca="1" si="80"/>
        <v>1</v>
      </c>
      <c r="D1148" s="1">
        <f t="shared" ca="1" si="77"/>
        <v>474</v>
      </c>
      <c r="E1148" s="2">
        <f t="shared" ca="1" si="78"/>
        <v>42859</v>
      </c>
      <c r="F1148" s="6">
        <f t="shared" ca="1" si="79"/>
        <v>34.735735366837226</v>
      </c>
    </row>
    <row r="1149" spans="1:6">
      <c r="A1149" s="1">
        <v>9124741</v>
      </c>
      <c r="B1149" s="1">
        <f t="shared" ca="1" si="76"/>
        <v>0.85367707022310768</v>
      </c>
      <c r="C1149" s="1">
        <f t="shared" ca="1" si="80"/>
        <v>166</v>
      </c>
      <c r="D1149" s="1">
        <f t="shared" ca="1" si="77"/>
        <v>150</v>
      </c>
      <c r="E1149" s="2">
        <f t="shared" ca="1" si="78"/>
        <v>43497</v>
      </c>
      <c r="F1149" s="6">
        <f t="shared" ca="1" si="79"/>
        <v>4.255193676859129</v>
      </c>
    </row>
    <row r="1150" spans="1:6">
      <c r="A1150" s="1">
        <v>9124744</v>
      </c>
      <c r="B1150" s="1">
        <f t="shared" ca="1" si="76"/>
        <v>0.73031382644607146</v>
      </c>
      <c r="C1150" s="1">
        <f t="shared" ca="1" si="80"/>
        <v>91</v>
      </c>
      <c r="D1150" s="1">
        <f t="shared" ca="1" si="77"/>
        <v>396</v>
      </c>
      <c r="E1150" s="2">
        <f t="shared" ca="1" si="78"/>
        <v>43192</v>
      </c>
      <c r="F1150" s="6">
        <f t="shared" ca="1" si="79"/>
        <v>5.2713272297827629</v>
      </c>
    </row>
    <row r="1151" spans="1:6">
      <c r="A1151" s="1">
        <v>9124747</v>
      </c>
      <c r="B1151" s="1">
        <f t="shared" ca="1" si="76"/>
        <v>0.29611300572690835</v>
      </c>
      <c r="C1151" s="1">
        <f t="shared" ca="1" si="80"/>
        <v>45</v>
      </c>
      <c r="D1151" s="1">
        <f t="shared" ca="1" si="77"/>
        <v>482</v>
      </c>
      <c r="E1151" s="2">
        <f t="shared" ca="1" si="78"/>
        <v>43126</v>
      </c>
      <c r="F1151" s="6">
        <f t="shared" ca="1" si="79"/>
        <v>49.48959476472016</v>
      </c>
    </row>
    <row r="1152" spans="1:6">
      <c r="A1152" s="1">
        <v>9124750</v>
      </c>
      <c r="B1152" s="1">
        <f t="shared" ca="1" si="76"/>
        <v>0.40118826610613434</v>
      </c>
      <c r="C1152" s="1">
        <f t="shared" ca="1" si="80"/>
        <v>64</v>
      </c>
      <c r="D1152" s="1">
        <f t="shared" ca="1" si="77"/>
        <v>1</v>
      </c>
      <c r="E1152" s="2">
        <f t="shared" ca="1" si="78"/>
        <v>43126</v>
      </c>
      <c r="F1152" s="6">
        <f t="shared" ca="1" si="79"/>
        <v>67.912400343416337</v>
      </c>
    </row>
    <row r="1153" spans="1:6">
      <c r="A1153" s="1">
        <v>9124753</v>
      </c>
      <c r="B1153" s="1">
        <f t="shared" ca="1" si="76"/>
        <v>0.30768706932941348</v>
      </c>
      <c r="C1153" s="1">
        <f t="shared" ca="1" si="80"/>
        <v>71</v>
      </c>
      <c r="D1153" s="1">
        <f t="shared" ca="1" si="77"/>
        <v>281</v>
      </c>
      <c r="E1153" s="2">
        <f t="shared" ca="1" si="78"/>
        <v>43476</v>
      </c>
      <c r="F1153" s="6">
        <f t="shared" ca="1" si="79"/>
        <v>209.81694665017477</v>
      </c>
    </row>
    <row r="1154" spans="1:6">
      <c r="A1154" s="1">
        <v>9124756</v>
      </c>
      <c r="B1154" s="1">
        <f t="shared" ref="B1154:B1217" ca="1" si="81">RAND()</f>
        <v>0.21912425329753737</v>
      </c>
      <c r="C1154" s="1">
        <f t="shared" ca="1" si="80"/>
        <v>4</v>
      </c>
      <c r="D1154" s="1">
        <f t="shared" ca="1" si="77"/>
        <v>493</v>
      </c>
      <c r="E1154" s="2">
        <f t="shared" ca="1" si="78"/>
        <v>42751</v>
      </c>
      <c r="F1154" s="6">
        <f t="shared" ca="1" si="79"/>
        <v>82.976857369245764</v>
      </c>
    </row>
    <row r="1155" spans="1:6">
      <c r="A1155" s="1">
        <v>9124759</v>
      </c>
      <c r="B1155" s="1">
        <f t="shared" ca="1" si="81"/>
        <v>0.91924852692064929</v>
      </c>
      <c r="C1155" s="1">
        <f t="shared" ca="1" si="80"/>
        <v>135</v>
      </c>
      <c r="D1155" s="1">
        <f t="shared" ref="D1155:D1218" ca="1" si="82">VLOOKUP(SMALL($B$2:$B$601,C1155),$B$2:$C$601,2,FALSE)</f>
        <v>231</v>
      </c>
      <c r="E1155" s="2">
        <f t="shared" ref="E1155:E1218" ca="1" si="83">RANDBETWEEN("1/1/17","2/1/19")</f>
        <v>43340</v>
      </c>
      <c r="F1155" s="6">
        <f t="shared" ref="F1155:F1218" ca="1" si="84">_xlfn.GAMMA.INV(RAND(),$J$6,$J$7)*100+3</f>
        <v>6.1103953324160081</v>
      </c>
    </row>
    <row r="1156" spans="1:6">
      <c r="A1156" s="1">
        <v>9124762</v>
      </c>
      <c r="B1156" s="1">
        <f t="shared" ca="1" si="81"/>
        <v>0.54482096104408217</v>
      </c>
      <c r="C1156" s="1">
        <f t="shared" ca="1" si="80"/>
        <v>4</v>
      </c>
      <c r="D1156" s="1">
        <f t="shared" ca="1" si="82"/>
        <v>493</v>
      </c>
      <c r="E1156" s="2">
        <f t="shared" ca="1" si="83"/>
        <v>43277</v>
      </c>
      <c r="F1156" s="6">
        <f t="shared" ca="1" si="84"/>
        <v>3.9783315724772295</v>
      </c>
    </row>
    <row r="1157" spans="1:6">
      <c r="A1157" s="1">
        <v>9124765</v>
      </c>
      <c r="B1157" s="1">
        <f t="shared" ca="1" si="81"/>
        <v>0.6807722195049255</v>
      </c>
      <c r="C1157" s="1">
        <f t="shared" ca="1" si="80"/>
        <v>62</v>
      </c>
      <c r="D1157" s="1">
        <f t="shared" ca="1" si="82"/>
        <v>235</v>
      </c>
      <c r="E1157" s="2">
        <f t="shared" ca="1" si="83"/>
        <v>43150</v>
      </c>
      <c r="F1157" s="6">
        <f t="shared" ca="1" si="84"/>
        <v>222.97971606269959</v>
      </c>
    </row>
    <row r="1158" spans="1:6">
      <c r="A1158" s="1">
        <v>9124768</v>
      </c>
      <c r="B1158" s="1">
        <f t="shared" ca="1" si="81"/>
        <v>0.24796083764516497</v>
      </c>
      <c r="C1158" s="1">
        <f t="shared" ca="1" si="80"/>
        <v>15</v>
      </c>
      <c r="D1158" s="1">
        <f t="shared" ca="1" si="82"/>
        <v>284</v>
      </c>
      <c r="E1158" s="2">
        <f t="shared" ca="1" si="83"/>
        <v>42855</v>
      </c>
      <c r="F1158" s="6">
        <f t="shared" ca="1" si="84"/>
        <v>13.802416783836142</v>
      </c>
    </row>
    <row r="1159" spans="1:6">
      <c r="A1159" s="1">
        <v>9124771</v>
      </c>
      <c r="B1159" s="1">
        <f t="shared" ca="1" si="81"/>
        <v>0.47432923883671452</v>
      </c>
      <c r="C1159" s="1">
        <f t="shared" ca="1" si="80"/>
        <v>27</v>
      </c>
      <c r="D1159" s="1">
        <f t="shared" ca="1" si="82"/>
        <v>398</v>
      </c>
      <c r="E1159" s="2">
        <f t="shared" ca="1" si="83"/>
        <v>42749</v>
      </c>
      <c r="F1159" s="6">
        <f t="shared" ca="1" si="84"/>
        <v>6.5788118869291106</v>
      </c>
    </row>
    <row r="1160" spans="1:6">
      <c r="A1160" s="1">
        <v>9124774</v>
      </c>
      <c r="B1160" s="1">
        <f t="shared" ca="1" si="81"/>
        <v>4.0170408372414812E-2</v>
      </c>
      <c r="C1160" s="1">
        <f t="shared" ca="1" si="80"/>
        <v>4</v>
      </c>
      <c r="D1160" s="1">
        <f t="shared" ca="1" si="82"/>
        <v>493</v>
      </c>
      <c r="E1160" s="2">
        <f t="shared" ca="1" si="83"/>
        <v>42959</v>
      </c>
      <c r="F1160" s="6">
        <f t="shared" ca="1" si="84"/>
        <v>60.105625142266703</v>
      </c>
    </row>
    <row r="1161" spans="1:6">
      <c r="A1161" s="1">
        <v>9124777</v>
      </c>
      <c r="B1161" s="1">
        <f t="shared" ca="1" si="81"/>
        <v>0.15160285826130449</v>
      </c>
      <c r="C1161" s="1">
        <f t="shared" ca="1" si="80"/>
        <v>14</v>
      </c>
      <c r="D1161" s="1">
        <f t="shared" ca="1" si="82"/>
        <v>576</v>
      </c>
      <c r="E1161" s="2">
        <f t="shared" ca="1" si="83"/>
        <v>43230</v>
      </c>
      <c r="F1161" s="6">
        <f t="shared" ca="1" si="84"/>
        <v>38.207321507349242</v>
      </c>
    </row>
    <row r="1162" spans="1:6">
      <c r="A1162" s="1">
        <v>9124780</v>
      </c>
      <c r="B1162" s="1">
        <f t="shared" ca="1" si="81"/>
        <v>0.78121262990542872</v>
      </c>
      <c r="C1162" s="1">
        <f t="shared" ca="1" si="80"/>
        <v>117</v>
      </c>
      <c r="D1162" s="1">
        <f t="shared" ca="1" si="82"/>
        <v>600</v>
      </c>
      <c r="E1162" s="2">
        <f t="shared" ca="1" si="83"/>
        <v>43287</v>
      </c>
      <c r="F1162" s="6">
        <f t="shared" ca="1" si="84"/>
        <v>72.733393477149406</v>
      </c>
    </row>
    <row r="1163" spans="1:6">
      <c r="A1163" s="1">
        <v>9124783</v>
      </c>
      <c r="B1163" s="1">
        <f t="shared" ca="1" si="81"/>
        <v>0.56039113082440628</v>
      </c>
      <c r="C1163" s="1">
        <f t="shared" ca="1" si="80"/>
        <v>10</v>
      </c>
      <c r="D1163" s="1">
        <f t="shared" ca="1" si="82"/>
        <v>236</v>
      </c>
      <c r="E1163" s="2">
        <f t="shared" ca="1" si="83"/>
        <v>42904</v>
      </c>
      <c r="F1163" s="6">
        <f t="shared" ca="1" si="84"/>
        <v>3.0081750705310615</v>
      </c>
    </row>
    <row r="1164" spans="1:6">
      <c r="A1164" s="1">
        <v>9124786</v>
      </c>
      <c r="B1164" s="1">
        <f t="shared" ca="1" si="81"/>
        <v>0.71821841886726512</v>
      </c>
      <c r="C1164" s="1">
        <f t="shared" ca="1" si="80"/>
        <v>1</v>
      </c>
      <c r="D1164" s="1">
        <f t="shared" ca="1" si="82"/>
        <v>474</v>
      </c>
      <c r="E1164" s="2">
        <f t="shared" ca="1" si="83"/>
        <v>43156</v>
      </c>
      <c r="F1164" s="6">
        <f t="shared" ca="1" si="84"/>
        <v>31.975944480695169</v>
      </c>
    </row>
    <row r="1165" spans="1:6">
      <c r="A1165" s="1">
        <v>9124789</v>
      </c>
      <c r="B1165" s="1">
        <f t="shared" ca="1" si="81"/>
        <v>0.58762326870178505</v>
      </c>
      <c r="C1165" s="1">
        <f t="shared" ca="1" si="80"/>
        <v>16</v>
      </c>
      <c r="D1165" s="1">
        <f t="shared" ca="1" si="82"/>
        <v>465</v>
      </c>
      <c r="E1165" s="2">
        <f t="shared" ca="1" si="83"/>
        <v>43013</v>
      </c>
      <c r="F1165" s="6">
        <f t="shared" ca="1" si="84"/>
        <v>18.297842923995219</v>
      </c>
    </row>
    <row r="1166" spans="1:6">
      <c r="A1166" s="1">
        <v>9124792</v>
      </c>
      <c r="B1166" s="1">
        <f t="shared" ca="1" si="81"/>
        <v>0.44866335045522709</v>
      </c>
      <c r="C1166" s="1">
        <f t="shared" ca="1" si="80"/>
        <v>19</v>
      </c>
      <c r="D1166" s="1">
        <f t="shared" ca="1" si="82"/>
        <v>42</v>
      </c>
      <c r="E1166" s="2">
        <f t="shared" ca="1" si="83"/>
        <v>43237</v>
      </c>
      <c r="F1166" s="6">
        <f t="shared" ca="1" si="84"/>
        <v>45.301646895363795</v>
      </c>
    </row>
    <row r="1167" spans="1:6">
      <c r="A1167" s="1">
        <v>9124795</v>
      </c>
      <c r="B1167" s="1">
        <f t="shared" ca="1" si="81"/>
        <v>6.1547707663881623E-2</v>
      </c>
      <c r="C1167" s="1">
        <f t="shared" ca="1" si="80"/>
        <v>46</v>
      </c>
      <c r="D1167" s="1">
        <f t="shared" ca="1" si="82"/>
        <v>192</v>
      </c>
      <c r="E1167" s="2">
        <f t="shared" ca="1" si="83"/>
        <v>43022</v>
      </c>
      <c r="F1167" s="6">
        <f t="shared" ca="1" si="84"/>
        <v>187.24047633617218</v>
      </c>
    </row>
    <row r="1168" spans="1:6">
      <c r="A1168" s="1">
        <v>9124798</v>
      </c>
      <c r="B1168" s="1">
        <f t="shared" ca="1" si="81"/>
        <v>0.28243431699311849</v>
      </c>
      <c r="C1168" s="1">
        <f t="shared" ca="1" si="80"/>
        <v>148</v>
      </c>
      <c r="D1168" s="1">
        <f t="shared" ca="1" si="82"/>
        <v>541</v>
      </c>
      <c r="E1168" s="2">
        <f t="shared" ca="1" si="83"/>
        <v>43418</v>
      </c>
      <c r="F1168" s="6">
        <f t="shared" ca="1" si="84"/>
        <v>34.012933292865583</v>
      </c>
    </row>
    <row r="1169" spans="1:6">
      <c r="A1169" s="1">
        <v>9124801</v>
      </c>
      <c r="B1169" s="1">
        <f t="shared" ca="1" si="81"/>
        <v>0.23030743515876306</v>
      </c>
      <c r="C1169" s="1">
        <f t="shared" ca="1" si="80"/>
        <v>1</v>
      </c>
      <c r="D1169" s="1">
        <f t="shared" ca="1" si="82"/>
        <v>474</v>
      </c>
      <c r="E1169" s="2">
        <f t="shared" ca="1" si="83"/>
        <v>42749</v>
      </c>
      <c r="F1169" s="6">
        <f t="shared" ca="1" si="84"/>
        <v>177.84538019847437</v>
      </c>
    </row>
    <row r="1170" spans="1:6">
      <c r="A1170" s="1">
        <v>9124804</v>
      </c>
      <c r="B1170" s="1">
        <f t="shared" ca="1" si="81"/>
        <v>0.89795242018762234</v>
      </c>
      <c r="C1170" s="1">
        <f t="shared" ca="1" si="80"/>
        <v>38</v>
      </c>
      <c r="D1170" s="1">
        <f t="shared" ca="1" si="82"/>
        <v>400</v>
      </c>
      <c r="E1170" s="2">
        <f t="shared" ca="1" si="83"/>
        <v>42915</v>
      </c>
      <c r="F1170" s="6">
        <f t="shared" ca="1" si="84"/>
        <v>258.68902080801445</v>
      </c>
    </row>
    <row r="1171" spans="1:6">
      <c r="A1171" s="1">
        <v>9124807</v>
      </c>
      <c r="B1171" s="1">
        <f t="shared" ca="1" si="81"/>
        <v>6.166203416615279E-2</v>
      </c>
      <c r="C1171" s="1">
        <f t="shared" ca="1" si="80"/>
        <v>143</v>
      </c>
      <c r="D1171" s="1">
        <f t="shared" ca="1" si="82"/>
        <v>438</v>
      </c>
      <c r="E1171" s="2">
        <f t="shared" ca="1" si="83"/>
        <v>43365</v>
      </c>
      <c r="F1171" s="6">
        <f t="shared" ca="1" si="84"/>
        <v>45.917026474521485</v>
      </c>
    </row>
    <row r="1172" spans="1:6">
      <c r="A1172" s="1">
        <v>9124810</v>
      </c>
      <c r="B1172" s="1">
        <f t="shared" ca="1" si="81"/>
        <v>0.72738931113409344</v>
      </c>
      <c r="C1172" s="1">
        <f t="shared" ca="1" si="80"/>
        <v>108</v>
      </c>
      <c r="D1172" s="1">
        <f t="shared" ca="1" si="82"/>
        <v>530</v>
      </c>
      <c r="E1172" s="2">
        <f t="shared" ca="1" si="83"/>
        <v>43383</v>
      </c>
      <c r="F1172" s="6">
        <f t="shared" ca="1" si="84"/>
        <v>7.4502051500578617</v>
      </c>
    </row>
    <row r="1173" spans="1:6">
      <c r="A1173" s="1">
        <v>9124813</v>
      </c>
      <c r="B1173" s="1">
        <f t="shared" ca="1" si="81"/>
        <v>0.67733139315963908</v>
      </c>
      <c r="C1173" s="1">
        <f t="shared" ca="1" si="80"/>
        <v>6</v>
      </c>
      <c r="D1173" s="1">
        <f t="shared" ca="1" si="82"/>
        <v>208</v>
      </c>
      <c r="E1173" s="2">
        <f t="shared" ca="1" si="83"/>
        <v>42841</v>
      </c>
      <c r="F1173" s="6">
        <f t="shared" ca="1" si="84"/>
        <v>95.50600401507711</v>
      </c>
    </row>
    <row r="1174" spans="1:6">
      <c r="A1174" s="1">
        <v>9124816</v>
      </c>
      <c r="B1174" s="1">
        <f t="shared" ca="1" si="81"/>
        <v>1.9403712931305606E-2</v>
      </c>
      <c r="C1174" s="1">
        <f t="shared" ca="1" si="80"/>
        <v>7</v>
      </c>
      <c r="D1174" s="1">
        <f t="shared" ca="1" si="82"/>
        <v>138</v>
      </c>
      <c r="E1174" s="2">
        <f t="shared" ca="1" si="83"/>
        <v>42760</v>
      </c>
      <c r="F1174" s="6">
        <f t="shared" ca="1" si="84"/>
        <v>134.1895725346287</v>
      </c>
    </row>
    <row r="1175" spans="1:6">
      <c r="A1175" s="1">
        <v>9124819</v>
      </c>
      <c r="B1175" s="1">
        <f t="shared" ca="1" si="81"/>
        <v>0.8354990539906908</v>
      </c>
      <c r="C1175" s="1">
        <f t="shared" ca="1" si="80"/>
        <v>27</v>
      </c>
      <c r="D1175" s="1">
        <f t="shared" ca="1" si="82"/>
        <v>398</v>
      </c>
      <c r="E1175" s="2">
        <f t="shared" ca="1" si="83"/>
        <v>42939</v>
      </c>
      <c r="F1175" s="6">
        <f t="shared" ca="1" si="84"/>
        <v>23.52024436938466</v>
      </c>
    </row>
    <row r="1176" spans="1:6">
      <c r="A1176" s="1">
        <v>9124822</v>
      </c>
      <c r="B1176" s="1">
        <f t="shared" ca="1" si="81"/>
        <v>0.6038212292460694</v>
      </c>
      <c r="C1176" s="1">
        <f t="shared" ca="1" si="80"/>
        <v>46</v>
      </c>
      <c r="D1176" s="1">
        <f t="shared" ca="1" si="82"/>
        <v>192</v>
      </c>
      <c r="E1176" s="2">
        <f t="shared" ca="1" si="83"/>
        <v>43166</v>
      </c>
      <c r="F1176" s="6">
        <f t="shared" ca="1" si="84"/>
        <v>3.2175529740961268</v>
      </c>
    </row>
    <row r="1177" spans="1:6">
      <c r="A1177" s="1">
        <v>9124825</v>
      </c>
      <c r="B1177" s="1">
        <f t="shared" ca="1" si="81"/>
        <v>0.68788602285278977</v>
      </c>
      <c r="C1177" s="1">
        <f t="shared" ca="1" si="80"/>
        <v>131</v>
      </c>
      <c r="D1177" s="1">
        <f t="shared" ca="1" si="82"/>
        <v>99</v>
      </c>
      <c r="E1177" s="2">
        <f t="shared" ca="1" si="83"/>
        <v>43222</v>
      </c>
      <c r="F1177" s="6">
        <f t="shared" ca="1" si="84"/>
        <v>19.367703050872457</v>
      </c>
    </row>
    <row r="1178" spans="1:6">
      <c r="A1178" s="1">
        <v>9124828</v>
      </c>
      <c r="B1178" s="1">
        <f t="shared" ca="1" si="81"/>
        <v>0.90242038091636723</v>
      </c>
      <c r="C1178" s="1">
        <f t="shared" ca="1" si="80"/>
        <v>16</v>
      </c>
      <c r="D1178" s="1">
        <f t="shared" ca="1" si="82"/>
        <v>465</v>
      </c>
      <c r="E1178" s="2">
        <f t="shared" ca="1" si="83"/>
        <v>43387</v>
      </c>
      <c r="F1178" s="6">
        <f t="shared" ca="1" si="84"/>
        <v>58.222191324752622</v>
      </c>
    </row>
    <row r="1179" spans="1:6">
      <c r="A1179" s="1">
        <v>9124831</v>
      </c>
      <c r="B1179" s="1">
        <f t="shared" ca="1" si="81"/>
        <v>0.45517486054291978</v>
      </c>
      <c r="C1179" s="1">
        <f t="shared" ref="C1179:C1242" ca="1" si="85">ROUND(_xlfn.GAMMA.INV(RAND(),$J$11,$J$12)*100,0)+1</f>
        <v>35</v>
      </c>
      <c r="D1179" s="1">
        <f t="shared" ca="1" si="82"/>
        <v>423</v>
      </c>
      <c r="E1179" s="2">
        <f t="shared" ca="1" si="83"/>
        <v>42970</v>
      </c>
      <c r="F1179" s="6">
        <f t="shared" ca="1" si="84"/>
        <v>44.060728224860874</v>
      </c>
    </row>
    <row r="1180" spans="1:6">
      <c r="A1180" s="1">
        <v>9124834</v>
      </c>
      <c r="B1180" s="1">
        <f t="shared" ca="1" si="81"/>
        <v>0.19533096714749587</v>
      </c>
      <c r="C1180" s="1">
        <f t="shared" ca="1" si="85"/>
        <v>103</v>
      </c>
      <c r="D1180" s="1">
        <f t="shared" ca="1" si="82"/>
        <v>55</v>
      </c>
      <c r="E1180" s="2">
        <f t="shared" ca="1" si="83"/>
        <v>43428</v>
      </c>
      <c r="F1180" s="6">
        <f t="shared" ca="1" si="84"/>
        <v>107.76223059186312</v>
      </c>
    </row>
    <row r="1181" spans="1:6">
      <c r="A1181" s="1">
        <v>9124837</v>
      </c>
      <c r="B1181" s="1">
        <f t="shared" ca="1" si="81"/>
        <v>0.51323991977331407</v>
      </c>
      <c r="C1181" s="1">
        <f t="shared" ca="1" si="85"/>
        <v>7</v>
      </c>
      <c r="D1181" s="1">
        <f t="shared" ca="1" si="82"/>
        <v>138</v>
      </c>
      <c r="E1181" s="2">
        <f t="shared" ca="1" si="83"/>
        <v>43418</v>
      </c>
      <c r="F1181" s="6">
        <f t="shared" ca="1" si="84"/>
        <v>16.278226846766493</v>
      </c>
    </row>
    <row r="1182" spans="1:6">
      <c r="A1182" s="1">
        <v>9124840</v>
      </c>
      <c r="B1182" s="1">
        <f t="shared" ca="1" si="81"/>
        <v>8.0421376301572534E-2</v>
      </c>
      <c r="C1182" s="1">
        <f t="shared" ca="1" si="85"/>
        <v>1</v>
      </c>
      <c r="D1182" s="1">
        <f t="shared" ca="1" si="82"/>
        <v>474</v>
      </c>
      <c r="E1182" s="2">
        <f t="shared" ca="1" si="83"/>
        <v>42842</v>
      </c>
      <c r="F1182" s="6">
        <f t="shared" ca="1" si="84"/>
        <v>17.878742352549118</v>
      </c>
    </row>
    <row r="1183" spans="1:6">
      <c r="A1183" s="1">
        <v>9124843</v>
      </c>
      <c r="B1183" s="1">
        <f t="shared" ca="1" si="81"/>
        <v>0.62168282728713387</v>
      </c>
      <c r="C1183" s="1">
        <f t="shared" ca="1" si="85"/>
        <v>7</v>
      </c>
      <c r="D1183" s="1">
        <f t="shared" ca="1" si="82"/>
        <v>138</v>
      </c>
      <c r="E1183" s="2">
        <f t="shared" ca="1" si="83"/>
        <v>43161</v>
      </c>
      <c r="F1183" s="6">
        <f t="shared" ca="1" si="84"/>
        <v>3.0576180947339844</v>
      </c>
    </row>
    <row r="1184" spans="1:6">
      <c r="A1184" s="1">
        <v>9124846</v>
      </c>
      <c r="B1184" s="1">
        <f t="shared" ca="1" si="81"/>
        <v>0.62057976215556776</v>
      </c>
      <c r="C1184" s="1">
        <f t="shared" ca="1" si="85"/>
        <v>16</v>
      </c>
      <c r="D1184" s="1">
        <f t="shared" ca="1" si="82"/>
        <v>465</v>
      </c>
      <c r="E1184" s="2">
        <f t="shared" ca="1" si="83"/>
        <v>42963</v>
      </c>
      <c r="F1184" s="6">
        <f t="shared" ca="1" si="84"/>
        <v>11.538003061562101</v>
      </c>
    </row>
    <row r="1185" spans="1:6">
      <c r="A1185" s="1">
        <v>9124849</v>
      </c>
      <c r="B1185" s="1">
        <f t="shared" ca="1" si="81"/>
        <v>5.3775719008004264E-2</v>
      </c>
      <c r="C1185" s="1">
        <f t="shared" ca="1" si="85"/>
        <v>3</v>
      </c>
      <c r="D1185" s="1">
        <f t="shared" ca="1" si="82"/>
        <v>263</v>
      </c>
      <c r="E1185" s="2">
        <f t="shared" ca="1" si="83"/>
        <v>43310</v>
      </c>
      <c r="F1185" s="6">
        <f t="shared" ca="1" si="84"/>
        <v>40.734820435403918</v>
      </c>
    </row>
    <row r="1186" spans="1:6">
      <c r="A1186" s="1">
        <v>9124852</v>
      </c>
      <c r="B1186" s="1">
        <f t="shared" ca="1" si="81"/>
        <v>0.57898041411818502</v>
      </c>
      <c r="C1186" s="1">
        <f t="shared" ca="1" si="85"/>
        <v>2</v>
      </c>
      <c r="D1186" s="1">
        <f t="shared" ca="1" si="82"/>
        <v>30</v>
      </c>
      <c r="E1186" s="2">
        <f t="shared" ca="1" si="83"/>
        <v>43113</v>
      </c>
      <c r="F1186" s="6">
        <f t="shared" ca="1" si="84"/>
        <v>99.036528825548345</v>
      </c>
    </row>
    <row r="1187" spans="1:6">
      <c r="A1187" s="1">
        <v>9124855</v>
      </c>
      <c r="B1187" s="1">
        <f t="shared" ca="1" si="81"/>
        <v>0.93405151188225688</v>
      </c>
      <c r="C1187" s="1">
        <f t="shared" ca="1" si="85"/>
        <v>27</v>
      </c>
      <c r="D1187" s="1">
        <f t="shared" ca="1" si="82"/>
        <v>398</v>
      </c>
      <c r="E1187" s="2">
        <f t="shared" ca="1" si="83"/>
        <v>43290</v>
      </c>
      <c r="F1187" s="6">
        <f t="shared" ca="1" si="84"/>
        <v>3.1058164505549062</v>
      </c>
    </row>
    <row r="1188" spans="1:6">
      <c r="A1188" s="1">
        <v>9124858</v>
      </c>
      <c r="B1188" s="1">
        <f t="shared" ca="1" si="81"/>
        <v>0.39467794750173246</v>
      </c>
      <c r="C1188" s="1">
        <f t="shared" ca="1" si="85"/>
        <v>9</v>
      </c>
      <c r="D1188" s="1">
        <f t="shared" ca="1" si="82"/>
        <v>278</v>
      </c>
      <c r="E1188" s="2">
        <f t="shared" ca="1" si="83"/>
        <v>43025</v>
      </c>
      <c r="F1188" s="6">
        <f t="shared" ca="1" si="84"/>
        <v>155.4537655917685</v>
      </c>
    </row>
    <row r="1189" spans="1:6">
      <c r="A1189" s="1">
        <v>9124861</v>
      </c>
      <c r="B1189" s="1">
        <f t="shared" ca="1" si="81"/>
        <v>0.42994006722788691</v>
      </c>
      <c r="C1189" s="1">
        <f t="shared" ca="1" si="85"/>
        <v>14</v>
      </c>
      <c r="D1189" s="1">
        <f t="shared" ca="1" si="82"/>
        <v>576</v>
      </c>
      <c r="E1189" s="2">
        <f t="shared" ca="1" si="83"/>
        <v>43306</v>
      </c>
      <c r="F1189" s="6">
        <f t="shared" ca="1" si="84"/>
        <v>11.997091735402428</v>
      </c>
    </row>
    <row r="1190" spans="1:6">
      <c r="A1190" s="1">
        <v>9124864</v>
      </c>
      <c r="B1190" s="1">
        <f t="shared" ca="1" si="81"/>
        <v>0.76240510669222461</v>
      </c>
      <c r="C1190" s="1">
        <f t="shared" ca="1" si="85"/>
        <v>1</v>
      </c>
      <c r="D1190" s="1">
        <f t="shared" ca="1" si="82"/>
        <v>474</v>
      </c>
      <c r="E1190" s="2">
        <f t="shared" ca="1" si="83"/>
        <v>42752</v>
      </c>
      <c r="F1190" s="6">
        <f t="shared" ca="1" si="84"/>
        <v>139.65002463943679</v>
      </c>
    </row>
    <row r="1191" spans="1:6">
      <c r="A1191" s="1">
        <v>9124867</v>
      </c>
      <c r="B1191" s="1">
        <f t="shared" ca="1" si="81"/>
        <v>3.0649541016112059E-2</v>
      </c>
      <c r="C1191" s="1">
        <f t="shared" ca="1" si="85"/>
        <v>14</v>
      </c>
      <c r="D1191" s="1">
        <f t="shared" ca="1" si="82"/>
        <v>576</v>
      </c>
      <c r="E1191" s="2">
        <f t="shared" ca="1" si="83"/>
        <v>42739</v>
      </c>
      <c r="F1191" s="6">
        <f t="shared" ca="1" si="84"/>
        <v>34.838230398549577</v>
      </c>
    </row>
    <row r="1192" spans="1:6">
      <c r="A1192" s="1">
        <v>9124870</v>
      </c>
      <c r="B1192" s="1">
        <f t="shared" ca="1" si="81"/>
        <v>0.57673329772459037</v>
      </c>
      <c r="C1192" s="1">
        <f t="shared" ca="1" si="85"/>
        <v>34</v>
      </c>
      <c r="D1192" s="1">
        <f t="shared" ca="1" si="82"/>
        <v>503</v>
      </c>
      <c r="E1192" s="2">
        <f t="shared" ca="1" si="83"/>
        <v>43305</v>
      </c>
      <c r="F1192" s="6">
        <f t="shared" ca="1" si="84"/>
        <v>41.089671530090172</v>
      </c>
    </row>
    <row r="1193" spans="1:6">
      <c r="A1193" s="1">
        <v>9124873</v>
      </c>
      <c r="B1193" s="1">
        <f t="shared" ca="1" si="81"/>
        <v>7.7426140636367546E-2</v>
      </c>
      <c r="C1193" s="1">
        <f t="shared" ca="1" si="85"/>
        <v>23</v>
      </c>
      <c r="D1193" s="1">
        <f t="shared" ca="1" si="82"/>
        <v>516</v>
      </c>
      <c r="E1193" s="2">
        <f t="shared" ca="1" si="83"/>
        <v>42863</v>
      </c>
      <c r="F1193" s="6">
        <f t="shared" ca="1" si="84"/>
        <v>4.4826440674580592</v>
      </c>
    </row>
    <row r="1194" spans="1:6">
      <c r="A1194" s="1">
        <v>9124876</v>
      </c>
      <c r="B1194" s="1">
        <f t="shared" ca="1" si="81"/>
        <v>0.1846502412702401</v>
      </c>
      <c r="C1194" s="1">
        <f t="shared" ca="1" si="85"/>
        <v>106</v>
      </c>
      <c r="D1194" s="1">
        <f t="shared" ca="1" si="82"/>
        <v>238</v>
      </c>
      <c r="E1194" s="2">
        <f t="shared" ca="1" si="83"/>
        <v>42938</v>
      </c>
      <c r="F1194" s="6">
        <f t="shared" ca="1" si="84"/>
        <v>24.881221976205296</v>
      </c>
    </row>
    <row r="1195" spans="1:6">
      <c r="A1195" s="1">
        <v>9124879</v>
      </c>
      <c r="B1195" s="1">
        <f t="shared" ca="1" si="81"/>
        <v>0.59485538570939089</v>
      </c>
      <c r="C1195" s="1">
        <f t="shared" ca="1" si="85"/>
        <v>65</v>
      </c>
      <c r="D1195" s="1">
        <f t="shared" ca="1" si="82"/>
        <v>463</v>
      </c>
      <c r="E1195" s="2">
        <f t="shared" ca="1" si="83"/>
        <v>43040</v>
      </c>
      <c r="F1195" s="6">
        <f t="shared" ca="1" si="84"/>
        <v>77.755771599699841</v>
      </c>
    </row>
    <row r="1196" spans="1:6">
      <c r="A1196" s="1">
        <v>9124882</v>
      </c>
      <c r="B1196" s="1">
        <f t="shared" ca="1" si="81"/>
        <v>0.13164678740979829</v>
      </c>
      <c r="C1196" s="1">
        <f t="shared" ca="1" si="85"/>
        <v>1</v>
      </c>
      <c r="D1196" s="1">
        <f t="shared" ca="1" si="82"/>
        <v>474</v>
      </c>
      <c r="E1196" s="2">
        <f t="shared" ca="1" si="83"/>
        <v>43091</v>
      </c>
      <c r="F1196" s="6">
        <f t="shared" ca="1" si="84"/>
        <v>135.97236832483225</v>
      </c>
    </row>
    <row r="1197" spans="1:6">
      <c r="A1197" s="1">
        <v>9124885</v>
      </c>
      <c r="B1197" s="1">
        <f t="shared" ca="1" si="81"/>
        <v>0.90786798099978816</v>
      </c>
      <c r="C1197" s="1">
        <f t="shared" ca="1" si="85"/>
        <v>30</v>
      </c>
      <c r="D1197" s="1">
        <f t="shared" ca="1" si="82"/>
        <v>53</v>
      </c>
      <c r="E1197" s="2">
        <f t="shared" ca="1" si="83"/>
        <v>42802</v>
      </c>
      <c r="F1197" s="6">
        <f t="shared" ca="1" si="84"/>
        <v>22.421596868224764</v>
      </c>
    </row>
    <row r="1198" spans="1:6">
      <c r="A1198" s="1">
        <v>9124888</v>
      </c>
      <c r="B1198" s="1">
        <f t="shared" ca="1" si="81"/>
        <v>0.81145728604087997</v>
      </c>
      <c r="C1198" s="1">
        <f t="shared" ca="1" si="85"/>
        <v>6</v>
      </c>
      <c r="D1198" s="1">
        <f t="shared" ca="1" si="82"/>
        <v>208</v>
      </c>
      <c r="E1198" s="2">
        <f t="shared" ca="1" si="83"/>
        <v>42745</v>
      </c>
      <c r="F1198" s="6">
        <f t="shared" ca="1" si="84"/>
        <v>30.004589554703497</v>
      </c>
    </row>
    <row r="1199" spans="1:6">
      <c r="A1199" s="1">
        <v>9124891</v>
      </c>
      <c r="B1199" s="1">
        <f t="shared" ca="1" si="81"/>
        <v>0.8732426465651939</v>
      </c>
      <c r="C1199" s="1">
        <f t="shared" ca="1" si="85"/>
        <v>52</v>
      </c>
      <c r="D1199" s="1">
        <f t="shared" ca="1" si="82"/>
        <v>574</v>
      </c>
      <c r="E1199" s="2">
        <f t="shared" ca="1" si="83"/>
        <v>42902</v>
      </c>
      <c r="F1199" s="6">
        <f t="shared" ca="1" si="84"/>
        <v>6.0582860453299983</v>
      </c>
    </row>
    <row r="1200" spans="1:6">
      <c r="A1200" s="1">
        <v>9124894</v>
      </c>
      <c r="B1200" s="1">
        <f t="shared" ca="1" si="81"/>
        <v>0.59677977388747228</v>
      </c>
      <c r="C1200" s="1">
        <f t="shared" ca="1" si="85"/>
        <v>103</v>
      </c>
      <c r="D1200" s="1">
        <f t="shared" ca="1" si="82"/>
        <v>55</v>
      </c>
      <c r="E1200" s="2">
        <f t="shared" ca="1" si="83"/>
        <v>42942</v>
      </c>
      <c r="F1200" s="6">
        <f t="shared" ca="1" si="84"/>
        <v>132.46939878155456</v>
      </c>
    </row>
    <row r="1201" spans="1:6">
      <c r="A1201" s="1">
        <v>9124897</v>
      </c>
      <c r="B1201" s="1">
        <f t="shared" ca="1" si="81"/>
        <v>0.6167643075492707</v>
      </c>
      <c r="C1201" s="1">
        <f t="shared" ca="1" si="85"/>
        <v>21</v>
      </c>
      <c r="D1201" s="1">
        <f t="shared" ca="1" si="82"/>
        <v>566</v>
      </c>
      <c r="E1201" s="2">
        <f t="shared" ca="1" si="83"/>
        <v>42993</v>
      </c>
      <c r="F1201" s="6">
        <f t="shared" ca="1" si="84"/>
        <v>7.9828043276149678</v>
      </c>
    </row>
    <row r="1202" spans="1:6">
      <c r="A1202" s="1">
        <v>9124900</v>
      </c>
      <c r="B1202" s="1">
        <f t="shared" ca="1" si="81"/>
        <v>0.63774530088548398</v>
      </c>
      <c r="C1202" s="1">
        <f t="shared" ca="1" si="85"/>
        <v>71</v>
      </c>
      <c r="D1202" s="1">
        <f t="shared" ca="1" si="82"/>
        <v>281</v>
      </c>
      <c r="E1202" s="2">
        <f t="shared" ca="1" si="83"/>
        <v>43302</v>
      </c>
      <c r="F1202" s="6">
        <f t="shared" ca="1" si="84"/>
        <v>7.9033019919156331</v>
      </c>
    </row>
    <row r="1203" spans="1:6">
      <c r="A1203" s="1">
        <v>9124903</v>
      </c>
      <c r="B1203" s="1">
        <f t="shared" ca="1" si="81"/>
        <v>0.70600692159483258</v>
      </c>
      <c r="C1203" s="1">
        <f t="shared" ca="1" si="85"/>
        <v>319</v>
      </c>
      <c r="D1203" s="1">
        <f t="shared" ca="1" si="82"/>
        <v>532</v>
      </c>
      <c r="E1203" s="2">
        <f t="shared" ca="1" si="83"/>
        <v>43032</v>
      </c>
      <c r="F1203" s="6">
        <f t="shared" ca="1" si="84"/>
        <v>7.4531166760440861</v>
      </c>
    </row>
    <row r="1204" spans="1:6">
      <c r="A1204" s="1">
        <v>9124906</v>
      </c>
      <c r="B1204" s="1">
        <f t="shared" ca="1" si="81"/>
        <v>0.17833484617422035</v>
      </c>
      <c r="C1204" s="1">
        <f t="shared" ca="1" si="85"/>
        <v>12</v>
      </c>
      <c r="D1204" s="1">
        <f t="shared" ca="1" si="82"/>
        <v>292</v>
      </c>
      <c r="E1204" s="2">
        <f t="shared" ca="1" si="83"/>
        <v>42822</v>
      </c>
      <c r="F1204" s="6">
        <f t="shared" ca="1" si="84"/>
        <v>62.652166933436909</v>
      </c>
    </row>
    <row r="1205" spans="1:6">
      <c r="A1205" s="1">
        <v>9124909</v>
      </c>
      <c r="B1205" s="1">
        <f t="shared" ca="1" si="81"/>
        <v>0.41122670192312849</v>
      </c>
      <c r="C1205" s="1">
        <f t="shared" ca="1" si="85"/>
        <v>11</v>
      </c>
      <c r="D1205" s="1">
        <f t="shared" ca="1" si="82"/>
        <v>437</v>
      </c>
      <c r="E1205" s="2">
        <f t="shared" ca="1" si="83"/>
        <v>43124</v>
      </c>
      <c r="F1205" s="6">
        <f t="shared" ca="1" si="84"/>
        <v>125.19285912693934</v>
      </c>
    </row>
    <row r="1206" spans="1:6">
      <c r="A1206" s="1">
        <v>9124912</v>
      </c>
      <c r="B1206" s="1">
        <f t="shared" ca="1" si="81"/>
        <v>0.66702481384690482</v>
      </c>
      <c r="C1206" s="1">
        <f t="shared" ca="1" si="85"/>
        <v>324</v>
      </c>
      <c r="D1206" s="1">
        <f t="shared" ca="1" si="82"/>
        <v>507</v>
      </c>
      <c r="E1206" s="2">
        <f t="shared" ca="1" si="83"/>
        <v>43249</v>
      </c>
      <c r="F1206" s="6">
        <f t="shared" ca="1" si="84"/>
        <v>43.379151079352646</v>
      </c>
    </row>
    <row r="1207" spans="1:6">
      <c r="A1207" s="1">
        <v>9124915</v>
      </c>
      <c r="B1207" s="1">
        <f t="shared" ca="1" si="81"/>
        <v>6.5932276784128274E-2</v>
      </c>
      <c r="C1207" s="1">
        <f t="shared" ca="1" si="85"/>
        <v>58</v>
      </c>
      <c r="D1207" s="1">
        <f t="shared" ca="1" si="82"/>
        <v>19</v>
      </c>
      <c r="E1207" s="2">
        <f t="shared" ca="1" si="83"/>
        <v>42865</v>
      </c>
      <c r="F1207" s="6">
        <f t="shared" ca="1" si="84"/>
        <v>88.217044937331281</v>
      </c>
    </row>
    <row r="1208" spans="1:6">
      <c r="A1208" s="1">
        <v>9124918</v>
      </c>
      <c r="B1208" s="1">
        <f t="shared" ca="1" si="81"/>
        <v>0.34581358808297824</v>
      </c>
      <c r="C1208" s="1">
        <f t="shared" ca="1" si="85"/>
        <v>6</v>
      </c>
      <c r="D1208" s="1">
        <f t="shared" ca="1" si="82"/>
        <v>208</v>
      </c>
      <c r="E1208" s="2">
        <f t="shared" ca="1" si="83"/>
        <v>43077</v>
      </c>
      <c r="F1208" s="6">
        <f t="shared" ca="1" si="84"/>
        <v>76.810901606650532</v>
      </c>
    </row>
    <row r="1209" spans="1:6">
      <c r="A1209" s="1">
        <v>9124921</v>
      </c>
      <c r="B1209" s="1">
        <f t="shared" ca="1" si="81"/>
        <v>0.72643718739476149</v>
      </c>
      <c r="C1209" s="1">
        <f t="shared" ca="1" si="85"/>
        <v>1</v>
      </c>
      <c r="D1209" s="1">
        <f t="shared" ca="1" si="82"/>
        <v>474</v>
      </c>
      <c r="E1209" s="2">
        <f t="shared" ca="1" si="83"/>
        <v>43092</v>
      </c>
      <c r="F1209" s="6">
        <f t="shared" ca="1" si="84"/>
        <v>13.352601219061027</v>
      </c>
    </row>
    <row r="1210" spans="1:6">
      <c r="A1210" s="1">
        <v>9124924</v>
      </c>
      <c r="B1210" s="1">
        <f t="shared" ca="1" si="81"/>
        <v>0.5499771123318995</v>
      </c>
      <c r="C1210" s="1">
        <f t="shared" ca="1" si="85"/>
        <v>27</v>
      </c>
      <c r="D1210" s="1">
        <f t="shared" ca="1" si="82"/>
        <v>398</v>
      </c>
      <c r="E1210" s="2">
        <f t="shared" ca="1" si="83"/>
        <v>42906</v>
      </c>
      <c r="F1210" s="6">
        <f t="shared" ca="1" si="84"/>
        <v>3.9949613593194639</v>
      </c>
    </row>
    <row r="1211" spans="1:6">
      <c r="A1211" s="1">
        <v>9124927</v>
      </c>
      <c r="B1211" s="1">
        <f t="shared" ca="1" si="81"/>
        <v>0.79433904367581765</v>
      </c>
      <c r="C1211" s="1">
        <f t="shared" ca="1" si="85"/>
        <v>2</v>
      </c>
      <c r="D1211" s="1">
        <f t="shared" ca="1" si="82"/>
        <v>30</v>
      </c>
      <c r="E1211" s="2">
        <f t="shared" ca="1" si="83"/>
        <v>43485</v>
      </c>
      <c r="F1211" s="6">
        <f t="shared" ca="1" si="84"/>
        <v>3.1872435242367914</v>
      </c>
    </row>
    <row r="1212" spans="1:6">
      <c r="A1212" s="1">
        <v>9124930</v>
      </c>
      <c r="B1212" s="1">
        <f t="shared" ca="1" si="81"/>
        <v>0.19427812991496618</v>
      </c>
      <c r="C1212" s="1">
        <f t="shared" ca="1" si="85"/>
        <v>127</v>
      </c>
      <c r="D1212" s="1">
        <f t="shared" ca="1" si="82"/>
        <v>68</v>
      </c>
      <c r="E1212" s="2">
        <f t="shared" ca="1" si="83"/>
        <v>43347</v>
      </c>
      <c r="F1212" s="6">
        <f t="shared" ca="1" si="84"/>
        <v>11.562404667138491</v>
      </c>
    </row>
    <row r="1213" spans="1:6">
      <c r="A1213" s="1">
        <v>9124933</v>
      </c>
      <c r="B1213" s="1">
        <f t="shared" ca="1" si="81"/>
        <v>0.92701546647565536</v>
      </c>
      <c r="C1213" s="1">
        <f t="shared" ca="1" si="85"/>
        <v>104</v>
      </c>
      <c r="D1213" s="1">
        <f t="shared" ca="1" si="82"/>
        <v>560</v>
      </c>
      <c r="E1213" s="2">
        <f t="shared" ca="1" si="83"/>
        <v>42776</v>
      </c>
      <c r="F1213" s="6">
        <f t="shared" ca="1" si="84"/>
        <v>30.5367200392601</v>
      </c>
    </row>
    <row r="1214" spans="1:6">
      <c r="A1214" s="1">
        <v>9124936</v>
      </c>
      <c r="B1214" s="1">
        <f t="shared" ca="1" si="81"/>
        <v>0.57869567800791555</v>
      </c>
      <c r="C1214" s="1">
        <f t="shared" ca="1" si="85"/>
        <v>61</v>
      </c>
      <c r="D1214" s="1">
        <f t="shared" ca="1" si="82"/>
        <v>92</v>
      </c>
      <c r="E1214" s="2">
        <f t="shared" ca="1" si="83"/>
        <v>42818</v>
      </c>
      <c r="F1214" s="6">
        <f t="shared" ca="1" si="84"/>
        <v>29.043942569305482</v>
      </c>
    </row>
    <row r="1215" spans="1:6">
      <c r="A1215" s="1">
        <v>9124939</v>
      </c>
      <c r="B1215" s="1">
        <f t="shared" ca="1" si="81"/>
        <v>1.6916268470135498E-2</v>
      </c>
      <c r="C1215" s="1">
        <f t="shared" ca="1" si="85"/>
        <v>3</v>
      </c>
      <c r="D1215" s="1">
        <f t="shared" ca="1" si="82"/>
        <v>263</v>
      </c>
      <c r="E1215" s="2">
        <f t="shared" ca="1" si="83"/>
        <v>43242</v>
      </c>
      <c r="F1215" s="6">
        <f t="shared" ca="1" si="84"/>
        <v>3.60829574552809</v>
      </c>
    </row>
    <row r="1216" spans="1:6">
      <c r="A1216" s="1">
        <v>9124942</v>
      </c>
      <c r="B1216" s="1">
        <f t="shared" ca="1" si="81"/>
        <v>0.24529133003555825</v>
      </c>
      <c r="C1216" s="1">
        <f t="shared" ca="1" si="85"/>
        <v>19</v>
      </c>
      <c r="D1216" s="1">
        <f t="shared" ca="1" si="82"/>
        <v>42</v>
      </c>
      <c r="E1216" s="2">
        <f t="shared" ca="1" si="83"/>
        <v>43151</v>
      </c>
      <c r="F1216" s="6">
        <f t="shared" ca="1" si="84"/>
        <v>65.073370245955587</v>
      </c>
    </row>
    <row r="1217" spans="1:6">
      <c r="A1217" s="1">
        <v>9124945</v>
      </c>
      <c r="B1217" s="1">
        <f t="shared" ca="1" si="81"/>
        <v>0.67692055190020006</v>
      </c>
      <c r="C1217" s="1">
        <f t="shared" ca="1" si="85"/>
        <v>4</v>
      </c>
      <c r="D1217" s="1">
        <f t="shared" ca="1" si="82"/>
        <v>493</v>
      </c>
      <c r="E1217" s="2">
        <f t="shared" ca="1" si="83"/>
        <v>43216</v>
      </c>
      <c r="F1217" s="6">
        <f t="shared" ca="1" si="84"/>
        <v>4.7321917848117643</v>
      </c>
    </row>
    <row r="1218" spans="1:6">
      <c r="A1218" s="1">
        <v>9124948</v>
      </c>
      <c r="B1218" s="1">
        <f t="shared" ref="B1218:B1281" ca="1" si="86">RAND()</f>
        <v>0.41530422538685086</v>
      </c>
      <c r="C1218" s="1">
        <f t="shared" ca="1" si="85"/>
        <v>76</v>
      </c>
      <c r="D1218" s="1">
        <f t="shared" ca="1" si="82"/>
        <v>293</v>
      </c>
      <c r="E1218" s="2">
        <f t="shared" ca="1" si="83"/>
        <v>43340</v>
      </c>
      <c r="F1218" s="6">
        <f t="shared" ca="1" si="84"/>
        <v>28.543098106689559</v>
      </c>
    </row>
    <row r="1219" spans="1:6">
      <c r="A1219" s="1">
        <v>9124951</v>
      </c>
      <c r="B1219" s="1">
        <f t="shared" ca="1" si="86"/>
        <v>0.18060141223323978</v>
      </c>
      <c r="C1219" s="1">
        <f t="shared" ca="1" si="85"/>
        <v>7</v>
      </c>
      <c r="D1219" s="1">
        <f t="shared" ref="D1219:D1282" ca="1" si="87">VLOOKUP(SMALL($B$2:$B$601,C1219),$B$2:$C$601,2,FALSE)</f>
        <v>138</v>
      </c>
      <c r="E1219" s="2">
        <f t="shared" ref="E1219:E1282" ca="1" si="88">RANDBETWEEN("1/1/17","2/1/19")</f>
        <v>43327</v>
      </c>
      <c r="F1219" s="6">
        <f t="shared" ref="F1219:F1282" ca="1" si="89">_xlfn.GAMMA.INV(RAND(),$J$6,$J$7)*100+3</f>
        <v>96.32487220893951</v>
      </c>
    </row>
    <row r="1220" spans="1:6">
      <c r="A1220" s="1">
        <v>9124954</v>
      </c>
      <c r="B1220" s="1">
        <f t="shared" ca="1" si="86"/>
        <v>0.81500692591782642</v>
      </c>
      <c r="C1220" s="1">
        <f t="shared" ca="1" si="85"/>
        <v>11</v>
      </c>
      <c r="D1220" s="1">
        <f t="shared" ca="1" si="87"/>
        <v>437</v>
      </c>
      <c r="E1220" s="2">
        <f t="shared" ca="1" si="88"/>
        <v>42801</v>
      </c>
      <c r="F1220" s="6">
        <f t="shared" ca="1" si="89"/>
        <v>13.413899320880457</v>
      </c>
    </row>
    <row r="1221" spans="1:6">
      <c r="A1221" s="1">
        <v>9124957</v>
      </c>
      <c r="B1221" s="1">
        <f t="shared" ca="1" si="86"/>
        <v>0.88568917434510741</v>
      </c>
      <c r="C1221" s="1">
        <f t="shared" ca="1" si="85"/>
        <v>87</v>
      </c>
      <c r="D1221" s="1">
        <f t="shared" ca="1" si="87"/>
        <v>551</v>
      </c>
      <c r="E1221" s="2">
        <f t="shared" ca="1" si="88"/>
        <v>43322</v>
      </c>
      <c r="F1221" s="6">
        <f t="shared" ca="1" si="89"/>
        <v>3.2330275467748368</v>
      </c>
    </row>
    <row r="1222" spans="1:6">
      <c r="A1222" s="1">
        <v>9124960</v>
      </c>
      <c r="B1222" s="1">
        <f t="shared" ca="1" si="86"/>
        <v>0.55556645746471711</v>
      </c>
      <c r="C1222" s="1">
        <f t="shared" ca="1" si="85"/>
        <v>76</v>
      </c>
      <c r="D1222" s="1">
        <f t="shared" ca="1" si="87"/>
        <v>293</v>
      </c>
      <c r="E1222" s="2">
        <f t="shared" ca="1" si="88"/>
        <v>43146</v>
      </c>
      <c r="F1222" s="6">
        <f t="shared" ca="1" si="89"/>
        <v>76.054360548483174</v>
      </c>
    </row>
    <row r="1223" spans="1:6">
      <c r="A1223" s="1">
        <v>9124963</v>
      </c>
      <c r="B1223" s="1">
        <f t="shared" ca="1" si="86"/>
        <v>0.93383509067932058</v>
      </c>
      <c r="C1223" s="1">
        <f t="shared" ca="1" si="85"/>
        <v>4</v>
      </c>
      <c r="D1223" s="1">
        <f t="shared" ca="1" si="87"/>
        <v>493</v>
      </c>
      <c r="E1223" s="2">
        <f t="shared" ca="1" si="88"/>
        <v>43347</v>
      </c>
      <c r="F1223" s="6">
        <f t="shared" ca="1" si="89"/>
        <v>22.600403620365945</v>
      </c>
    </row>
    <row r="1224" spans="1:6">
      <c r="A1224" s="1">
        <v>9124966</v>
      </c>
      <c r="B1224" s="1">
        <f t="shared" ca="1" si="86"/>
        <v>0.33102734843491333</v>
      </c>
      <c r="C1224" s="1">
        <f t="shared" ca="1" si="85"/>
        <v>7</v>
      </c>
      <c r="D1224" s="1">
        <f t="shared" ca="1" si="87"/>
        <v>138</v>
      </c>
      <c r="E1224" s="2">
        <f t="shared" ca="1" si="88"/>
        <v>42848</v>
      </c>
      <c r="F1224" s="6">
        <f t="shared" ca="1" si="89"/>
        <v>6.0392276715975104</v>
      </c>
    </row>
    <row r="1225" spans="1:6">
      <c r="A1225" s="1">
        <v>9124969</v>
      </c>
      <c r="B1225" s="1">
        <f t="shared" ca="1" si="86"/>
        <v>0.4231370901683551</v>
      </c>
      <c r="C1225" s="1">
        <f t="shared" ca="1" si="85"/>
        <v>51</v>
      </c>
      <c r="D1225" s="1">
        <f t="shared" ca="1" si="87"/>
        <v>93</v>
      </c>
      <c r="E1225" s="2">
        <f t="shared" ca="1" si="88"/>
        <v>43088</v>
      </c>
      <c r="F1225" s="6">
        <f t="shared" ca="1" si="89"/>
        <v>6.6370501441618615</v>
      </c>
    </row>
    <row r="1226" spans="1:6">
      <c r="A1226" s="1">
        <v>9124972</v>
      </c>
      <c r="B1226" s="1">
        <f t="shared" ca="1" si="86"/>
        <v>0.31345508306452119</v>
      </c>
      <c r="C1226" s="1">
        <f t="shared" ca="1" si="85"/>
        <v>199</v>
      </c>
      <c r="D1226" s="1">
        <f t="shared" ca="1" si="87"/>
        <v>221</v>
      </c>
      <c r="E1226" s="2">
        <f t="shared" ca="1" si="88"/>
        <v>42924</v>
      </c>
      <c r="F1226" s="6">
        <f t="shared" ca="1" si="89"/>
        <v>5.6610652538936259</v>
      </c>
    </row>
    <row r="1227" spans="1:6">
      <c r="A1227" s="1">
        <v>9124975</v>
      </c>
      <c r="B1227" s="1">
        <f t="shared" ca="1" si="86"/>
        <v>0.32465124082081731</v>
      </c>
      <c r="C1227" s="1">
        <f t="shared" ca="1" si="85"/>
        <v>68</v>
      </c>
      <c r="D1227" s="1">
        <f t="shared" ca="1" si="87"/>
        <v>467</v>
      </c>
      <c r="E1227" s="2">
        <f t="shared" ca="1" si="88"/>
        <v>42747</v>
      </c>
      <c r="F1227" s="6">
        <f t="shared" ca="1" si="89"/>
        <v>208.36936060934426</v>
      </c>
    </row>
    <row r="1228" spans="1:6">
      <c r="A1228" s="1">
        <v>9124978</v>
      </c>
      <c r="B1228" s="1">
        <f t="shared" ca="1" si="86"/>
        <v>0.42949235173553812</v>
      </c>
      <c r="C1228" s="1">
        <f t="shared" ca="1" si="85"/>
        <v>4</v>
      </c>
      <c r="D1228" s="1">
        <f t="shared" ca="1" si="87"/>
        <v>493</v>
      </c>
      <c r="E1228" s="2">
        <f t="shared" ca="1" si="88"/>
        <v>43191</v>
      </c>
      <c r="F1228" s="6">
        <f t="shared" ca="1" si="89"/>
        <v>3.1345029838030709</v>
      </c>
    </row>
    <row r="1229" spans="1:6">
      <c r="A1229" s="1">
        <v>9124981</v>
      </c>
      <c r="B1229" s="1">
        <f t="shared" ca="1" si="86"/>
        <v>3.7221098206691505E-2</v>
      </c>
      <c r="C1229" s="1">
        <f t="shared" ca="1" si="85"/>
        <v>12</v>
      </c>
      <c r="D1229" s="1">
        <f t="shared" ca="1" si="87"/>
        <v>292</v>
      </c>
      <c r="E1229" s="2">
        <f t="shared" ca="1" si="88"/>
        <v>43319</v>
      </c>
      <c r="F1229" s="6">
        <f t="shared" ca="1" si="89"/>
        <v>5.0609919291302141</v>
      </c>
    </row>
    <row r="1230" spans="1:6">
      <c r="A1230" s="1">
        <v>9124984</v>
      </c>
      <c r="B1230" s="1">
        <f t="shared" ca="1" si="86"/>
        <v>0.55641750820477021</v>
      </c>
      <c r="C1230" s="1">
        <f t="shared" ca="1" si="85"/>
        <v>2</v>
      </c>
      <c r="D1230" s="1">
        <f t="shared" ca="1" si="87"/>
        <v>30</v>
      </c>
      <c r="E1230" s="2">
        <f t="shared" ca="1" si="88"/>
        <v>42783</v>
      </c>
      <c r="F1230" s="6">
        <f t="shared" ca="1" si="89"/>
        <v>16.864832731337657</v>
      </c>
    </row>
    <row r="1231" spans="1:6">
      <c r="A1231" s="1">
        <v>9124987</v>
      </c>
      <c r="B1231" s="1">
        <f t="shared" ca="1" si="86"/>
        <v>0.39541657458102064</v>
      </c>
      <c r="C1231" s="1">
        <f t="shared" ca="1" si="85"/>
        <v>34</v>
      </c>
      <c r="D1231" s="1">
        <f t="shared" ca="1" si="87"/>
        <v>503</v>
      </c>
      <c r="E1231" s="2">
        <f t="shared" ca="1" si="88"/>
        <v>43008</v>
      </c>
      <c r="F1231" s="6">
        <f t="shared" ca="1" si="89"/>
        <v>85.067138000557463</v>
      </c>
    </row>
    <row r="1232" spans="1:6">
      <c r="A1232" s="1">
        <v>9124990</v>
      </c>
      <c r="B1232" s="1">
        <f t="shared" ca="1" si="86"/>
        <v>0.1752122604404357</v>
      </c>
      <c r="C1232" s="1">
        <f t="shared" ca="1" si="85"/>
        <v>195</v>
      </c>
      <c r="D1232" s="1">
        <f t="shared" ca="1" si="87"/>
        <v>310</v>
      </c>
      <c r="E1232" s="2">
        <f t="shared" ca="1" si="88"/>
        <v>43263</v>
      </c>
      <c r="F1232" s="6">
        <f t="shared" ca="1" si="89"/>
        <v>3.8685502162157932</v>
      </c>
    </row>
    <row r="1233" spans="1:6">
      <c r="A1233" s="1">
        <v>9124993</v>
      </c>
      <c r="B1233" s="1">
        <f t="shared" ca="1" si="86"/>
        <v>0.21171335806769864</v>
      </c>
      <c r="C1233" s="1">
        <f t="shared" ca="1" si="85"/>
        <v>114</v>
      </c>
      <c r="D1233" s="1">
        <f t="shared" ca="1" si="87"/>
        <v>581</v>
      </c>
      <c r="E1233" s="2">
        <f t="shared" ca="1" si="88"/>
        <v>42756</v>
      </c>
      <c r="F1233" s="6">
        <f t="shared" ca="1" si="89"/>
        <v>60.182462802686508</v>
      </c>
    </row>
    <row r="1234" spans="1:6">
      <c r="A1234" s="1">
        <v>9124996</v>
      </c>
      <c r="B1234" s="1">
        <f t="shared" ca="1" si="86"/>
        <v>0.40022164025246509</v>
      </c>
      <c r="C1234" s="1">
        <f t="shared" ca="1" si="85"/>
        <v>8</v>
      </c>
      <c r="D1234" s="1">
        <f t="shared" ca="1" si="87"/>
        <v>456</v>
      </c>
      <c r="E1234" s="2">
        <f t="shared" ca="1" si="88"/>
        <v>43115</v>
      </c>
      <c r="F1234" s="6">
        <f t="shared" ca="1" si="89"/>
        <v>7.0455144819999296</v>
      </c>
    </row>
    <row r="1235" spans="1:6">
      <c r="A1235" s="1">
        <v>9124999</v>
      </c>
      <c r="B1235" s="1">
        <f t="shared" ca="1" si="86"/>
        <v>0.25510854799203986</v>
      </c>
      <c r="C1235" s="1">
        <f t="shared" ca="1" si="85"/>
        <v>4</v>
      </c>
      <c r="D1235" s="1">
        <f t="shared" ca="1" si="87"/>
        <v>493</v>
      </c>
      <c r="E1235" s="2">
        <f t="shared" ca="1" si="88"/>
        <v>43156</v>
      </c>
      <c r="F1235" s="6">
        <f t="shared" ca="1" si="89"/>
        <v>38.923035264719303</v>
      </c>
    </row>
    <row r="1236" spans="1:6">
      <c r="A1236" s="1">
        <v>9125002</v>
      </c>
      <c r="B1236" s="1">
        <f t="shared" ca="1" si="86"/>
        <v>0.66918036971660244</v>
      </c>
      <c r="C1236" s="1">
        <f t="shared" ca="1" si="85"/>
        <v>62</v>
      </c>
      <c r="D1236" s="1">
        <f t="shared" ca="1" si="87"/>
        <v>235</v>
      </c>
      <c r="E1236" s="2">
        <f t="shared" ca="1" si="88"/>
        <v>43088</v>
      </c>
      <c r="F1236" s="6">
        <f t="shared" ca="1" si="89"/>
        <v>70.876686942134285</v>
      </c>
    </row>
    <row r="1237" spans="1:6">
      <c r="A1237" s="1">
        <v>9125005</v>
      </c>
      <c r="B1237" s="1">
        <f t="shared" ca="1" si="86"/>
        <v>0.86570190018635873</v>
      </c>
      <c r="C1237" s="1">
        <f t="shared" ca="1" si="85"/>
        <v>16</v>
      </c>
      <c r="D1237" s="1">
        <f t="shared" ca="1" si="87"/>
        <v>465</v>
      </c>
      <c r="E1237" s="2">
        <f t="shared" ca="1" si="88"/>
        <v>43379</v>
      </c>
      <c r="F1237" s="6">
        <f t="shared" ca="1" si="89"/>
        <v>149.36105332788773</v>
      </c>
    </row>
    <row r="1238" spans="1:6">
      <c r="A1238" s="1">
        <v>9125008</v>
      </c>
      <c r="B1238" s="1">
        <f t="shared" ca="1" si="86"/>
        <v>0.46483252259427688</v>
      </c>
      <c r="C1238" s="1">
        <f t="shared" ca="1" si="85"/>
        <v>77</v>
      </c>
      <c r="D1238" s="1">
        <f t="shared" ca="1" si="87"/>
        <v>552</v>
      </c>
      <c r="E1238" s="2">
        <f t="shared" ca="1" si="88"/>
        <v>42746</v>
      </c>
      <c r="F1238" s="6">
        <f t="shared" ca="1" si="89"/>
        <v>16.293726209906758</v>
      </c>
    </row>
    <row r="1239" spans="1:6">
      <c r="A1239" s="1">
        <v>9125011</v>
      </c>
      <c r="B1239" s="1">
        <f t="shared" ca="1" si="86"/>
        <v>0.28049424476527862</v>
      </c>
      <c r="C1239" s="1">
        <f t="shared" ca="1" si="85"/>
        <v>29</v>
      </c>
      <c r="D1239" s="1">
        <f t="shared" ca="1" si="87"/>
        <v>514</v>
      </c>
      <c r="E1239" s="2">
        <f t="shared" ca="1" si="88"/>
        <v>42963</v>
      </c>
      <c r="F1239" s="6">
        <f t="shared" ca="1" si="89"/>
        <v>4.2220266610644206</v>
      </c>
    </row>
    <row r="1240" spans="1:6">
      <c r="A1240" s="1">
        <v>9125014</v>
      </c>
      <c r="B1240" s="1">
        <f t="shared" ca="1" si="86"/>
        <v>0.52399754648592234</v>
      </c>
      <c r="C1240" s="1">
        <f t="shared" ca="1" si="85"/>
        <v>2</v>
      </c>
      <c r="D1240" s="1">
        <f t="shared" ca="1" si="87"/>
        <v>30</v>
      </c>
      <c r="E1240" s="2">
        <f t="shared" ca="1" si="88"/>
        <v>42959</v>
      </c>
      <c r="F1240" s="6">
        <f t="shared" ca="1" si="89"/>
        <v>5.8927325900322867</v>
      </c>
    </row>
    <row r="1241" spans="1:6">
      <c r="A1241" s="1">
        <v>9125017</v>
      </c>
      <c r="B1241" s="1">
        <f t="shared" ca="1" si="86"/>
        <v>0.54866549681134036</v>
      </c>
      <c r="C1241" s="1">
        <f t="shared" ca="1" si="85"/>
        <v>17</v>
      </c>
      <c r="D1241" s="1">
        <f t="shared" ca="1" si="87"/>
        <v>165</v>
      </c>
      <c r="E1241" s="2">
        <f t="shared" ca="1" si="88"/>
        <v>43309</v>
      </c>
      <c r="F1241" s="6">
        <f t="shared" ca="1" si="89"/>
        <v>8.5016172078134851</v>
      </c>
    </row>
    <row r="1242" spans="1:6">
      <c r="A1242" s="1">
        <v>9125020</v>
      </c>
      <c r="B1242" s="1">
        <f t="shared" ca="1" si="86"/>
        <v>0.58510920140612188</v>
      </c>
      <c r="C1242" s="1">
        <f t="shared" ca="1" si="85"/>
        <v>221</v>
      </c>
      <c r="D1242" s="1">
        <f t="shared" ca="1" si="87"/>
        <v>473</v>
      </c>
      <c r="E1242" s="2">
        <f t="shared" ca="1" si="88"/>
        <v>43350</v>
      </c>
      <c r="F1242" s="6">
        <f t="shared" ca="1" si="89"/>
        <v>87.803422898434974</v>
      </c>
    </row>
    <row r="1243" spans="1:6">
      <c r="A1243" s="1">
        <v>9125023</v>
      </c>
      <c r="B1243" s="1">
        <f t="shared" ca="1" si="86"/>
        <v>0.6709376036983038</v>
      </c>
      <c r="C1243" s="1">
        <f t="shared" ref="C1243:C1306" ca="1" si="90">ROUND(_xlfn.GAMMA.INV(RAND(),$J$11,$J$12)*100,0)+1</f>
        <v>1</v>
      </c>
      <c r="D1243" s="1">
        <f t="shared" ca="1" si="87"/>
        <v>474</v>
      </c>
      <c r="E1243" s="2">
        <f t="shared" ca="1" si="88"/>
        <v>42991</v>
      </c>
      <c r="F1243" s="6">
        <f t="shared" ca="1" si="89"/>
        <v>189.46716795567619</v>
      </c>
    </row>
    <row r="1244" spans="1:6">
      <c r="A1244" s="1">
        <v>9125026</v>
      </c>
      <c r="B1244" s="1">
        <f t="shared" ca="1" si="86"/>
        <v>0.34941024739896953</v>
      </c>
      <c r="C1244" s="1">
        <f t="shared" ca="1" si="90"/>
        <v>2</v>
      </c>
      <c r="D1244" s="1">
        <f t="shared" ca="1" si="87"/>
        <v>30</v>
      </c>
      <c r="E1244" s="2">
        <f t="shared" ca="1" si="88"/>
        <v>43413</v>
      </c>
      <c r="F1244" s="6">
        <f t="shared" ca="1" si="89"/>
        <v>7.0206354904026682</v>
      </c>
    </row>
    <row r="1245" spans="1:6">
      <c r="A1245" s="1">
        <v>9125029</v>
      </c>
      <c r="B1245" s="1">
        <f t="shared" ca="1" si="86"/>
        <v>0.73820248301645286</v>
      </c>
      <c r="C1245" s="1">
        <f t="shared" ca="1" si="90"/>
        <v>88</v>
      </c>
      <c r="D1245" s="1">
        <f t="shared" ca="1" si="87"/>
        <v>253</v>
      </c>
      <c r="E1245" s="2">
        <f t="shared" ca="1" si="88"/>
        <v>42986</v>
      </c>
      <c r="F1245" s="6">
        <f t="shared" ca="1" si="89"/>
        <v>164.92825676303622</v>
      </c>
    </row>
    <row r="1246" spans="1:6">
      <c r="A1246" s="1">
        <v>9125032</v>
      </c>
      <c r="B1246" s="1">
        <f t="shared" ca="1" si="86"/>
        <v>0.43092256404364204</v>
      </c>
      <c r="C1246" s="1">
        <f t="shared" ca="1" si="90"/>
        <v>42</v>
      </c>
      <c r="D1246" s="1">
        <f t="shared" ca="1" si="87"/>
        <v>36</v>
      </c>
      <c r="E1246" s="2">
        <f t="shared" ca="1" si="88"/>
        <v>42981</v>
      </c>
      <c r="F1246" s="6">
        <f t="shared" ca="1" si="89"/>
        <v>98.679871243890943</v>
      </c>
    </row>
    <row r="1247" spans="1:6">
      <c r="A1247" s="1">
        <v>9125035</v>
      </c>
      <c r="B1247" s="1">
        <f t="shared" ca="1" si="86"/>
        <v>0.67267085052980102</v>
      </c>
      <c r="C1247" s="1">
        <f t="shared" ca="1" si="90"/>
        <v>13</v>
      </c>
      <c r="D1247" s="1">
        <f t="shared" ca="1" si="87"/>
        <v>80</v>
      </c>
      <c r="E1247" s="2">
        <f t="shared" ca="1" si="88"/>
        <v>42742</v>
      </c>
      <c r="F1247" s="6">
        <f t="shared" ca="1" si="89"/>
        <v>5.8348793354040218</v>
      </c>
    </row>
    <row r="1248" spans="1:6">
      <c r="A1248" s="1">
        <v>9125038</v>
      </c>
      <c r="B1248" s="1">
        <f t="shared" ca="1" si="86"/>
        <v>0.51446403428369847</v>
      </c>
      <c r="C1248" s="1">
        <f t="shared" ca="1" si="90"/>
        <v>31</v>
      </c>
      <c r="D1248" s="1">
        <f t="shared" ca="1" si="87"/>
        <v>535</v>
      </c>
      <c r="E1248" s="2">
        <f t="shared" ca="1" si="88"/>
        <v>43408</v>
      </c>
      <c r="F1248" s="6">
        <f t="shared" ca="1" si="89"/>
        <v>14.399954415852982</v>
      </c>
    </row>
    <row r="1249" spans="1:6">
      <c r="A1249" s="1">
        <v>9125041</v>
      </c>
      <c r="B1249" s="1">
        <f t="shared" ca="1" si="86"/>
        <v>0.96072767042845597</v>
      </c>
      <c r="C1249" s="1">
        <f t="shared" ca="1" si="90"/>
        <v>1</v>
      </c>
      <c r="D1249" s="1">
        <f t="shared" ca="1" si="87"/>
        <v>474</v>
      </c>
      <c r="E1249" s="2">
        <f t="shared" ca="1" si="88"/>
        <v>43443</v>
      </c>
      <c r="F1249" s="6">
        <f t="shared" ca="1" si="89"/>
        <v>56.924600156318</v>
      </c>
    </row>
    <row r="1250" spans="1:6">
      <c r="A1250" s="1">
        <v>9125044</v>
      </c>
      <c r="B1250" s="1">
        <f t="shared" ca="1" si="86"/>
        <v>0.88400893869817199</v>
      </c>
      <c r="C1250" s="1">
        <f t="shared" ca="1" si="90"/>
        <v>21</v>
      </c>
      <c r="D1250" s="1">
        <f t="shared" ca="1" si="87"/>
        <v>566</v>
      </c>
      <c r="E1250" s="2">
        <f t="shared" ca="1" si="88"/>
        <v>43324</v>
      </c>
      <c r="F1250" s="6">
        <f t="shared" ca="1" si="89"/>
        <v>64.649737162447593</v>
      </c>
    </row>
    <row r="1251" spans="1:6">
      <c r="A1251" s="1">
        <v>9125047</v>
      </c>
      <c r="B1251" s="1">
        <f t="shared" ca="1" si="86"/>
        <v>0.8758209636681078</v>
      </c>
      <c r="C1251" s="1">
        <f t="shared" ca="1" si="90"/>
        <v>184</v>
      </c>
      <c r="D1251" s="1">
        <f t="shared" ca="1" si="87"/>
        <v>580</v>
      </c>
      <c r="E1251" s="2">
        <f t="shared" ca="1" si="88"/>
        <v>43066</v>
      </c>
      <c r="F1251" s="6">
        <f t="shared" ca="1" si="89"/>
        <v>5.1711181619887512</v>
      </c>
    </row>
    <row r="1252" spans="1:6">
      <c r="A1252" s="1">
        <v>9125050</v>
      </c>
      <c r="B1252" s="1">
        <f t="shared" ca="1" si="86"/>
        <v>0.69080633335047315</v>
      </c>
      <c r="C1252" s="1">
        <f t="shared" ca="1" si="90"/>
        <v>47</v>
      </c>
      <c r="D1252" s="1">
        <f t="shared" ca="1" si="87"/>
        <v>515</v>
      </c>
      <c r="E1252" s="2">
        <f t="shared" ca="1" si="88"/>
        <v>43045</v>
      </c>
      <c r="F1252" s="6">
        <f t="shared" ca="1" si="89"/>
        <v>86.379399895410913</v>
      </c>
    </row>
    <row r="1253" spans="1:6">
      <c r="A1253" s="1">
        <v>9125053</v>
      </c>
      <c r="B1253" s="1">
        <f t="shared" ca="1" si="86"/>
        <v>0.91354793062208728</v>
      </c>
      <c r="C1253" s="1">
        <f t="shared" ca="1" si="90"/>
        <v>8</v>
      </c>
      <c r="D1253" s="1">
        <f t="shared" ca="1" si="87"/>
        <v>456</v>
      </c>
      <c r="E1253" s="2">
        <f t="shared" ca="1" si="88"/>
        <v>43087</v>
      </c>
      <c r="F1253" s="6">
        <f t="shared" ca="1" si="89"/>
        <v>7.5518528268448915</v>
      </c>
    </row>
    <row r="1254" spans="1:6">
      <c r="A1254" s="1">
        <v>9125056</v>
      </c>
      <c r="B1254" s="1">
        <f t="shared" ca="1" si="86"/>
        <v>0.20024081374663083</v>
      </c>
      <c r="C1254" s="1">
        <f t="shared" ca="1" si="90"/>
        <v>53</v>
      </c>
      <c r="D1254" s="1">
        <f t="shared" ca="1" si="87"/>
        <v>155</v>
      </c>
      <c r="E1254" s="2">
        <f t="shared" ca="1" si="88"/>
        <v>42932</v>
      </c>
      <c r="F1254" s="6">
        <f t="shared" ca="1" si="89"/>
        <v>124.80580333993835</v>
      </c>
    </row>
    <row r="1255" spans="1:6">
      <c r="A1255" s="1">
        <v>9125059</v>
      </c>
      <c r="B1255" s="1">
        <f t="shared" ca="1" si="86"/>
        <v>0.14022242350506742</v>
      </c>
      <c r="C1255" s="1">
        <f t="shared" ca="1" si="90"/>
        <v>54</v>
      </c>
      <c r="D1255" s="1">
        <f t="shared" ca="1" si="87"/>
        <v>168</v>
      </c>
      <c r="E1255" s="2">
        <f t="shared" ca="1" si="88"/>
        <v>43092</v>
      </c>
      <c r="F1255" s="6">
        <f t="shared" ca="1" si="89"/>
        <v>30.570533560247927</v>
      </c>
    </row>
    <row r="1256" spans="1:6">
      <c r="A1256" s="1">
        <v>9125062</v>
      </c>
      <c r="B1256" s="1">
        <f t="shared" ca="1" si="86"/>
        <v>0.75680771813967174</v>
      </c>
      <c r="C1256" s="1">
        <f t="shared" ca="1" si="90"/>
        <v>130</v>
      </c>
      <c r="D1256" s="1">
        <f t="shared" ca="1" si="87"/>
        <v>385</v>
      </c>
      <c r="E1256" s="2">
        <f t="shared" ca="1" si="88"/>
        <v>43339</v>
      </c>
      <c r="F1256" s="6">
        <f t="shared" ca="1" si="89"/>
        <v>5.9509029379588654</v>
      </c>
    </row>
    <row r="1257" spans="1:6">
      <c r="A1257" s="1">
        <v>9125065</v>
      </c>
      <c r="B1257" s="1">
        <f t="shared" ca="1" si="86"/>
        <v>0.65454015598297444</v>
      </c>
      <c r="C1257" s="1">
        <f t="shared" ca="1" si="90"/>
        <v>33</v>
      </c>
      <c r="D1257" s="1">
        <f t="shared" ca="1" si="87"/>
        <v>501</v>
      </c>
      <c r="E1257" s="2">
        <f t="shared" ca="1" si="88"/>
        <v>43066</v>
      </c>
      <c r="F1257" s="6">
        <f t="shared" ca="1" si="89"/>
        <v>42.769018666385271</v>
      </c>
    </row>
    <row r="1258" spans="1:6">
      <c r="A1258" s="1">
        <v>9125068</v>
      </c>
      <c r="B1258" s="1">
        <f t="shared" ca="1" si="86"/>
        <v>0.31246602889898367</v>
      </c>
      <c r="C1258" s="1">
        <f t="shared" ca="1" si="90"/>
        <v>44</v>
      </c>
      <c r="D1258" s="1">
        <f t="shared" ca="1" si="87"/>
        <v>427</v>
      </c>
      <c r="E1258" s="2">
        <f t="shared" ca="1" si="88"/>
        <v>42775</v>
      </c>
      <c r="F1258" s="6">
        <f t="shared" ca="1" si="89"/>
        <v>49.344666979919694</v>
      </c>
    </row>
    <row r="1259" spans="1:6">
      <c r="A1259" s="1">
        <v>9125071</v>
      </c>
      <c r="B1259" s="1">
        <f t="shared" ca="1" si="86"/>
        <v>0.98673432805785111</v>
      </c>
      <c r="C1259" s="1">
        <f t="shared" ca="1" si="90"/>
        <v>284</v>
      </c>
      <c r="D1259" s="1">
        <f t="shared" ca="1" si="87"/>
        <v>262</v>
      </c>
      <c r="E1259" s="2">
        <f t="shared" ca="1" si="88"/>
        <v>43090</v>
      </c>
      <c r="F1259" s="6">
        <f t="shared" ca="1" si="89"/>
        <v>4.1378664619226626</v>
      </c>
    </row>
    <row r="1260" spans="1:6">
      <c r="A1260" s="1">
        <v>9125074</v>
      </c>
      <c r="B1260" s="1">
        <f t="shared" ca="1" si="86"/>
        <v>0.118552268135525</v>
      </c>
      <c r="C1260" s="1">
        <f t="shared" ca="1" si="90"/>
        <v>8</v>
      </c>
      <c r="D1260" s="1">
        <f t="shared" ca="1" si="87"/>
        <v>456</v>
      </c>
      <c r="E1260" s="2">
        <f t="shared" ca="1" si="88"/>
        <v>43371</v>
      </c>
      <c r="F1260" s="6">
        <f t="shared" ca="1" si="89"/>
        <v>26.355694440012741</v>
      </c>
    </row>
    <row r="1261" spans="1:6">
      <c r="A1261" s="1">
        <v>9125077</v>
      </c>
      <c r="B1261" s="1">
        <f t="shared" ca="1" si="86"/>
        <v>0.92313012107228609</v>
      </c>
      <c r="C1261" s="1">
        <f t="shared" ca="1" si="90"/>
        <v>70</v>
      </c>
      <c r="D1261" s="1">
        <f t="shared" ca="1" si="87"/>
        <v>82</v>
      </c>
      <c r="E1261" s="2">
        <f t="shared" ca="1" si="88"/>
        <v>42941</v>
      </c>
      <c r="F1261" s="6">
        <f t="shared" ca="1" si="89"/>
        <v>72.883250618826949</v>
      </c>
    </row>
    <row r="1262" spans="1:6">
      <c r="A1262" s="1">
        <v>9125080</v>
      </c>
      <c r="B1262" s="1">
        <f t="shared" ca="1" si="86"/>
        <v>0.1832230018981259</v>
      </c>
      <c r="C1262" s="1">
        <f t="shared" ca="1" si="90"/>
        <v>28</v>
      </c>
      <c r="D1262" s="1">
        <f t="shared" ca="1" si="87"/>
        <v>401</v>
      </c>
      <c r="E1262" s="2">
        <f t="shared" ca="1" si="88"/>
        <v>43287</v>
      </c>
      <c r="F1262" s="6">
        <f t="shared" ca="1" si="89"/>
        <v>103.97345766388925</v>
      </c>
    </row>
    <row r="1263" spans="1:6">
      <c r="A1263" s="1">
        <v>9125083</v>
      </c>
      <c r="B1263" s="1">
        <f t="shared" ca="1" si="86"/>
        <v>0.38869541064172575</v>
      </c>
      <c r="C1263" s="1">
        <f t="shared" ca="1" si="90"/>
        <v>50</v>
      </c>
      <c r="D1263" s="1">
        <f t="shared" ca="1" si="87"/>
        <v>415</v>
      </c>
      <c r="E1263" s="2">
        <f t="shared" ca="1" si="88"/>
        <v>42917</v>
      </c>
      <c r="F1263" s="6">
        <f t="shared" ca="1" si="89"/>
        <v>5.2854428437250238</v>
      </c>
    </row>
    <row r="1264" spans="1:6">
      <c r="A1264" s="1">
        <v>9125086</v>
      </c>
      <c r="B1264" s="1">
        <f t="shared" ca="1" si="86"/>
        <v>0.25746093570690254</v>
      </c>
      <c r="C1264" s="1">
        <f t="shared" ca="1" si="90"/>
        <v>52</v>
      </c>
      <c r="D1264" s="1">
        <f t="shared" ca="1" si="87"/>
        <v>574</v>
      </c>
      <c r="E1264" s="2">
        <f t="shared" ca="1" si="88"/>
        <v>43495</v>
      </c>
      <c r="F1264" s="6">
        <f t="shared" ca="1" si="89"/>
        <v>10.501784805603616</v>
      </c>
    </row>
    <row r="1265" spans="1:6">
      <c r="A1265" s="1">
        <v>9125089</v>
      </c>
      <c r="B1265" s="1">
        <f t="shared" ca="1" si="86"/>
        <v>0.22999339403823604</v>
      </c>
      <c r="C1265" s="1">
        <f t="shared" ca="1" si="90"/>
        <v>6</v>
      </c>
      <c r="D1265" s="1">
        <f t="shared" ca="1" si="87"/>
        <v>208</v>
      </c>
      <c r="E1265" s="2">
        <f t="shared" ca="1" si="88"/>
        <v>42802</v>
      </c>
      <c r="F1265" s="6">
        <f t="shared" ca="1" si="89"/>
        <v>84.480103654260063</v>
      </c>
    </row>
    <row r="1266" spans="1:6">
      <c r="A1266" s="1">
        <v>9125092</v>
      </c>
      <c r="B1266" s="1">
        <f t="shared" ca="1" si="86"/>
        <v>0.37805055749045757</v>
      </c>
      <c r="C1266" s="1">
        <f t="shared" ca="1" si="90"/>
        <v>198</v>
      </c>
      <c r="D1266" s="1">
        <f t="shared" ca="1" si="87"/>
        <v>522</v>
      </c>
      <c r="E1266" s="2">
        <f t="shared" ca="1" si="88"/>
        <v>43067</v>
      </c>
      <c r="F1266" s="6">
        <f t="shared" ca="1" si="89"/>
        <v>21.050306996724355</v>
      </c>
    </row>
    <row r="1267" spans="1:6">
      <c r="A1267" s="1">
        <v>9125095</v>
      </c>
      <c r="B1267" s="1">
        <f t="shared" ca="1" si="86"/>
        <v>0.60770878434212161</v>
      </c>
      <c r="C1267" s="1">
        <f t="shared" ca="1" si="90"/>
        <v>10</v>
      </c>
      <c r="D1267" s="1">
        <f t="shared" ca="1" si="87"/>
        <v>236</v>
      </c>
      <c r="E1267" s="2">
        <f t="shared" ca="1" si="88"/>
        <v>43371</v>
      </c>
      <c r="F1267" s="6">
        <f t="shared" ca="1" si="89"/>
        <v>6.0971043829366964</v>
      </c>
    </row>
    <row r="1268" spans="1:6">
      <c r="A1268" s="1">
        <v>9125098</v>
      </c>
      <c r="B1268" s="1">
        <f t="shared" ca="1" si="86"/>
        <v>0.63214179662253733</v>
      </c>
      <c r="C1268" s="1">
        <f t="shared" ca="1" si="90"/>
        <v>126</v>
      </c>
      <c r="D1268" s="1">
        <f t="shared" ca="1" si="87"/>
        <v>587</v>
      </c>
      <c r="E1268" s="2">
        <f t="shared" ca="1" si="88"/>
        <v>43304</v>
      </c>
      <c r="F1268" s="6">
        <f t="shared" ca="1" si="89"/>
        <v>3.1832290770503175</v>
      </c>
    </row>
    <row r="1269" spans="1:6">
      <c r="A1269" s="1">
        <v>9125101</v>
      </c>
      <c r="B1269" s="1">
        <f t="shared" ca="1" si="86"/>
        <v>0.57608857353776399</v>
      </c>
      <c r="C1269" s="1">
        <f t="shared" ca="1" si="90"/>
        <v>3</v>
      </c>
      <c r="D1269" s="1">
        <f t="shared" ca="1" si="87"/>
        <v>263</v>
      </c>
      <c r="E1269" s="2">
        <f t="shared" ca="1" si="88"/>
        <v>42820</v>
      </c>
      <c r="F1269" s="6">
        <f t="shared" ca="1" si="89"/>
        <v>34.311746798115749</v>
      </c>
    </row>
    <row r="1270" spans="1:6">
      <c r="A1270" s="1">
        <v>9125104</v>
      </c>
      <c r="B1270" s="1">
        <f t="shared" ca="1" si="86"/>
        <v>0.33914350704516916</v>
      </c>
      <c r="C1270" s="1">
        <f t="shared" ca="1" si="90"/>
        <v>110</v>
      </c>
      <c r="D1270" s="1">
        <f t="shared" ca="1" si="87"/>
        <v>144</v>
      </c>
      <c r="E1270" s="2">
        <f t="shared" ca="1" si="88"/>
        <v>43318</v>
      </c>
      <c r="F1270" s="6">
        <f t="shared" ca="1" si="89"/>
        <v>89.475894849661088</v>
      </c>
    </row>
    <row r="1271" spans="1:6">
      <c r="A1271" s="1">
        <v>9125107</v>
      </c>
      <c r="B1271" s="1">
        <f t="shared" ca="1" si="86"/>
        <v>0.91726405120170529</v>
      </c>
      <c r="C1271" s="1">
        <f t="shared" ca="1" si="90"/>
        <v>16</v>
      </c>
      <c r="D1271" s="1">
        <f t="shared" ca="1" si="87"/>
        <v>465</v>
      </c>
      <c r="E1271" s="2">
        <f t="shared" ca="1" si="88"/>
        <v>43170</v>
      </c>
      <c r="F1271" s="6">
        <f t="shared" ca="1" si="89"/>
        <v>4.0058086397973582</v>
      </c>
    </row>
    <row r="1272" spans="1:6">
      <c r="A1272" s="1">
        <v>9125110</v>
      </c>
      <c r="B1272" s="1">
        <f t="shared" ca="1" si="86"/>
        <v>0.20890349828132038</v>
      </c>
      <c r="C1272" s="1">
        <f t="shared" ca="1" si="90"/>
        <v>165</v>
      </c>
      <c r="D1272" s="1">
        <f t="shared" ca="1" si="87"/>
        <v>354</v>
      </c>
      <c r="E1272" s="2">
        <f t="shared" ca="1" si="88"/>
        <v>43024</v>
      </c>
      <c r="F1272" s="6">
        <f t="shared" ca="1" si="89"/>
        <v>3.0928670477863447</v>
      </c>
    </row>
    <row r="1273" spans="1:6">
      <c r="A1273" s="1">
        <v>9125113</v>
      </c>
      <c r="B1273" s="1">
        <f t="shared" ca="1" si="86"/>
        <v>0.16082639150512512</v>
      </c>
      <c r="C1273" s="1">
        <f t="shared" ca="1" si="90"/>
        <v>142</v>
      </c>
      <c r="D1273" s="1">
        <f t="shared" ca="1" si="87"/>
        <v>98</v>
      </c>
      <c r="E1273" s="2">
        <f t="shared" ca="1" si="88"/>
        <v>43187</v>
      </c>
      <c r="F1273" s="6">
        <f t="shared" ca="1" si="89"/>
        <v>9.1522661494373665</v>
      </c>
    </row>
    <row r="1274" spans="1:6">
      <c r="A1274" s="1">
        <v>9125116</v>
      </c>
      <c r="B1274" s="1">
        <f t="shared" ca="1" si="86"/>
        <v>0.64744535312489704</v>
      </c>
      <c r="C1274" s="1">
        <f t="shared" ca="1" si="90"/>
        <v>3</v>
      </c>
      <c r="D1274" s="1">
        <f t="shared" ca="1" si="87"/>
        <v>263</v>
      </c>
      <c r="E1274" s="2">
        <f t="shared" ca="1" si="88"/>
        <v>43293</v>
      </c>
      <c r="F1274" s="6">
        <f t="shared" ca="1" si="89"/>
        <v>50.078412644850772</v>
      </c>
    </row>
    <row r="1275" spans="1:6">
      <c r="A1275" s="1">
        <v>9125119</v>
      </c>
      <c r="B1275" s="1">
        <f t="shared" ca="1" si="86"/>
        <v>0.98182036529437156</v>
      </c>
      <c r="C1275" s="1">
        <f t="shared" ca="1" si="90"/>
        <v>169</v>
      </c>
      <c r="D1275" s="1">
        <f t="shared" ca="1" si="87"/>
        <v>276</v>
      </c>
      <c r="E1275" s="2">
        <f t="shared" ca="1" si="88"/>
        <v>43404</v>
      </c>
      <c r="F1275" s="6">
        <f t="shared" ca="1" si="89"/>
        <v>13.605977261620383</v>
      </c>
    </row>
    <row r="1276" spans="1:6">
      <c r="A1276" s="1">
        <v>9125122</v>
      </c>
      <c r="B1276" s="1">
        <f t="shared" ca="1" si="86"/>
        <v>0.19206876447384802</v>
      </c>
      <c r="C1276" s="1">
        <f t="shared" ca="1" si="90"/>
        <v>3</v>
      </c>
      <c r="D1276" s="1">
        <f t="shared" ca="1" si="87"/>
        <v>263</v>
      </c>
      <c r="E1276" s="2">
        <f t="shared" ca="1" si="88"/>
        <v>43084</v>
      </c>
      <c r="F1276" s="6">
        <f t="shared" ca="1" si="89"/>
        <v>4.4162978532451334</v>
      </c>
    </row>
    <row r="1277" spans="1:6">
      <c r="A1277" s="1">
        <v>9125125</v>
      </c>
      <c r="B1277" s="1">
        <f t="shared" ca="1" si="86"/>
        <v>0.54149417089765517</v>
      </c>
      <c r="C1277" s="1">
        <f t="shared" ca="1" si="90"/>
        <v>85</v>
      </c>
      <c r="D1277" s="1">
        <f t="shared" ca="1" si="87"/>
        <v>81</v>
      </c>
      <c r="E1277" s="2">
        <f t="shared" ca="1" si="88"/>
        <v>43385</v>
      </c>
      <c r="F1277" s="6">
        <f t="shared" ca="1" si="89"/>
        <v>262.1008257872644</v>
      </c>
    </row>
    <row r="1278" spans="1:6">
      <c r="A1278" s="1">
        <v>9125128</v>
      </c>
      <c r="B1278" s="1">
        <f t="shared" ca="1" si="86"/>
        <v>0.94889280976578694</v>
      </c>
      <c r="C1278" s="1">
        <f t="shared" ca="1" si="90"/>
        <v>119</v>
      </c>
      <c r="D1278" s="1">
        <f t="shared" ca="1" si="87"/>
        <v>184</v>
      </c>
      <c r="E1278" s="2">
        <f t="shared" ca="1" si="88"/>
        <v>42929</v>
      </c>
      <c r="F1278" s="6">
        <f t="shared" ca="1" si="89"/>
        <v>72.130465775439546</v>
      </c>
    </row>
    <row r="1279" spans="1:6">
      <c r="A1279" s="1">
        <v>9125131</v>
      </c>
      <c r="B1279" s="1">
        <f t="shared" ca="1" si="86"/>
        <v>0.46288675256738232</v>
      </c>
      <c r="C1279" s="1">
        <f t="shared" ca="1" si="90"/>
        <v>1</v>
      </c>
      <c r="D1279" s="1">
        <f t="shared" ca="1" si="87"/>
        <v>474</v>
      </c>
      <c r="E1279" s="2">
        <f t="shared" ca="1" si="88"/>
        <v>42837</v>
      </c>
      <c r="F1279" s="6">
        <f t="shared" ca="1" si="89"/>
        <v>328.14385595881163</v>
      </c>
    </row>
    <row r="1280" spans="1:6">
      <c r="A1280" s="1">
        <v>9125134</v>
      </c>
      <c r="B1280" s="1">
        <f t="shared" ca="1" si="86"/>
        <v>0.75939160692517815</v>
      </c>
      <c r="C1280" s="1">
        <f t="shared" ca="1" si="90"/>
        <v>16</v>
      </c>
      <c r="D1280" s="1">
        <f t="shared" ca="1" si="87"/>
        <v>465</v>
      </c>
      <c r="E1280" s="2">
        <f t="shared" ca="1" si="88"/>
        <v>42970</v>
      </c>
      <c r="F1280" s="6">
        <f t="shared" ca="1" si="89"/>
        <v>40.208924611010211</v>
      </c>
    </row>
    <row r="1281" spans="1:6">
      <c r="A1281" s="1">
        <v>9125137</v>
      </c>
      <c r="B1281" s="1">
        <f t="shared" ca="1" si="86"/>
        <v>0.6267466998605703</v>
      </c>
      <c r="C1281" s="1">
        <f t="shared" ca="1" si="90"/>
        <v>32</v>
      </c>
      <c r="D1281" s="1">
        <f t="shared" ca="1" si="87"/>
        <v>497</v>
      </c>
      <c r="E1281" s="2">
        <f t="shared" ca="1" si="88"/>
        <v>43327</v>
      </c>
      <c r="F1281" s="6">
        <f t="shared" ca="1" si="89"/>
        <v>77.752481568516316</v>
      </c>
    </row>
    <row r="1282" spans="1:6">
      <c r="A1282" s="1">
        <v>9125140</v>
      </c>
      <c r="B1282" s="1">
        <f t="shared" ref="B1282:B1345" ca="1" si="91">RAND()</f>
        <v>0.5911942026898146</v>
      </c>
      <c r="C1282" s="1">
        <f t="shared" ca="1" si="90"/>
        <v>1</v>
      </c>
      <c r="D1282" s="1">
        <f t="shared" ca="1" si="87"/>
        <v>474</v>
      </c>
      <c r="E1282" s="2">
        <f t="shared" ca="1" si="88"/>
        <v>43166</v>
      </c>
      <c r="F1282" s="6">
        <f t="shared" ca="1" si="89"/>
        <v>58.655908636115228</v>
      </c>
    </row>
    <row r="1283" spans="1:6">
      <c r="A1283" s="1">
        <v>9125143</v>
      </c>
      <c r="B1283" s="1">
        <f t="shared" ca="1" si="91"/>
        <v>0.13674147076793985</v>
      </c>
      <c r="C1283" s="1">
        <f t="shared" ca="1" si="90"/>
        <v>5</v>
      </c>
      <c r="D1283" s="1">
        <f t="shared" ref="D1283:D1346" ca="1" si="92">VLOOKUP(SMALL($B$2:$B$601,C1283),$B$2:$C$601,2,FALSE)</f>
        <v>363</v>
      </c>
      <c r="E1283" s="2">
        <f t="shared" ref="E1283:E1346" ca="1" si="93">RANDBETWEEN("1/1/17","2/1/19")</f>
        <v>42859</v>
      </c>
      <c r="F1283" s="6">
        <f t="shared" ref="F1283:F1346" ca="1" si="94">_xlfn.GAMMA.INV(RAND(),$J$6,$J$7)*100+3</f>
        <v>3.2149672174537898</v>
      </c>
    </row>
    <row r="1284" spans="1:6">
      <c r="A1284" s="1">
        <v>9125146</v>
      </c>
      <c r="B1284" s="1">
        <f t="shared" ca="1" si="91"/>
        <v>0.67330134723524171</v>
      </c>
      <c r="C1284" s="1">
        <f t="shared" ca="1" si="90"/>
        <v>1</v>
      </c>
      <c r="D1284" s="1">
        <f t="shared" ca="1" si="92"/>
        <v>474</v>
      </c>
      <c r="E1284" s="2">
        <f t="shared" ca="1" si="93"/>
        <v>42856</v>
      </c>
      <c r="F1284" s="6">
        <f t="shared" ca="1" si="94"/>
        <v>48.011892253900307</v>
      </c>
    </row>
    <row r="1285" spans="1:6">
      <c r="A1285" s="1">
        <v>9125149</v>
      </c>
      <c r="B1285" s="1">
        <f t="shared" ca="1" si="91"/>
        <v>0.69337076044629509</v>
      </c>
      <c r="C1285" s="1">
        <f t="shared" ca="1" si="90"/>
        <v>6</v>
      </c>
      <c r="D1285" s="1">
        <f t="shared" ca="1" si="92"/>
        <v>208</v>
      </c>
      <c r="E1285" s="2">
        <f t="shared" ca="1" si="93"/>
        <v>42863</v>
      </c>
      <c r="F1285" s="6">
        <f t="shared" ca="1" si="94"/>
        <v>63.899736637413469</v>
      </c>
    </row>
    <row r="1286" spans="1:6">
      <c r="A1286" s="1">
        <v>9125152</v>
      </c>
      <c r="B1286" s="1">
        <f t="shared" ca="1" si="91"/>
        <v>0.30571132111454447</v>
      </c>
      <c r="C1286" s="1">
        <f t="shared" ca="1" si="90"/>
        <v>7</v>
      </c>
      <c r="D1286" s="1">
        <f t="shared" ca="1" si="92"/>
        <v>138</v>
      </c>
      <c r="E1286" s="2">
        <f t="shared" ca="1" si="93"/>
        <v>43022</v>
      </c>
      <c r="F1286" s="6">
        <f t="shared" ca="1" si="94"/>
        <v>3.3190710065432993</v>
      </c>
    </row>
    <row r="1287" spans="1:6">
      <c r="A1287" s="1">
        <v>9125155</v>
      </c>
      <c r="B1287" s="1">
        <f t="shared" ca="1" si="91"/>
        <v>0.89482857886703804</v>
      </c>
      <c r="C1287" s="1">
        <f t="shared" ca="1" si="90"/>
        <v>54</v>
      </c>
      <c r="D1287" s="1">
        <f t="shared" ca="1" si="92"/>
        <v>168</v>
      </c>
      <c r="E1287" s="2">
        <f t="shared" ca="1" si="93"/>
        <v>43357</v>
      </c>
      <c r="F1287" s="6">
        <f t="shared" ca="1" si="94"/>
        <v>117.16431901414468</v>
      </c>
    </row>
    <row r="1288" spans="1:6">
      <c r="A1288" s="1">
        <v>9125158</v>
      </c>
      <c r="B1288" s="1">
        <f t="shared" ca="1" si="91"/>
        <v>0.88514359625856176</v>
      </c>
      <c r="C1288" s="1">
        <f t="shared" ca="1" si="90"/>
        <v>9</v>
      </c>
      <c r="D1288" s="1">
        <f t="shared" ca="1" si="92"/>
        <v>278</v>
      </c>
      <c r="E1288" s="2">
        <f t="shared" ca="1" si="93"/>
        <v>43351</v>
      </c>
      <c r="F1288" s="6">
        <f t="shared" ca="1" si="94"/>
        <v>10.421676099764145</v>
      </c>
    </row>
    <row r="1289" spans="1:6">
      <c r="A1289" s="1">
        <v>9125161</v>
      </c>
      <c r="B1289" s="1">
        <f t="shared" ca="1" si="91"/>
        <v>0.12656938999680212</v>
      </c>
      <c r="C1289" s="1">
        <f t="shared" ca="1" si="90"/>
        <v>14</v>
      </c>
      <c r="D1289" s="1">
        <f t="shared" ca="1" si="92"/>
        <v>576</v>
      </c>
      <c r="E1289" s="2">
        <f t="shared" ca="1" si="93"/>
        <v>43321</v>
      </c>
      <c r="F1289" s="6">
        <f t="shared" ca="1" si="94"/>
        <v>22.873227760707675</v>
      </c>
    </row>
    <row r="1290" spans="1:6">
      <c r="A1290" s="1">
        <v>9125164</v>
      </c>
      <c r="B1290" s="1">
        <f t="shared" ca="1" si="91"/>
        <v>5.2564202650093428E-2</v>
      </c>
      <c r="C1290" s="1">
        <f t="shared" ca="1" si="90"/>
        <v>2</v>
      </c>
      <c r="D1290" s="1">
        <f t="shared" ca="1" si="92"/>
        <v>30</v>
      </c>
      <c r="E1290" s="2">
        <f t="shared" ca="1" si="93"/>
        <v>42908</v>
      </c>
      <c r="F1290" s="6">
        <f t="shared" ca="1" si="94"/>
        <v>64.346547207680899</v>
      </c>
    </row>
    <row r="1291" spans="1:6">
      <c r="A1291" s="1">
        <v>9125167</v>
      </c>
      <c r="B1291" s="1">
        <f t="shared" ca="1" si="91"/>
        <v>0.19689631833097676</v>
      </c>
      <c r="C1291" s="1">
        <f t="shared" ca="1" si="90"/>
        <v>5</v>
      </c>
      <c r="D1291" s="1">
        <f t="shared" ca="1" si="92"/>
        <v>363</v>
      </c>
      <c r="E1291" s="2">
        <f t="shared" ca="1" si="93"/>
        <v>43116</v>
      </c>
      <c r="F1291" s="6">
        <f t="shared" ca="1" si="94"/>
        <v>66.957708773582908</v>
      </c>
    </row>
    <row r="1292" spans="1:6">
      <c r="A1292" s="1">
        <v>9125170</v>
      </c>
      <c r="B1292" s="1">
        <f t="shared" ca="1" si="91"/>
        <v>6.1290883636100912E-2</v>
      </c>
      <c r="C1292" s="1">
        <f t="shared" ca="1" si="90"/>
        <v>191</v>
      </c>
      <c r="D1292" s="1">
        <f t="shared" ca="1" si="92"/>
        <v>31</v>
      </c>
      <c r="E1292" s="2">
        <f t="shared" ca="1" si="93"/>
        <v>43140</v>
      </c>
      <c r="F1292" s="6">
        <f t="shared" ca="1" si="94"/>
        <v>71.652454785680177</v>
      </c>
    </row>
    <row r="1293" spans="1:6">
      <c r="A1293" s="1">
        <v>9125173</v>
      </c>
      <c r="B1293" s="1">
        <f t="shared" ca="1" si="91"/>
        <v>0.33916378482558729</v>
      </c>
      <c r="C1293" s="1">
        <f t="shared" ca="1" si="90"/>
        <v>51</v>
      </c>
      <c r="D1293" s="1">
        <f t="shared" ca="1" si="92"/>
        <v>93</v>
      </c>
      <c r="E1293" s="2">
        <f t="shared" ca="1" si="93"/>
        <v>43470</v>
      </c>
      <c r="F1293" s="6">
        <f t="shared" ca="1" si="94"/>
        <v>23.886806618059396</v>
      </c>
    </row>
    <row r="1294" spans="1:6">
      <c r="A1294" s="1">
        <v>9125176</v>
      </c>
      <c r="B1294" s="1">
        <f t="shared" ca="1" si="91"/>
        <v>6.2532814761805833E-2</v>
      </c>
      <c r="C1294" s="1">
        <f t="shared" ca="1" si="90"/>
        <v>1</v>
      </c>
      <c r="D1294" s="1">
        <f t="shared" ca="1" si="92"/>
        <v>474</v>
      </c>
      <c r="E1294" s="2">
        <f t="shared" ca="1" si="93"/>
        <v>43110</v>
      </c>
      <c r="F1294" s="6">
        <f t="shared" ca="1" si="94"/>
        <v>53.810349860346705</v>
      </c>
    </row>
    <row r="1295" spans="1:6">
      <c r="A1295" s="1">
        <v>9125179</v>
      </c>
      <c r="B1295" s="1">
        <f t="shared" ca="1" si="91"/>
        <v>0.26016647404103366</v>
      </c>
      <c r="C1295" s="1">
        <f t="shared" ca="1" si="90"/>
        <v>205</v>
      </c>
      <c r="D1295" s="1">
        <f t="shared" ca="1" si="92"/>
        <v>277</v>
      </c>
      <c r="E1295" s="2">
        <f t="shared" ca="1" si="93"/>
        <v>42869</v>
      </c>
      <c r="F1295" s="6">
        <f t="shared" ca="1" si="94"/>
        <v>3.7162142728040632</v>
      </c>
    </row>
    <row r="1296" spans="1:6">
      <c r="A1296" s="1">
        <v>9125182</v>
      </c>
      <c r="B1296" s="1">
        <f t="shared" ca="1" si="91"/>
        <v>0.75232392403279225</v>
      </c>
      <c r="C1296" s="1">
        <f t="shared" ca="1" si="90"/>
        <v>8</v>
      </c>
      <c r="D1296" s="1">
        <f t="shared" ca="1" si="92"/>
        <v>456</v>
      </c>
      <c r="E1296" s="2">
        <f t="shared" ca="1" si="93"/>
        <v>42831</v>
      </c>
      <c r="F1296" s="6">
        <f t="shared" ca="1" si="94"/>
        <v>6.1403978053402524</v>
      </c>
    </row>
    <row r="1297" spans="1:6">
      <c r="A1297" s="1">
        <v>9125185</v>
      </c>
      <c r="B1297" s="1">
        <f t="shared" ca="1" si="91"/>
        <v>0.8492338196987157</v>
      </c>
      <c r="C1297" s="1">
        <f t="shared" ca="1" si="90"/>
        <v>69</v>
      </c>
      <c r="D1297" s="1">
        <f t="shared" ca="1" si="92"/>
        <v>142</v>
      </c>
      <c r="E1297" s="2">
        <f t="shared" ca="1" si="93"/>
        <v>43182</v>
      </c>
      <c r="F1297" s="6">
        <f t="shared" ca="1" si="94"/>
        <v>8.3976927236055765</v>
      </c>
    </row>
    <row r="1298" spans="1:6">
      <c r="A1298" s="1">
        <v>9125188</v>
      </c>
      <c r="B1298" s="1">
        <f t="shared" ca="1" si="91"/>
        <v>0.21181472149813785</v>
      </c>
      <c r="C1298" s="1">
        <f t="shared" ca="1" si="90"/>
        <v>29</v>
      </c>
      <c r="D1298" s="1">
        <f t="shared" ca="1" si="92"/>
        <v>514</v>
      </c>
      <c r="E1298" s="2">
        <f t="shared" ca="1" si="93"/>
        <v>42895</v>
      </c>
      <c r="F1298" s="6">
        <f t="shared" ca="1" si="94"/>
        <v>79.971783334701598</v>
      </c>
    </row>
    <row r="1299" spans="1:6">
      <c r="A1299" s="1">
        <v>9125191</v>
      </c>
      <c r="B1299" s="1">
        <f t="shared" ca="1" si="91"/>
        <v>6.1794624789815789E-2</v>
      </c>
      <c r="C1299" s="1">
        <f t="shared" ca="1" si="90"/>
        <v>48</v>
      </c>
      <c r="D1299" s="1">
        <f t="shared" ca="1" si="92"/>
        <v>424</v>
      </c>
      <c r="E1299" s="2">
        <f t="shared" ca="1" si="93"/>
        <v>43123</v>
      </c>
      <c r="F1299" s="6">
        <f t="shared" ca="1" si="94"/>
        <v>77.186418559765158</v>
      </c>
    </row>
    <row r="1300" spans="1:6">
      <c r="A1300" s="1">
        <v>9125194</v>
      </c>
      <c r="B1300" s="1">
        <f t="shared" ca="1" si="91"/>
        <v>0.75458932780797439</v>
      </c>
      <c r="C1300" s="1">
        <f t="shared" ca="1" si="90"/>
        <v>70</v>
      </c>
      <c r="D1300" s="1">
        <f t="shared" ca="1" si="92"/>
        <v>82</v>
      </c>
      <c r="E1300" s="2">
        <f t="shared" ca="1" si="93"/>
        <v>43265</v>
      </c>
      <c r="F1300" s="6">
        <f t="shared" ca="1" si="94"/>
        <v>23.137866575034071</v>
      </c>
    </row>
    <row r="1301" spans="1:6">
      <c r="A1301" s="1">
        <v>9125197</v>
      </c>
      <c r="B1301" s="1">
        <f t="shared" ca="1" si="91"/>
        <v>0.29407001011629674</v>
      </c>
      <c r="C1301" s="1">
        <f t="shared" ca="1" si="90"/>
        <v>15</v>
      </c>
      <c r="D1301" s="1">
        <f t="shared" ca="1" si="92"/>
        <v>284</v>
      </c>
      <c r="E1301" s="2">
        <f t="shared" ca="1" si="93"/>
        <v>42970</v>
      </c>
      <c r="F1301" s="6">
        <f t="shared" ca="1" si="94"/>
        <v>49.405422612320798</v>
      </c>
    </row>
    <row r="1302" spans="1:6">
      <c r="A1302" s="1">
        <v>9125200</v>
      </c>
      <c r="B1302" s="1">
        <f t="shared" ca="1" si="91"/>
        <v>0.40510890886079509</v>
      </c>
      <c r="C1302" s="1">
        <f t="shared" ca="1" si="90"/>
        <v>91</v>
      </c>
      <c r="D1302" s="1">
        <f t="shared" ca="1" si="92"/>
        <v>396</v>
      </c>
      <c r="E1302" s="2">
        <f t="shared" ca="1" si="93"/>
        <v>42890</v>
      </c>
      <c r="F1302" s="6">
        <f t="shared" ca="1" si="94"/>
        <v>52.142329407375982</v>
      </c>
    </row>
    <row r="1303" spans="1:6">
      <c r="A1303" s="1">
        <v>9125203</v>
      </c>
      <c r="B1303" s="1">
        <f t="shared" ca="1" si="91"/>
        <v>0.42148618802477567</v>
      </c>
      <c r="C1303" s="1">
        <f t="shared" ca="1" si="90"/>
        <v>35</v>
      </c>
      <c r="D1303" s="1">
        <f t="shared" ca="1" si="92"/>
        <v>423</v>
      </c>
      <c r="E1303" s="2">
        <f t="shared" ca="1" si="93"/>
        <v>43045</v>
      </c>
      <c r="F1303" s="6">
        <f t="shared" ca="1" si="94"/>
        <v>14.096875802500948</v>
      </c>
    </row>
    <row r="1304" spans="1:6">
      <c r="A1304" s="1">
        <v>9125206</v>
      </c>
      <c r="B1304" s="1">
        <f t="shared" ca="1" si="91"/>
        <v>0.56062587337481506</v>
      </c>
      <c r="C1304" s="1">
        <f t="shared" ca="1" si="90"/>
        <v>2</v>
      </c>
      <c r="D1304" s="1">
        <f t="shared" ca="1" si="92"/>
        <v>30</v>
      </c>
      <c r="E1304" s="2">
        <f t="shared" ca="1" si="93"/>
        <v>43367</v>
      </c>
      <c r="F1304" s="6">
        <f t="shared" ca="1" si="94"/>
        <v>94.469032355347082</v>
      </c>
    </row>
    <row r="1305" spans="1:6">
      <c r="A1305" s="1">
        <v>9125209</v>
      </c>
      <c r="B1305" s="1">
        <f t="shared" ca="1" si="91"/>
        <v>0.60101150574941575</v>
      </c>
      <c r="C1305" s="1">
        <f t="shared" ca="1" si="90"/>
        <v>40</v>
      </c>
      <c r="D1305" s="1">
        <f t="shared" ca="1" si="92"/>
        <v>426</v>
      </c>
      <c r="E1305" s="2">
        <f t="shared" ca="1" si="93"/>
        <v>43089</v>
      </c>
      <c r="F1305" s="6">
        <f t="shared" ca="1" si="94"/>
        <v>4.7932290912579054</v>
      </c>
    </row>
    <row r="1306" spans="1:6">
      <c r="A1306" s="1">
        <v>9125212</v>
      </c>
      <c r="B1306" s="1">
        <f t="shared" ca="1" si="91"/>
        <v>0.29905981607636334</v>
      </c>
      <c r="C1306" s="1">
        <f t="shared" ca="1" si="90"/>
        <v>119</v>
      </c>
      <c r="D1306" s="1">
        <f t="shared" ca="1" si="92"/>
        <v>184</v>
      </c>
      <c r="E1306" s="2">
        <f t="shared" ca="1" si="93"/>
        <v>43495</v>
      </c>
      <c r="F1306" s="6">
        <f t="shared" ca="1" si="94"/>
        <v>15.907384841416722</v>
      </c>
    </row>
    <row r="1307" spans="1:6">
      <c r="A1307" s="1">
        <v>9125215</v>
      </c>
      <c r="B1307" s="1">
        <f t="shared" ca="1" si="91"/>
        <v>0.61273248626337251</v>
      </c>
      <c r="C1307" s="1">
        <f t="shared" ref="C1307:C1370" ca="1" si="95">ROUND(_xlfn.GAMMA.INV(RAND(),$J$11,$J$12)*100,0)+1</f>
        <v>66</v>
      </c>
      <c r="D1307" s="1">
        <f t="shared" ca="1" si="92"/>
        <v>128</v>
      </c>
      <c r="E1307" s="2">
        <f t="shared" ca="1" si="93"/>
        <v>42811</v>
      </c>
      <c r="F1307" s="6">
        <f t="shared" ca="1" si="94"/>
        <v>130.62473080991614</v>
      </c>
    </row>
    <row r="1308" spans="1:6">
      <c r="A1308" s="1">
        <v>9125218</v>
      </c>
      <c r="B1308" s="1">
        <f t="shared" ca="1" si="91"/>
        <v>0.29785921991679354</v>
      </c>
      <c r="C1308" s="1">
        <f t="shared" ca="1" si="95"/>
        <v>33</v>
      </c>
      <c r="D1308" s="1">
        <f t="shared" ca="1" si="92"/>
        <v>501</v>
      </c>
      <c r="E1308" s="2">
        <f t="shared" ca="1" si="93"/>
        <v>42902</v>
      </c>
      <c r="F1308" s="6">
        <f t="shared" ca="1" si="94"/>
        <v>22.980896993398101</v>
      </c>
    </row>
    <row r="1309" spans="1:6">
      <c r="A1309" s="1">
        <v>9125221</v>
      </c>
      <c r="B1309" s="1">
        <f t="shared" ca="1" si="91"/>
        <v>9.8796042815080809E-2</v>
      </c>
      <c r="C1309" s="1">
        <f t="shared" ca="1" si="95"/>
        <v>6</v>
      </c>
      <c r="D1309" s="1">
        <f t="shared" ca="1" si="92"/>
        <v>208</v>
      </c>
      <c r="E1309" s="2">
        <f t="shared" ca="1" si="93"/>
        <v>43272</v>
      </c>
      <c r="F1309" s="6">
        <f t="shared" ca="1" si="94"/>
        <v>22.317317668574873</v>
      </c>
    </row>
    <row r="1310" spans="1:6">
      <c r="A1310" s="1">
        <v>9125224</v>
      </c>
      <c r="B1310" s="1">
        <f t="shared" ca="1" si="91"/>
        <v>0.99624497769778153</v>
      </c>
      <c r="C1310" s="1">
        <f t="shared" ca="1" si="95"/>
        <v>36</v>
      </c>
      <c r="D1310" s="1">
        <f t="shared" ca="1" si="92"/>
        <v>529</v>
      </c>
      <c r="E1310" s="2">
        <f t="shared" ca="1" si="93"/>
        <v>42775</v>
      </c>
      <c r="F1310" s="6">
        <f t="shared" ca="1" si="94"/>
        <v>3.7455283581033663</v>
      </c>
    </row>
    <row r="1311" spans="1:6">
      <c r="A1311" s="1">
        <v>9125227</v>
      </c>
      <c r="B1311" s="1">
        <f t="shared" ca="1" si="91"/>
        <v>0.83995494791534886</v>
      </c>
      <c r="C1311" s="1">
        <f t="shared" ca="1" si="95"/>
        <v>30</v>
      </c>
      <c r="D1311" s="1">
        <f t="shared" ca="1" si="92"/>
        <v>53</v>
      </c>
      <c r="E1311" s="2">
        <f t="shared" ca="1" si="93"/>
        <v>43113</v>
      </c>
      <c r="F1311" s="6">
        <f t="shared" ca="1" si="94"/>
        <v>3.6754706486069884</v>
      </c>
    </row>
    <row r="1312" spans="1:6">
      <c r="A1312" s="1">
        <v>9125230</v>
      </c>
      <c r="B1312" s="1">
        <f t="shared" ca="1" si="91"/>
        <v>0.87816700992326713</v>
      </c>
      <c r="C1312" s="1">
        <f t="shared" ca="1" si="95"/>
        <v>14</v>
      </c>
      <c r="D1312" s="1">
        <f t="shared" ca="1" si="92"/>
        <v>576</v>
      </c>
      <c r="E1312" s="2">
        <f t="shared" ca="1" si="93"/>
        <v>42941</v>
      </c>
      <c r="F1312" s="6">
        <f t="shared" ca="1" si="94"/>
        <v>421.43481505756426</v>
      </c>
    </row>
    <row r="1313" spans="1:6">
      <c r="A1313" s="1">
        <v>9125233</v>
      </c>
      <c r="B1313" s="1">
        <f t="shared" ca="1" si="91"/>
        <v>0.24839525275311258</v>
      </c>
      <c r="C1313" s="1">
        <f t="shared" ca="1" si="95"/>
        <v>5</v>
      </c>
      <c r="D1313" s="1">
        <f t="shared" ca="1" si="92"/>
        <v>363</v>
      </c>
      <c r="E1313" s="2">
        <f t="shared" ca="1" si="93"/>
        <v>43492</v>
      </c>
      <c r="F1313" s="6">
        <f t="shared" ca="1" si="94"/>
        <v>16.146221678812179</v>
      </c>
    </row>
    <row r="1314" spans="1:6">
      <c r="A1314" s="1">
        <v>9125236</v>
      </c>
      <c r="B1314" s="1">
        <f t="shared" ca="1" si="91"/>
        <v>0.26715695480436608</v>
      </c>
      <c r="C1314" s="1">
        <f t="shared" ca="1" si="95"/>
        <v>25</v>
      </c>
      <c r="D1314" s="1">
        <f t="shared" ca="1" si="92"/>
        <v>257</v>
      </c>
      <c r="E1314" s="2">
        <f t="shared" ca="1" si="93"/>
        <v>42972</v>
      </c>
      <c r="F1314" s="6">
        <f t="shared" ca="1" si="94"/>
        <v>25.315236216067213</v>
      </c>
    </row>
    <row r="1315" spans="1:6">
      <c r="A1315" s="1">
        <v>9125239</v>
      </c>
      <c r="B1315" s="1">
        <f t="shared" ca="1" si="91"/>
        <v>4.0205853701830163E-3</v>
      </c>
      <c r="C1315" s="1">
        <f t="shared" ca="1" si="95"/>
        <v>24</v>
      </c>
      <c r="D1315" s="1">
        <f t="shared" ca="1" si="92"/>
        <v>334</v>
      </c>
      <c r="E1315" s="2">
        <f t="shared" ca="1" si="93"/>
        <v>43467</v>
      </c>
      <c r="F1315" s="6">
        <f t="shared" ca="1" si="94"/>
        <v>7.9885806548305185</v>
      </c>
    </row>
    <row r="1316" spans="1:6">
      <c r="A1316" s="1">
        <v>9125242</v>
      </c>
      <c r="B1316" s="1">
        <f t="shared" ca="1" si="91"/>
        <v>0.7969322449805798</v>
      </c>
      <c r="C1316" s="1">
        <f t="shared" ca="1" si="95"/>
        <v>16</v>
      </c>
      <c r="D1316" s="1">
        <f t="shared" ca="1" si="92"/>
        <v>465</v>
      </c>
      <c r="E1316" s="2">
        <f t="shared" ca="1" si="93"/>
        <v>43008</v>
      </c>
      <c r="F1316" s="6">
        <f t="shared" ca="1" si="94"/>
        <v>84.289370289191112</v>
      </c>
    </row>
    <row r="1317" spans="1:6">
      <c r="A1317" s="1">
        <v>9125245</v>
      </c>
      <c r="B1317" s="1">
        <f t="shared" ca="1" si="91"/>
        <v>0.24839850846480682</v>
      </c>
      <c r="C1317" s="1">
        <f t="shared" ca="1" si="95"/>
        <v>81</v>
      </c>
      <c r="D1317" s="1">
        <f t="shared" ca="1" si="92"/>
        <v>119</v>
      </c>
      <c r="E1317" s="2">
        <f t="shared" ca="1" si="93"/>
        <v>43187</v>
      </c>
      <c r="F1317" s="6">
        <f t="shared" ca="1" si="94"/>
        <v>12.929018273765172</v>
      </c>
    </row>
    <row r="1318" spans="1:6">
      <c r="A1318" s="1">
        <v>9125248</v>
      </c>
      <c r="B1318" s="1">
        <f t="shared" ca="1" si="91"/>
        <v>0.36134311047934931</v>
      </c>
      <c r="C1318" s="1">
        <f t="shared" ca="1" si="95"/>
        <v>12</v>
      </c>
      <c r="D1318" s="1">
        <f t="shared" ca="1" si="92"/>
        <v>292</v>
      </c>
      <c r="E1318" s="2">
        <f t="shared" ca="1" si="93"/>
        <v>43333</v>
      </c>
      <c r="F1318" s="6">
        <f t="shared" ca="1" si="94"/>
        <v>46.283363644758005</v>
      </c>
    </row>
    <row r="1319" spans="1:6">
      <c r="A1319" s="1">
        <v>9125251</v>
      </c>
      <c r="B1319" s="1">
        <f t="shared" ca="1" si="91"/>
        <v>0.82412803673892132</v>
      </c>
      <c r="C1319" s="1">
        <f t="shared" ca="1" si="95"/>
        <v>16</v>
      </c>
      <c r="D1319" s="1">
        <f t="shared" ca="1" si="92"/>
        <v>465</v>
      </c>
      <c r="E1319" s="2">
        <f t="shared" ca="1" si="93"/>
        <v>42900</v>
      </c>
      <c r="F1319" s="6">
        <f t="shared" ca="1" si="94"/>
        <v>16.168094620687455</v>
      </c>
    </row>
    <row r="1320" spans="1:6">
      <c r="A1320" s="1">
        <v>9125254</v>
      </c>
      <c r="B1320" s="1">
        <f t="shared" ca="1" si="91"/>
        <v>0.20290897789856766</v>
      </c>
      <c r="C1320" s="1">
        <f t="shared" ca="1" si="95"/>
        <v>2</v>
      </c>
      <c r="D1320" s="1">
        <f t="shared" ca="1" si="92"/>
        <v>30</v>
      </c>
      <c r="E1320" s="2">
        <f t="shared" ca="1" si="93"/>
        <v>43334</v>
      </c>
      <c r="F1320" s="6">
        <f t="shared" ca="1" si="94"/>
        <v>77.953086327719149</v>
      </c>
    </row>
    <row r="1321" spans="1:6">
      <c r="A1321" s="1">
        <v>9125257</v>
      </c>
      <c r="B1321" s="1">
        <f t="shared" ca="1" si="91"/>
        <v>0.8865813087275044</v>
      </c>
      <c r="C1321" s="1">
        <f t="shared" ca="1" si="95"/>
        <v>3</v>
      </c>
      <c r="D1321" s="1">
        <f t="shared" ca="1" si="92"/>
        <v>263</v>
      </c>
      <c r="E1321" s="2">
        <f t="shared" ca="1" si="93"/>
        <v>43052</v>
      </c>
      <c r="F1321" s="6">
        <f t="shared" ca="1" si="94"/>
        <v>21.898580821510638</v>
      </c>
    </row>
    <row r="1322" spans="1:6">
      <c r="A1322" s="1">
        <v>9125260</v>
      </c>
      <c r="B1322" s="1">
        <f t="shared" ca="1" si="91"/>
        <v>0.36569769527347729</v>
      </c>
      <c r="C1322" s="1">
        <f t="shared" ca="1" si="95"/>
        <v>4</v>
      </c>
      <c r="D1322" s="1">
        <f t="shared" ca="1" si="92"/>
        <v>493</v>
      </c>
      <c r="E1322" s="2">
        <f t="shared" ca="1" si="93"/>
        <v>43118</v>
      </c>
      <c r="F1322" s="6">
        <f t="shared" ca="1" si="94"/>
        <v>52.330596914548536</v>
      </c>
    </row>
    <row r="1323" spans="1:6">
      <c r="A1323" s="1">
        <v>9125263</v>
      </c>
      <c r="B1323" s="1">
        <f t="shared" ca="1" si="91"/>
        <v>0.36671293394069904</v>
      </c>
      <c r="C1323" s="1">
        <f t="shared" ca="1" si="95"/>
        <v>140</v>
      </c>
      <c r="D1323" s="1">
        <f t="shared" ca="1" si="92"/>
        <v>195</v>
      </c>
      <c r="E1323" s="2">
        <f t="shared" ca="1" si="93"/>
        <v>42871</v>
      </c>
      <c r="F1323" s="6">
        <f t="shared" ca="1" si="94"/>
        <v>3.039068123070948</v>
      </c>
    </row>
    <row r="1324" spans="1:6">
      <c r="A1324" s="1">
        <v>9125266</v>
      </c>
      <c r="B1324" s="1">
        <f t="shared" ca="1" si="91"/>
        <v>0.64087209247868404</v>
      </c>
      <c r="C1324" s="1">
        <f t="shared" ca="1" si="95"/>
        <v>23</v>
      </c>
      <c r="D1324" s="1">
        <f t="shared" ca="1" si="92"/>
        <v>516</v>
      </c>
      <c r="E1324" s="2">
        <f t="shared" ca="1" si="93"/>
        <v>43272</v>
      </c>
      <c r="F1324" s="6">
        <f t="shared" ca="1" si="94"/>
        <v>58.162220174476396</v>
      </c>
    </row>
    <row r="1325" spans="1:6">
      <c r="A1325" s="1">
        <v>9125269</v>
      </c>
      <c r="B1325" s="1">
        <f t="shared" ca="1" si="91"/>
        <v>0.69712058644405772</v>
      </c>
      <c r="C1325" s="1">
        <f t="shared" ca="1" si="95"/>
        <v>11</v>
      </c>
      <c r="D1325" s="1">
        <f t="shared" ca="1" si="92"/>
        <v>437</v>
      </c>
      <c r="E1325" s="2">
        <f t="shared" ca="1" si="93"/>
        <v>43269</v>
      </c>
      <c r="F1325" s="6">
        <f t="shared" ca="1" si="94"/>
        <v>22.723476566849911</v>
      </c>
    </row>
    <row r="1326" spans="1:6">
      <c r="A1326" s="1">
        <v>9125272</v>
      </c>
      <c r="B1326" s="1">
        <f t="shared" ca="1" si="91"/>
        <v>0.17421463412858096</v>
      </c>
      <c r="C1326" s="1">
        <f t="shared" ca="1" si="95"/>
        <v>10</v>
      </c>
      <c r="D1326" s="1">
        <f t="shared" ca="1" si="92"/>
        <v>236</v>
      </c>
      <c r="E1326" s="2">
        <f t="shared" ca="1" si="93"/>
        <v>43381</v>
      </c>
      <c r="F1326" s="6">
        <f t="shared" ca="1" si="94"/>
        <v>3.1081195303597902</v>
      </c>
    </row>
    <row r="1327" spans="1:6">
      <c r="A1327" s="1">
        <v>9125275</v>
      </c>
      <c r="B1327" s="1">
        <f t="shared" ca="1" si="91"/>
        <v>0.15943286912577981</v>
      </c>
      <c r="C1327" s="1">
        <f t="shared" ca="1" si="95"/>
        <v>4</v>
      </c>
      <c r="D1327" s="1">
        <f t="shared" ca="1" si="92"/>
        <v>493</v>
      </c>
      <c r="E1327" s="2">
        <f t="shared" ca="1" si="93"/>
        <v>43019</v>
      </c>
      <c r="F1327" s="6">
        <f t="shared" ca="1" si="94"/>
        <v>19.679156142085024</v>
      </c>
    </row>
    <row r="1328" spans="1:6">
      <c r="A1328" s="1">
        <v>9125278</v>
      </c>
      <c r="B1328" s="1">
        <f t="shared" ca="1" si="91"/>
        <v>1.0894066337831187E-2</v>
      </c>
      <c r="C1328" s="1">
        <f t="shared" ca="1" si="95"/>
        <v>13</v>
      </c>
      <c r="D1328" s="1">
        <f t="shared" ca="1" si="92"/>
        <v>80</v>
      </c>
      <c r="E1328" s="2">
        <f t="shared" ca="1" si="93"/>
        <v>42803</v>
      </c>
      <c r="F1328" s="6">
        <f t="shared" ca="1" si="94"/>
        <v>134.13337151396584</v>
      </c>
    </row>
    <row r="1329" spans="1:6">
      <c r="A1329" s="1">
        <v>9125281</v>
      </c>
      <c r="B1329" s="1">
        <f t="shared" ca="1" si="91"/>
        <v>0.60911341576263889</v>
      </c>
      <c r="C1329" s="1">
        <f t="shared" ca="1" si="95"/>
        <v>30</v>
      </c>
      <c r="D1329" s="1">
        <f t="shared" ca="1" si="92"/>
        <v>53</v>
      </c>
      <c r="E1329" s="2">
        <f t="shared" ca="1" si="93"/>
        <v>43434</v>
      </c>
      <c r="F1329" s="6">
        <f t="shared" ca="1" si="94"/>
        <v>107.84815145702866</v>
      </c>
    </row>
    <row r="1330" spans="1:6">
      <c r="A1330" s="1">
        <v>9125284</v>
      </c>
      <c r="B1330" s="1">
        <f t="shared" ca="1" si="91"/>
        <v>0.75683847989522712</v>
      </c>
      <c r="C1330" s="1">
        <f t="shared" ca="1" si="95"/>
        <v>18</v>
      </c>
      <c r="D1330" s="1">
        <f t="shared" ca="1" si="92"/>
        <v>511</v>
      </c>
      <c r="E1330" s="2">
        <f t="shared" ca="1" si="93"/>
        <v>42840</v>
      </c>
      <c r="F1330" s="6">
        <f t="shared" ca="1" si="94"/>
        <v>116.82340699491324</v>
      </c>
    </row>
    <row r="1331" spans="1:6">
      <c r="A1331" s="1">
        <v>9125287</v>
      </c>
      <c r="B1331" s="1">
        <f t="shared" ca="1" si="91"/>
        <v>0.43745998362108773</v>
      </c>
      <c r="C1331" s="1">
        <f t="shared" ca="1" si="95"/>
        <v>47</v>
      </c>
      <c r="D1331" s="1">
        <f t="shared" ca="1" si="92"/>
        <v>515</v>
      </c>
      <c r="E1331" s="2">
        <f t="shared" ca="1" si="93"/>
        <v>42878</v>
      </c>
      <c r="F1331" s="6">
        <f t="shared" ca="1" si="94"/>
        <v>41.885904466379628</v>
      </c>
    </row>
    <row r="1332" spans="1:6">
      <c r="A1332" s="1">
        <v>9125290</v>
      </c>
      <c r="B1332" s="1">
        <f t="shared" ca="1" si="91"/>
        <v>0.69830338436666384</v>
      </c>
      <c r="C1332" s="1">
        <f t="shared" ca="1" si="95"/>
        <v>1</v>
      </c>
      <c r="D1332" s="1">
        <f t="shared" ca="1" si="92"/>
        <v>474</v>
      </c>
      <c r="E1332" s="2">
        <f t="shared" ca="1" si="93"/>
        <v>43095</v>
      </c>
      <c r="F1332" s="6">
        <f t="shared" ca="1" si="94"/>
        <v>118.05057872684124</v>
      </c>
    </row>
    <row r="1333" spans="1:6">
      <c r="A1333" s="1">
        <v>9125293</v>
      </c>
      <c r="B1333" s="1">
        <f t="shared" ca="1" si="91"/>
        <v>0.98899685848967722</v>
      </c>
      <c r="C1333" s="1">
        <f t="shared" ca="1" si="95"/>
        <v>25</v>
      </c>
      <c r="D1333" s="1">
        <f t="shared" ca="1" si="92"/>
        <v>257</v>
      </c>
      <c r="E1333" s="2">
        <f t="shared" ca="1" si="93"/>
        <v>43012</v>
      </c>
      <c r="F1333" s="6">
        <f t="shared" ca="1" si="94"/>
        <v>25.237819824680308</v>
      </c>
    </row>
    <row r="1334" spans="1:6">
      <c r="A1334" s="1">
        <v>9125296</v>
      </c>
      <c r="B1334" s="1">
        <f t="shared" ca="1" si="91"/>
        <v>0.96386909114942254</v>
      </c>
      <c r="C1334" s="1">
        <f t="shared" ca="1" si="95"/>
        <v>196</v>
      </c>
      <c r="D1334" s="1">
        <f t="shared" ca="1" si="92"/>
        <v>546</v>
      </c>
      <c r="E1334" s="2">
        <f t="shared" ca="1" si="93"/>
        <v>42905</v>
      </c>
      <c r="F1334" s="6">
        <f t="shared" ca="1" si="94"/>
        <v>3.6109819603986106</v>
      </c>
    </row>
    <row r="1335" spans="1:6">
      <c r="A1335" s="1">
        <v>9125299</v>
      </c>
      <c r="B1335" s="1">
        <f t="shared" ca="1" si="91"/>
        <v>0.560301264644535</v>
      </c>
      <c r="C1335" s="1">
        <f t="shared" ca="1" si="95"/>
        <v>169</v>
      </c>
      <c r="D1335" s="1">
        <f t="shared" ca="1" si="92"/>
        <v>276</v>
      </c>
      <c r="E1335" s="2">
        <f t="shared" ca="1" si="93"/>
        <v>42935</v>
      </c>
      <c r="F1335" s="6">
        <f t="shared" ca="1" si="94"/>
        <v>144.85410595875274</v>
      </c>
    </row>
    <row r="1336" spans="1:6">
      <c r="A1336" s="1">
        <v>9125302</v>
      </c>
      <c r="B1336" s="1">
        <f t="shared" ca="1" si="91"/>
        <v>9.6239554549738648E-2</v>
      </c>
      <c r="C1336" s="1">
        <f t="shared" ca="1" si="95"/>
        <v>7</v>
      </c>
      <c r="D1336" s="1">
        <f t="shared" ca="1" si="92"/>
        <v>138</v>
      </c>
      <c r="E1336" s="2">
        <f t="shared" ca="1" si="93"/>
        <v>43036</v>
      </c>
      <c r="F1336" s="6">
        <f t="shared" ca="1" si="94"/>
        <v>48.647286739464143</v>
      </c>
    </row>
    <row r="1337" spans="1:6">
      <c r="A1337" s="1">
        <v>9125305</v>
      </c>
      <c r="B1337" s="1">
        <f t="shared" ca="1" si="91"/>
        <v>0.90053770628990149</v>
      </c>
      <c r="C1337" s="1">
        <f t="shared" ca="1" si="95"/>
        <v>171</v>
      </c>
      <c r="D1337" s="1">
        <f t="shared" ca="1" si="92"/>
        <v>348</v>
      </c>
      <c r="E1337" s="2">
        <f t="shared" ca="1" si="93"/>
        <v>42747</v>
      </c>
      <c r="F1337" s="6">
        <f t="shared" ca="1" si="94"/>
        <v>5.1755425395958685</v>
      </c>
    </row>
    <row r="1338" spans="1:6">
      <c r="A1338" s="1">
        <v>9125308</v>
      </c>
      <c r="B1338" s="1">
        <f t="shared" ca="1" si="91"/>
        <v>0.69853028648658422</v>
      </c>
      <c r="C1338" s="1">
        <f t="shared" ca="1" si="95"/>
        <v>5</v>
      </c>
      <c r="D1338" s="1">
        <f t="shared" ca="1" si="92"/>
        <v>363</v>
      </c>
      <c r="E1338" s="2">
        <f t="shared" ca="1" si="93"/>
        <v>43393</v>
      </c>
      <c r="F1338" s="6">
        <f t="shared" ca="1" si="94"/>
        <v>106.76561671702913</v>
      </c>
    </row>
    <row r="1339" spans="1:6">
      <c r="A1339" s="1">
        <v>9125311</v>
      </c>
      <c r="B1339" s="1">
        <f t="shared" ca="1" si="91"/>
        <v>0.77735115775354557</v>
      </c>
      <c r="C1339" s="1">
        <f t="shared" ca="1" si="95"/>
        <v>33</v>
      </c>
      <c r="D1339" s="1">
        <f t="shared" ca="1" si="92"/>
        <v>501</v>
      </c>
      <c r="E1339" s="2">
        <f t="shared" ca="1" si="93"/>
        <v>43286</v>
      </c>
      <c r="F1339" s="6">
        <f t="shared" ca="1" si="94"/>
        <v>7.150941052927541</v>
      </c>
    </row>
    <row r="1340" spans="1:6">
      <c r="A1340" s="1">
        <v>9125314</v>
      </c>
      <c r="B1340" s="1">
        <f t="shared" ca="1" si="91"/>
        <v>0.55064179446700812</v>
      </c>
      <c r="C1340" s="1">
        <f t="shared" ca="1" si="95"/>
        <v>38</v>
      </c>
      <c r="D1340" s="1">
        <f t="shared" ca="1" si="92"/>
        <v>400</v>
      </c>
      <c r="E1340" s="2">
        <f t="shared" ca="1" si="93"/>
        <v>42747</v>
      </c>
      <c r="F1340" s="6">
        <f t="shared" ca="1" si="94"/>
        <v>36.006899782732752</v>
      </c>
    </row>
    <row r="1341" spans="1:6">
      <c r="A1341" s="1">
        <v>9125317</v>
      </c>
      <c r="B1341" s="1">
        <f t="shared" ca="1" si="91"/>
        <v>0.74567175295863963</v>
      </c>
      <c r="C1341" s="1">
        <f t="shared" ca="1" si="95"/>
        <v>23</v>
      </c>
      <c r="D1341" s="1">
        <f t="shared" ca="1" si="92"/>
        <v>516</v>
      </c>
      <c r="E1341" s="2">
        <f t="shared" ca="1" si="93"/>
        <v>43112</v>
      </c>
      <c r="F1341" s="6">
        <f t="shared" ca="1" si="94"/>
        <v>9.6439600331409352</v>
      </c>
    </row>
    <row r="1342" spans="1:6">
      <c r="A1342" s="1">
        <v>9125320</v>
      </c>
      <c r="B1342" s="1">
        <f t="shared" ca="1" si="91"/>
        <v>0.96283642490161125</v>
      </c>
      <c r="C1342" s="1">
        <f t="shared" ca="1" si="95"/>
        <v>3</v>
      </c>
      <c r="D1342" s="1">
        <f t="shared" ca="1" si="92"/>
        <v>263</v>
      </c>
      <c r="E1342" s="2">
        <f t="shared" ca="1" si="93"/>
        <v>43262</v>
      </c>
      <c r="F1342" s="6">
        <f t="shared" ca="1" si="94"/>
        <v>58.001092792632292</v>
      </c>
    </row>
    <row r="1343" spans="1:6">
      <c r="A1343" s="1">
        <v>9125323</v>
      </c>
      <c r="B1343" s="1">
        <f t="shared" ca="1" si="91"/>
        <v>0.33178399314454188</v>
      </c>
      <c r="C1343" s="1">
        <f t="shared" ca="1" si="95"/>
        <v>36</v>
      </c>
      <c r="D1343" s="1">
        <f t="shared" ca="1" si="92"/>
        <v>529</v>
      </c>
      <c r="E1343" s="2">
        <f t="shared" ca="1" si="93"/>
        <v>42893</v>
      </c>
      <c r="F1343" s="6">
        <f t="shared" ca="1" si="94"/>
        <v>55.888161308304205</v>
      </c>
    </row>
    <row r="1344" spans="1:6">
      <c r="A1344" s="1">
        <v>9125326</v>
      </c>
      <c r="B1344" s="1">
        <f t="shared" ca="1" si="91"/>
        <v>7.1854991966086024E-3</v>
      </c>
      <c r="C1344" s="1">
        <f t="shared" ca="1" si="95"/>
        <v>61</v>
      </c>
      <c r="D1344" s="1">
        <f t="shared" ca="1" si="92"/>
        <v>92</v>
      </c>
      <c r="E1344" s="2">
        <f t="shared" ca="1" si="93"/>
        <v>43360</v>
      </c>
      <c r="F1344" s="6">
        <f t="shared" ca="1" si="94"/>
        <v>18.04631054977245</v>
      </c>
    </row>
    <row r="1345" spans="1:6">
      <c r="A1345" s="1">
        <v>9125329</v>
      </c>
      <c r="B1345" s="1">
        <f t="shared" ca="1" si="91"/>
        <v>0.4724285750026922</v>
      </c>
      <c r="C1345" s="1">
        <f t="shared" ca="1" si="95"/>
        <v>1</v>
      </c>
      <c r="D1345" s="1">
        <f t="shared" ca="1" si="92"/>
        <v>474</v>
      </c>
      <c r="E1345" s="2">
        <f t="shared" ca="1" si="93"/>
        <v>42944</v>
      </c>
      <c r="F1345" s="6">
        <f t="shared" ca="1" si="94"/>
        <v>125.11087799257005</v>
      </c>
    </row>
    <row r="1346" spans="1:6">
      <c r="A1346" s="1">
        <v>9125332</v>
      </c>
      <c r="B1346" s="1">
        <f t="shared" ref="B1346:B1409" ca="1" si="96">RAND()</f>
        <v>0.76237586730074292</v>
      </c>
      <c r="C1346" s="1">
        <f t="shared" ca="1" si="95"/>
        <v>55</v>
      </c>
      <c r="D1346" s="1">
        <f t="shared" ca="1" si="92"/>
        <v>220</v>
      </c>
      <c r="E1346" s="2">
        <f t="shared" ca="1" si="93"/>
        <v>42800</v>
      </c>
      <c r="F1346" s="6">
        <f t="shared" ca="1" si="94"/>
        <v>25.327711790718581</v>
      </c>
    </row>
    <row r="1347" spans="1:6">
      <c r="A1347" s="1">
        <v>9125335</v>
      </c>
      <c r="B1347" s="1">
        <f t="shared" ca="1" si="96"/>
        <v>7.453100851318184E-2</v>
      </c>
      <c r="C1347" s="1">
        <f t="shared" ca="1" si="95"/>
        <v>1</v>
      </c>
      <c r="D1347" s="1">
        <f t="shared" ref="D1347:D1410" ca="1" si="97">VLOOKUP(SMALL($B$2:$B$601,C1347),$B$2:$C$601,2,FALSE)</f>
        <v>474</v>
      </c>
      <c r="E1347" s="2">
        <f t="shared" ref="E1347:E1410" ca="1" si="98">RANDBETWEEN("1/1/17","2/1/19")</f>
        <v>43439</v>
      </c>
      <c r="F1347" s="6">
        <f t="shared" ref="F1347:F1410" ca="1" si="99">_xlfn.GAMMA.INV(RAND(),$J$6,$J$7)*100+3</f>
        <v>14.900315522020351</v>
      </c>
    </row>
    <row r="1348" spans="1:6">
      <c r="A1348" s="1">
        <v>9125338</v>
      </c>
      <c r="B1348" s="1">
        <f t="shared" ca="1" si="96"/>
        <v>0.434979095017066</v>
      </c>
      <c r="C1348" s="1">
        <f t="shared" ca="1" si="95"/>
        <v>122</v>
      </c>
      <c r="D1348" s="1">
        <f t="shared" ca="1" si="97"/>
        <v>33</v>
      </c>
      <c r="E1348" s="2">
        <f t="shared" ca="1" si="98"/>
        <v>43490</v>
      </c>
      <c r="F1348" s="6">
        <f t="shared" ca="1" si="99"/>
        <v>29.119458079012642</v>
      </c>
    </row>
    <row r="1349" spans="1:6">
      <c r="A1349" s="1">
        <v>9125341</v>
      </c>
      <c r="B1349" s="1">
        <f t="shared" ca="1" si="96"/>
        <v>0.39024232383964075</v>
      </c>
      <c r="C1349" s="1">
        <f t="shared" ca="1" si="95"/>
        <v>59</v>
      </c>
      <c r="D1349" s="1">
        <f t="shared" ca="1" si="97"/>
        <v>95</v>
      </c>
      <c r="E1349" s="2">
        <f t="shared" ca="1" si="98"/>
        <v>43202</v>
      </c>
      <c r="F1349" s="6">
        <f t="shared" ca="1" si="99"/>
        <v>33.625022102773855</v>
      </c>
    </row>
    <row r="1350" spans="1:6">
      <c r="A1350" s="1">
        <v>9125344</v>
      </c>
      <c r="B1350" s="1">
        <f t="shared" ca="1" si="96"/>
        <v>0.64236811860132459</v>
      </c>
      <c r="C1350" s="1">
        <f t="shared" ca="1" si="95"/>
        <v>29</v>
      </c>
      <c r="D1350" s="1">
        <f t="shared" ca="1" si="97"/>
        <v>514</v>
      </c>
      <c r="E1350" s="2">
        <f t="shared" ca="1" si="98"/>
        <v>42857</v>
      </c>
      <c r="F1350" s="6">
        <f t="shared" ca="1" si="99"/>
        <v>4.9866832831934431</v>
      </c>
    </row>
    <row r="1351" spans="1:6">
      <c r="A1351" s="1">
        <v>9125347</v>
      </c>
      <c r="B1351" s="1">
        <f t="shared" ca="1" si="96"/>
        <v>0.57751358462567048</v>
      </c>
      <c r="C1351" s="1">
        <f t="shared" ca="1" si="95"/>
        <v>8</v>
      </c>
      <c r="D1351" s="1">
        <f t="shared" ca="1" si="97"/>
        <v>456</v>
      </c>
      <c r="E1351" s="2">
        <f t="shared" ca="1" si="98"/>
        <v>42965</v>
      </c>
      <c r="F1351" s="6">
        <f t="shared" ca="1" si="99"/>
        <v>39.288398333229182</v>
      </c>
    </row>
    <row r="1352" spans="1:6">
      <c r="A1352" s="1">
        <v>9125350</v>
      </c>
      <c r="B1352" s="1">
        <f t="shared" ca="1" si="96"/>
        <v>0.550566493195905</v>
      </c>
      <c r="C1352" s="1">
        <f t="shared" ca="1" si="95"/>
        <v>119</v>
      </c>
      <c r="D1352" s="1">
        <f t="shared" ca="1" si="97"/>
        <v>184</v>
      </c>
      <c r="E1352" s="2">
        <f t="shared" ca="1" si="98"/>
        <v>43004</v>
      </c>
      <c r="F1352" s="6">
        <f t="shared" ca="1" si="99"/>
        <v>18.640245760930547</v>
      </c>
    </row>
    <row r="1353" spans="1:6">
      <c r="A1353" s="1">
        <v>9125353</v>
      </c>
      <c r="B1353" s="1">
        <f t="shared" ca="1" si="96"/>
        <v>0.81583360430071472</v>
      </c>
      <c r="C1353" s="1">
        <f t="shared" ca="1" si="95"/>
        <v>1</v>
      </c>
      <c r="D1353" s="1">
        <f t="shared" ca="1" si="97"/>
        <v>474</v>
      </c>
      <c r="E1353" s="2">
        <f t="shared" ca="1" si="98"/>
        <v>42964</v>
      </c>
      <c r="F1353" s="6">
        <f t="shared" ca="1" si="99"/>
        <v>101.88431526207093</v>
      </c>
    </row>
    <row r="1354" spans="1:6">
      <c r="A1354" s="1">
        <v>9125356</v>
      </c>
      <c r="B1354" s="1">
        <f t="shared" ca="1" si="96"/>
        <v>0.2077667917473619</v>
      </c>
      <c r="C1354" s="1">
        <f t="shared" ca="1" si="95"/>
        <v>56</v>
      </c>
      <c r="D1354" s="1">
        <f t="shared" ca="1" si="97"/>
        <v>57</v>
      </c>
      <c r="E1354" s="2">
        <f t="shared" ca="1" si="98"/>
        <v>43387</v>
      </c>
      <c r="F1354" s="6">
        <f t="shared" ca="1" si="99"/>
        <v>5.4061373160952435</v>
      </c>
    </row>
    <row r="1355" spans="1:6">
      <c r="A1355" s="1">
        <v>9125359</v>
      </c>
      <c r="B1355" s="1">
        <f t="shared" ca="1" si="96"/>
        <v>0.38268370652396166</v>
      </c>
      <c r="C1355" s="1">
        <f t="shared" ca="1" si="95"/>
        <v>41</v>
      </c>
      <c r="D1355" s="1">
        <f t="shared" ca="1" si="97"/>
        <v>37</v>
      </c>
      <c r="E1355" s="2">
        <f t="shared" ca="1" si="98"/>
        <v>43257</v>
      </c>
      <c r="F1355" s="6">
        <f t="shared" ca="1" si="99"/>
        <v>535.40515602748872</v>
      </c>
    </row>
    <row r="1356" spans="1:6">
      <c r="A1356" s="1">
        <v>9125362</v>
      </c>
      <c r="B1356" s="1">
        <f t="shared" ca="1" si="96"/>
        <v>0.35905473014331235</v>
      </c>
      <c r="C1356" s="1">
        <f t="shared" ca="1" si="95"/>
        <v>21</v>
      </c>
      <c r="D1356" s="1">
        <f t="shared" ca="1" si="97"/>
        <v>566</v>
      </c>
      <c r="E1356" s="2">
        <f t="shared" ca="1" si="98"/>
        <v>43014</v>
      </c>
      <c r="F1356" s="6">
        <f t="shared" ca="1" si="99"/>
        <v>112.46925890058831</v>
      </c>
    </row>
    <row r="1357" spans="1:6">
      <c r="A1357" s="1">
        <v>9125365</v>
      </c>
      <c r="B1357" s="1">
        <f t="shared" ca="1" si="96"/>
        <v>0.6302873105127913</v>
      </c>
      <c r="C1357" s="1">
        <f t="shared" ca="1" si="95"/>
        <v>3</v>
      </c>
      <c r="D1357" s="1">
        <f t="shared" ca="1" si="97"/>
        <v>263</v>
      </c>
      <c r="E1357" s="2">
        <f t="shared" ca="1" si="98"/>
        <v>42857</v>
      </c>
      <c r="F1357" s="6">
        <f t="shared" ca="1" si="99"/>
        <v>112.41489202260601</v>
      </c>
    </row>
    <row r="1358" spans="1:6">
      <c r="A1358" s="1">
        <v>9125368</v>
      </c>
      <c r="B1358" s="1">
        <f t="shared" ca="1" si="96"/>
        <v>0.64099196751893361</v>
      </c>
      <c r="C1358" s="1">
        <f t="shared" ca="1" si="95"/>
        <v>21</v>
      </c>
      <c r="D1358" s="1">
        <f t="shared" ca="1" si="97"/>
        <v>566</v>
      </c>
      <c r="E1358" s="2">
        <f t="shared" ca="1" si="98"/>
        <v>43447</v>
      </c>
      <c r="F1358" s="6">
        <f t="shared" ca="1" si="99"/>
        <v>17.481654196279123</v>
      </c>
    </row>
    <row r="1359" spans="1:6">
      <c r="A1359" s="1">
        <v>9125371</v>
      </c>
      <c r="B1359" s="1">
        <f t="shared" ca="1" si="96"/>
        <v>0.10502160669007343</v>
      </c>
      <c r="C1359" s="1">
        <f t="shared" ca="1" si="95"/>
        <v>55</v>
      </c>
      <c r="D1359" s="1">
        <f t="shared" ca="1" si="97"/>
        <v>220</v>
      </c>
      <c r="E1359" s="2">
        <f t="shared" ca="1" si="98"/>
        <v>43250</v>
      </c>
      <c r="F1359" s="6">
        <f t="shared" ca="1" si="99"/>
        <v>7.3946303521540244</v>
      </c>
    </row>
    <row r="1360" spans="1:6">
      <c r="A1360" s="1">
        <v>9125374</v>
      </c>
      <c r="B1360" s="1">
        <f t="shared" ca="1" si="96"/>
        <v>4.8821117933331992E-2</v>
      </c>
      <c r="C1360" s="1">
        <f t="shared" ca="1" si="95"/>
        <v>76</v>
      </c>
      <c r="D1360" s="1">
        <f t="shared" ca="1" si="97"/>
        <v>293</v>
      </c>
      <c r="E1360" s="2">
        <f t="shared" ca="1" si="98"/>
        <v>43160</v>
      </c>
      <c r="F1360" s="6">
        <f t="shared" ca="1" si="99"/>
        <v>3.4712323840792632</v>
      </c>
    </row>
    <row r="1361" spans="1:6">
      <c r="A1361" s="1">
        <v>9125377</v>
      </c>
      <c r="B1361" s="1">
        <f t="shared" ca="1" si="96"/>
        <v>0.29728078957331694</v>
      </c>
      <c r="C1361" s="1">
        <f t="shared" ca="1" si="95"/>
        <v>1</v>
      </c>
      <c r="D1361" s="1">
        <f t="shared" ca="1" si="97"/>
        <v>474</v>
      </c>
      <c r="E1361" s="2">
        <f t="shared" ca="1" si="98"/>
        <v>43226</v>
      </c>
      <c r="F1361" s="6">
        <f t="shared" ca="1" si="99"/>
        <v>12.500818167212238</v>
      </c>
    </row>
    <row r="1362" spans="1:6">
      <c r="A1362" s="1">
        <v>9125380</v>
      </c>
      <c r="B1362" s="1">
        <f t="shared" ca="1" si="96"/>
        <v>0.58851458735921358</v>
      </c>
      <c r="C1362" s="1">
        <f t="shared" ca="1" si="95"/>
        <v>20</v>
      </c>
      <c r="D1362" s="1">
        <f t="shared" ca="1" si="97"/>
        <v>444</v>
      </c>
      <c r="E1362" s="2">
        <f t="shared" ca="1" si="98"/>
        <v>43000</v>
      </c>
      <c r="F1362" s="6">
        <f t="shared" ca="1" si="99"/>
        <v>21.441711602913138</v>
      </c>
    </row>
    <row r="1363" spans="1:6">
      <c r="A1363" s="1">
        <v>9125383</v>
      </c>
      <c r="B1363" s="1">
        <f t="shared" ca="1" si="96"/>
        <v>0.92120221789988477</v>
      </c>
      <c r="C1363" s="1">
        <f t="shared" ca="1" si="95"/>
        <v>5</v>
      </c>
      <c r="D1363" s="1">
        <f t="shared" ca="1" si="97"/>
        <v>363</v>
      </c>
      <c r="E1363" s="2">
        <f t="shared" ca="1" si="98"/>
        <v>42840</v>
      </c>
      <c r="F1363" s="6">
        <f t="shared" ca="1" si="99"/>
        <v>5.6208503138468551</v>
      </c>
    </row>
    <row r="1364" spans="1:6">
      <c r="A1364" s="1">
        <v>9125386</v>
      </c>
      <c r="B1364" s="1">
        <f t="shared" ca="1" si="96"/>
        <v>2.9269212791742216E-2</v>
      </c>
      <c r="C1364" s="1">
        <f t="shared" ca="1" si="95"/>
        <v>3</v>
      </c>
      <c r="D1364" s="1">
        <f t="shared" ca="1" si="97"/>
        <v>263</v>
      </c>
      <c r="E1364" s="2">
        <f t="shared" ca="1" si="98"/>
        <v>43145</v>
      </c>
      <c r="F1364" s="6">
        <f t="shared" ca="1" si="99"/>
        <v>11.506211443289386</v>
      </c>
    </row>
    <row r="1365" spans="1:6">
      <c r="A1365" s="1">
        <v>9125389</v>
      </c>
      <c r="B1365" s="1">
        <f t="shared" ca="1" si="96"/>
        <v>0.32418507990160172</v>
      </c>
      <c r="C1365" s="1">
        <f t="shared" ca="1" si="95"/>
        <v>7</v>
      </c>
      <c r="D1365" s="1">
        <f t="shared" ca="1" si="97"/>
        <v>138</v>
      </c>
      <c r="E1365" s="2">
        <f t="shared" ca="1" si="98"/>
        <v>43105</v>
      </c>
      <c r="F1365" s="6">
        <f t="shared" ca="1" si="99"/>
        <v>5.4533270031370611</v>
      </c>
    </row>
    <row r="1366" spans="1:6">
      <c r="A1366" s="1">
        <v>9125392</v>
      </c>
      <c r="B1366" s="1">
        <f t="shared" ca="1" si="96"/>
        <v>0.67127104554553085</v>
      </c>
      <c r="C1366" s="1">
        <f t="shared" ca="1" si="95"/>
        <v>1</v>
      </c>
      <c r="D1366" s="1">
        <f t="shared" ca="1" si="97"/>
        <v>474</v>
      </c>
      <c r="E1366" s="2">
        <f t="shared" ca="1" si="98"/>
        <v>42759</v>
      </c>
      <c r="F1366" s="6">
        <f t="shared" ca="1" si="99"/>
        <v>50.218608924978177</v>
      </c>
    </row>
    <row r="1367" spans="1:6">
      <c r="A1367" s="1">
        <v>9125395</v>
      </c>
      <c r="B1367" s="1">
        <f t="shared" ca="1" si="96"/>
        <v>0.11264668385190391</v>
      </c>
      <c r="C1367" s="1">
        <f t="shared" ca="1" si="95"/>
        <v>175</v>
      </c>
      <c r="D1367" s="1">
        <f t="shared" ca="1" si="97"/>
        <v>453</v>
      </c>
      <c r="E1367" s="2">
        <f t="shared" ca="1" si="98"/>
        <v>43196</v>
      </c>
      <c r="F1367" s="6">
        <f t="shared" ca="1" si="99"/>
        <v>13.634147459906195</v>
      </c>
    </row>
    <row r="1368" spans="1:6">
      <c r="A1368" s="1">
        <v>9125398</v>
      </c>
      <c r="B1368" s="1">
        <f t="shared" ca="1" si="96"/>
        <v>0.82663965555582108</v>
      </c>
      <c r="C1368" s="1">
        <f t="shared" ca="1" si="95"/>
        <v>51</v>
      </c>
      <c r="D1368" s="1">
        <f t="shared" ca="1" si="97"/>
        <v>93</v>
      </c>
      <c r="E1368" s="2">
        <f t="shared" ca="1" si="98"/>
        <v>42825</v>
      </c>
      <c r="F1368" s="6">
        <f t="shared" ca="1" si="99"/>
        <v>11.105508933653027</v>
      </c>
    </row>
    <row r="1369" spans="1:6">
      <c r="A1369" s="1">
        <v>9125401</v>
      </c>
      <c r="B1369" s="1">
        <f t="shared" ca="1" si="96"/>
        <v>0.53830219010364377</v>
      </c>
      <c r="C1369" s="1">
        <f t="shared" ca="1" si="95"/>
        <v>3</v>
      </c>
      <c r="D1369" s="1">
        <f t="shared" ca="1" si="97"/>
        <v>263</v>
      </c>
      <c r="E1369" s="2">
        <f t="shared" ca="1" si="98"/>
        <v>43313</v>
      </c>
      <c r="F1369" s="6">
        <f t="shared" ca="1" si="99"/>
        <v>72.33329321393667</v>
      </c>
    </row>
    <row r="1370" spans="1:6">
      <c r="A1370" s="1">
        <v>9125404</v>
      </c>
      <c r="B1370" s="1">
        <f t="shared" ca="1" si="96"/>
        <v>9.6466581193999312E-2</v>
      </c>
      <c r="C1370" s="1">
        <f t="shared" ca="1" si="95"/>
        <v>31</v>
      </c>
      <c r="D1370" s="1">
        <f t="shared" ca="1" si="97"/>
        <v>535</v>
      </c>
      <c r="E1370" s="2">
        <f t="shared" ca="1" si="98"/>
        <v>43216</v>
      </c>
      <c r="F1370" s="6">
        <f t="shared" ca="1" si="99"/>
        <v>55.033887864579242</v>
      </c>
    </row>
    <row r="1371" spans="1:6">
      <c r="A1371" s="1">
        <v>9125407</v>
      </c>
      <c r="B1371" s="1">
        <f t="shared" ca="1" si="96"/>
        <v>4.2404680080580515E-2</v>
      </c>
      <c r="C1371" s="1">
        <f t="shared" ref="C1371:C1434" ca="1" si="100">ROUND(_xlfn.GAMMA.INV(RAND(),$J$11,$J$12)*100,0)+1</f>
        <v>28</v>
      </c>
      <c r="D1371" s="1">
        <f t="shared" ca="1" si="97"/>
        <v>401</v>
      </c>
      <c r="E1371" s="2">
        <f t="shared" ca="1" si="98"/>
        <v>43342</v>
      </c>
      <c r="F1371" s="6">
        <f t="shared" ca="1" si="99"/>
        <v>26.729733888824882</v>
      </c>
    </row>
    <row r="1372" spans="1:6">
      <c r="A1372" s="1">
        <v>9125410</v>
      </c>
      <c r="B1372" s="1">
        <f t="shared" ca="1" si="96"/>
        <v>0.73928629111870658</v>
      </c>
      <c r="C1372" s="1">
        <f t="shared" ca="1" si="100"/>
        <v>81</v>
      </c>
      <c r="D1372" s="1">
        <f t="shared" ca="1" si="97"/>
        <v>119</v>
      </c>
      <c r="E1372" s="2">
        <f t="shared" ca="1" si="98"/>
        <v>43147</v>
      </c>
      <c r="F1372" s="6">
        <f t="shared" ca="1" si="99"/>
        <v>38.301825353482727</v>
      </c>
    </row>
    <row r="1373" spans="1:6">
      <c r="A1373" s="1">
        <v>9125413</v>
      </c>
      <c r="B1373" s="1">
        <f t="shared" ca="1" si="96"/>
        <v>0.92012356544001794</v>
      </c>
      <c r="C1373" s="1">
        <f t="shared" ca="1" si="100"/>
        <v>69</v>
      </c>
      <c r="D1373" s="1">
        <f t="shared" ca="1" si="97"/>
        <v>142</v>
      </c>
      <c r="E1373" s="2">
        <f t="shared" ca="1" si="98"/>
        <v>43350</v>
      </c>
      <c r="F1373" s="6">
        <f t="shared" ca="1" si="99"/>
        <v>12.197150269225094</v>
      </c>
    </row>
    <row r="1374" spans="1:6">
      <c r="A1374" s="1">
        <v>9125416</v>
      </c>
      <c r="B1374" s="1">
        <f t="shared" ca="1" si="96"/>
        <v>0.50884169944522883</v>
      </c>
      <c r="C1374" s="1">
        <f t="shared" ca="1" si="100"/>
        <v>26</v>
      </c>
      <c r="D1374" s="1">
        <f t="shared" ca="1" si="97"/>
        <v>88</v>
      </c>
      <c r="E1374" s="2">
        <f t="shared" ca="1" si="98"/>
        <v>42907</v>
      </c>
      <c r="F1374" s="6">
        <f t="shared" ca="1" si="99"/>
        <v>3.0566014738530116</v>
      </c>
    </row>
    <row r="1375" spans="1:6">
      <c r="A1375" s="1">
        <v>9125419</v>
      </c>
      <c r="B1375" s="1">
        <f t="shared" ca="1" si="96"/>
        <v>0.28151463705662361</v>
      </c>
      <c r="C1375" s="1">
        <f t="shared" ca="1" si="100"/>
        <v>7</v>
      </c>
      <c r="D1375" s="1">
        <f t="shared" ca="1" si="97"/>
        <v>138</v>
      </c>
      <c r="E1375" s="2">
        <f t="shared" ca="1" si="98"/>
        <v>42885</v>
      </c>
      <c r="F1375" s="6">
        <f t="shared" ca="1" si="99"/>
        <v>7.0186323436286751</v>
      </c>
    </row>
    <row r="1376" spans="1:6">
      <c r="A1376" s="1">
        <v>9125422</v>
      </c>
      <c r="B1376" s="1">
        <f t="shared" ca="1" si="96"/>
        <v>0.62737627316496403</v>
      </c>
      <c r="C1376" s="1">
        <f t="shared" ca="1" si="100"/>
        <v>137</v>
      </c>
      <c r="D1376" s="1">
        <f t="shared" ca="1" si="97"/>
        <v>101</v>
      </c>
      <c r="E1376" s="2">
        <f t="shared" ca="1" si="98"/>
        <v>42912</v>
      </c>
      <c r="F1376" s="6">
        <f t="shared" ca="1" si="99"/>
        <v>3.0058357559191493</v>
      </c>
    </row>
    <row r="1377" spans="1:6">
      <c r="A1377" s="1">
        <v>9125425</v>
      </c>
      <c r="B1377" s="1">
        <f t="shared" ca="1" si="96"/>
        <v>0.97492258439666146</v>
      </c>
      <c r="C1377" s="1">
        <f t="shared" ca="1" si="100"/>
        <v>9</v>
      </c>
      <c r="D1377" s="1">
        <f t="shared" ca="1" si="97"/>
        <v>278</v>
      </c>
      <c r="E1377" s="2">
        <f t="shared" ca="1" si="98"/>
        <v>43014</v>
      </c>
      <c r="F1377" s="6">
        <f t="shared" ca="1" si="99"/>
        <v>95.12911275458994</v>
      </c>
    </row>
    <row r="1378" spans="1:6">
      <c r="A1378" s="1">
        <v>9125428</v>
      </c>
      <c r="B1378" s="1">
        <f t="shared" ca="1" si="96"/>
        <v>0.19939838419371037</v>
      </c>
      <c r="C1378" s="1">
        <f t="shared" ca="1" si="100"/>
        <v>2</v>
      </c>
      <c r="D1378" s="1">
        <f t="shared" ca="1" si="97"/>
        <v>30</v>
      </c>
      <c r="E1378" s="2">
        <f t="shared" ca="1" si="98"/>
        <v>43099</v>
      </c>
      <c r="F1378" s="6">
        <f t="shared" ca="1" si="99"/>
        <v>3.3404450203392644</v>
      </c>
    </row>
    <row r="1379" spans="1:6">
      <c r="A1379" s="1">
        <v>9125431</v>
      </c>
      <c r="B1379" s="1">
        <f t="shared" ca="1" si="96"/>
        <v>0.30174066930971999</v>
      </c>
      <c r="C1379" s="1">
        <f t="shared" ca="1" si="100"/>
        <v>168</v>
      </c>
      <c r="D1379" s="1">
        <f t="shared" ca="1" si="97"/>
        <v>125</v>
      </c>
      <c r="E1379" s="2">
        <f t="shared" ca="1" si="98"/>
        <v>43258</v>
      </c>
      <c r="F1379" s="6">
        <f t="shared" ca="1" si="99"/>
        <v>72.565752892944616</v>
      </c>
    </row>
    <row r="1380" spans="1:6">
      <c r="A1380" s="1">
        <v>9125434</v>
      </c>
      <c r="B1380" s="1">
        <f t="shared" ca="1" si="96"/>
        <v>0.8055639969957028</v>
      </c>
      <c r="C1380" s="1">
        <f t="shared" ca="1" si="100"/>
        <v>3</v>
      </c>
      <c r="D1380" s="1">
        <f t="shared" ca="1" si="97"/>
        <v>263</v>
      </c>
      <c r="E1380" s="2">
        <f t="shared" ca="1" si="98"/>
        <v>43364</v>
      </c>
      <c r="F1380" s="6">
        <f t="shared" ca="1" si="99"/>
        <v>51.353980734918444</v>
      </c>
    </row>
    <row r="1381" spans="1:6">
      <c r="A1381" s="1">
        <v>9125437</v>
      </c>
      <c r="B1381" s="1">
        <f t="shared" ca="1" si="96"/>
        <v>0.34784328716191226</v>
      </c>
      <c r="C1381" s="1">
        <f t="shared" ca="1" si="100"/>
        <v>23</v>
      </c>
      <c r="D1381" s="1">
        <f t="shared" ca="1" si="97"/>
        <v>516</v>
      </c>
      <c r="E1381" s="2">
        <f t="shared" ca="1" si="98"/>
        <v>43026</v>
      </c>
      <c r="F1381" s="6">
        <f t="shared" ca="1" si="99"/>
        <v>23.16031508282769</v>
      </c>
    </row>
    <row r="1382" spans="1:6">
      <c r="A1382" s="1">
        <v>9125440</v>
      </c>
      <c r="B1382" s="1">
        <f t="shared" ca="1" si="96"/>
        <v>0.62329581288850044</v>
      </c>
      <c r="C1382" s="1">
        <f t="shared" ca="1" si="100"/>
        <v>17</v>
      </c>
      <c r="D1382" s="1">
        <f t="shared" ca="1" si="97"/>
        <v>165</v>
      </c>
      <c r="E1382" s="2">
        <f t="shared" ca="1" si="98"/>
        <v>42905</v>
      </c>
      <c r="F1382" s="6">
        <f t="shared" ca="1" si="99"/>
        <v>13.315681271881175</v>
      </c>
    </row>
    <row r="1383" spans="1:6">
      <c r="A1383" s="1">
        <v>9125443</v>
      </c>
      <c r="B1383" s="1">
        <f t="shared" ca="1" si="96"/>
        <v>0.90928899001031149</v>
      </c>
      <c r="C1383" s="1">
        <f t="shared" ca="1" si="100"/>
        <v>89</v>
      </c>
      <c r="D1383" s="1">
        <f t="shared" ca="1" si="97"/>
        <v>340</v>
      </c>
      <c r="E1383" s="2">
        <f t="shared" ca="1" si="98"/>
        <v>43350</v>
      </c>
      <c r="F1383" s="6">
        <f t="shared" ca="1" si="99"/>
        <v>12.105496148494518</v>
      </c>
    </row>
    <row r="1384" spans="1:6">
      <c r="A1384" s="1">
        <v>9125446</v>
      </c>
      <c r="B1384" s="1">
        <f t="shared" ca="1" si="96"/>
        <v>2.1895127724536723E-2</v>
      </c>
      <c r="C1384" s="1">
        <f t="shared" ca="1" si="100"/>
        <v>2</v>
      </c>
      <c r="D1384" s="1">
        <f t="shared" ca="1" si="97"/>
        <v>30</v>
      </c>
      <c r="E1384" s="2">
        <f t="shared" ca="1" si="98"/>
        <v>43223</v>
      </c>
      <c r="F1384" s="6">
        <f t="shared" ca="1" si="99"/>
        <v>117.43499149134576</v>
      </c>
    </row>
    <row r="1385" spans="1:6">
      <c r="A1385" s="1">
        <v>9125449</v>
      </c>
      <c r="B1385" s="1">
        <f t="shared" ca="1" si="96"/>
        <v>0.21338550692275859</v>
      </c>
      <c r="C1385" s="1">
        <f t="shared" ca="1" si="100"/>
        <v>51</v>
      </c>
      <c r="D1385" s="1">
        <f t="shared" ca="1" si="97"/>
        <v>93</v>
      </c>
      <c r="E1385" s="2">
        <f t="shared" ca="1" si="98"/>
        <v>43150</v>
      </c>
      <c r="F1385" s="6">
        <f t="shared" ca="1" si="99"/>
        <v>8.194180590740352</v>
      </c>
    </row>
    <row r="1386" spans="1:6">
      <c r="A1386" s="1">
        <v>9125452</v>
      </c>
      <c r="B1386" s="1">
        <f t="shared" ca="1" si="96"/>
        <v>0.88663994369815524</v>
      </c>
      <c r="C1386" s="1">
        <f t="shared" ca="1" si="100"/>
        <v>32</v>
      </c>
      <c r="D1386" s="1">
        <f t="shared" ca="1" si="97"/>
        <v>497</v>
      </c>
      <c r="E1386" s="2">
        <f t="shared" ca="1" si="98"/>
        <v>43208</v>
      </c>
      <c r="F1386" s="6">
        <f t="shared" ca="1" si="99"/>
        <v>23.20229992060051</v>
      </c>
    </row>
    <row r="1387" spans="1:6">
      <c r="A1387" s="1">
        <v>9125455</v>
      </c>
      <c r="B1387" s="1">
        <f t="shared" ca="1" si="96"/>
        <v>0.5016516961431654</v>
      </c>
      <c r="C1387" s="1">
        <f t="shared" ca="1" si="100"/>
        <v>9</v>
      </c>
      <c r="D1387" s="1">
        <f t="shared" ca="1" si="97"/>
        <v>278</v>
      </c>
      <c r="E1387" s="2">
        <f t="shared" ca="1" si="98"/>
        <v>43063</v>
      </c>
      <c r="F1387" s="6">
        <f t="shared" ca="1" si="99"/>
        <v>5.981281840558629</v>
      </c>
    </row>
    <row r="1388" spans="1:6">
      <c r="A1388" s="1">
        <v>9125458</v>
      </c>
      <c r="B1388" s="1">
        <f t="shared" ca="1" si="96"/>
        <v>0.73423292767700554</v>
      </c>
      <c r="C1388" s="1">
        <f t="shared" ca="1" si="100"/>
        <v>15</v>
      </c>
      <c r="D1388" s="1">
        <f t="shared" ca="1" si="97"/>
        <v>284</v>
      </c>
      <c r="E1388" s="2">
        <f t="shared" ca="1" si="98"/>
        <v>42953</v>
      </c>
      <c r="F1388" s="6">
        <f t="shared" ca="1" si="99"/>
        <v>30.377985817484401</v>
      </c>
    </row>
    <row r="1389" spans="1:6">
      <c r="A1389" s="1">
        <v>9125461</v>
      </c>
      <c r="B1389" s="1">
        <f t="shared" ca="1" si="96"/>
        <v>0.99900268230822475</v>
      </c>
      <c r="C1389" s="1">
        <f t="shared" ca="1" si="100"/>
        <v>6</v>
      </c>
      <c r="D1389" s="1">
        <f t="shared" ca="1" si="97"/>
        <v>208</v>
      </c>
      <c r="E1389" s="2">
        <f t="shared" ca="1" si="98"/>
        <v>43206</v>
      </c>
      <c r="F1389" s="6">
        <f t="shared" ca="1" si="99"/>
        <v>219.12574650648546</v>
      </c>
    </row>
    <row r="1390" spans="1:6">
      <c r="A1390" s="1">
        <v>9125464</v>
      </c>
      <c r="B1390" s="1">
        <f t="shared" ca="1" si="96"/>
        <v>0.26744507372066062</v>
      </c>
      <c r="C1390" s="1">
        <f t="shared" ca="1" si="100"/>
        <v>230</v>
      </c>
      <c r="D1390" s="1">
        <f t="shared" ca="1" si="97"/>
        <v>2</v>
      </c>
      <c r="E1390" s="2">
        <f t="shared" ca="1" si="98"/>
        <v>42931</v>
      </c>
      <c r="F1390" s="6">
        <f t="shared" ca="1" si="99"/>
        <v>70.774105493751094</v>
      </c>
    </row>
    <row r="1391" spans="1:6">
      <c r="A1391" s="1">
        <v>9125467</v>
      </c>
      <c r="B1391" s="1">
        <f t="shared" ca="1" si="96"/>
        <v>0.95404880385071822</v>
      </c>
      <c r="C1391" s="1">
        <f t="shared" ca="1" si="100"/>
        <v>31</v>
      </c>
      <c r="D1391" s="1">
        <f t="shared" ca="1" si="97"/>
        <v>535</v>
      </c>
      <c r="E1391" s="2">
        <f t="shared" ca="1" si="98"/>
        <v>43164</v>
      </c>
      <c r="F1391" s="6">
        <f t="shared" ca="1" si="99"/>
        <v>12.188030511700859</v>
      </c>
    </row>
    <row r="1392" spans="1:6">
      <c r="A1392" s="1">
        <v>9125470</v>
      </c>
      <c r="B1392" s="1">
        <f t="shared" ca="1" si="96"/>
        <v>6.6549667255371037E-2</v>
      </c>
      <c r="C1392" s="1">
        <f t="shared" ca="1" si="100"/>
        <v>31</v>
      </c>
      <c r="D1392" s="1">
        <f t="shared" ca="1" si="97"/>
        <v>535</v>
      </c>
      <c r="E1392" s="2">
        <f t="shared" ca="1" si="98"/>
        <v>43234</v>
      </c>
      <c r="F1392" s="6">
        <f t="shared" ca="1" si="99"/>
        <v>4.3798435634398754</v>
      </c>
    </row>
    <row r="1393" spans="1:6">
      <c r="A1393" s="1">
        <v>9125473</v>
      </c>
      <c r="B1393" s="1">
        <f t="shared" ca="1" si="96"/>
        <v>0.94471438618470083</v>
      </c>
      <c r="C1393" s="1">
        <f t="shared" ca="1" si="100"/>
        <v>113</v>
      </c>
      <c r="D1393" s="1">
        <f t="shared" ca="1" si="97"/>
        <v>330</v>
      </c>
      <c r="E1393" s="2">
        <f t="shared" ca="1" si="98"/>
        <v>43256</v>
      </c>
      <c r="F1393" s="6">
        <f t="shared" ca="1" si="99"/>
        <v>44.65051580595577</v>
      </c>
    </row>
    <row r="1394" spans="1:6">
      <c r="A1394" s="1">
        <v>9125476</v>
      </c>
      <c r="B1394" s="1">
        <f t="shared" ca="1" si="96"/>
        <v>0.63989184858931492</v>
      </c>
      <c r="C1394" s="1">
        <f t="shared" ca="1" si="100"/>
        <v>1</v>
      </c>
      <c r="D1394" s="1">
        <f t="shared" ca="1" si="97"/>
        <v>474</v>
      </c>
      <c r="E1394" s="2">
        <f t="shared" ca="1" si="98"/>
        <v>42743</v>
      </c>
      <c r="F1394" s="6">
        <f t="shared" ca="1" si="99"/>
        <v>3.5563247711590829</v>
      </c>
    </row>
    <row r="1395" spans="1:6">
      <c r="A1395" s="1">
        <v>9125479</v>
      </c>
      <c r="B1395" s="1">
        <f t="shared" ca="1" si="96"/>
        <v>1.2253626803566675E-2</v>
      </c>
      <c r="C1395" s="1">
        <f t="shared" ca="1" si="100"/>
        <v>24</v>
      </c>
      <c r="D1395" s="1">
        <f t="shared" ca="1" si="97"/>
        <v>334</v>
      </c>
      <c r="E1395" s="2">
        <f t="shared" ca="1" si="98"/>
        <v>43201</v>
      </c>
      <c r="F1395" s="6">
        <f t="shared" ca="1" si="99"/>
        <v>27.966406529026859</v>
      </c>
    </row>
    <row r="1396" spans="1:6">
      <c r="A1396" s="1">
        <v>9125482</v>
      </c>
      <c r="B1396" s="1">
        <f t="shared" ca="1" si="96"/>
        <v>0.56842265075745291</v>
      </c>
      <c r="C1396" s="1">
        <f t="shared" ca="1" si="100"/>
        <v>8</v>
      </c>
      <c r="D1396" s="1">
        <f t="shared" ca="1" si="97"/>
        <v>456</v>
      </c>
      <c r="E1396" s="2">
        <f t="shared" ca="1" si="98"/>
        <v>43019</v>
      </c>
      <c r="F1396" s="6">
        <f t="shared" ca="1" si="99"/>
        <v>53.830500655814028</v>
      </c>
    </row>
    <row r="1397" spans="1:6">
      <c r="A1397" s="1">
        <v>9125485</v>
      </c>
      <c r="B1397" s="1">
        <f t="shared" ca="1" si="96"/>
        <v>0.88980368015471745</v>
      </c>
      <c r="C1397" s="1">
        <f t="shared" ca="1" si="100"/>
        <v>41</v>
      </c>
      <c r="D1397" s="1">
        <f t="shared" ca="1" si="97"/>
        <v>37</v>
      </c>
      <c r="E1397" s="2">
        <f t="shared" ca="1" si="98"/>
        <v>42874</v>
      </c>
      <c r="F1397" s="6">
        <f t="shared" ca="1" si="99"/>
        <v>118.67812712779374</v>
      </c>
    </row>
    <row r="1398" spans="1:6">
      <c r="A1398" s="1">
        <v>9125488</v>
      </c>
      <c r="B1398" s="1">
        <f t="shared" ca="1" si="96"/>
        <v>0.39260123873092978</v>
      </c>
      <c r="C1398" s="1">
        <f t="shared" ca="1" si="100"/>
        <v>5</v>
      </c>
      <c r="D1398" s="1">
        <f t="shared" ca="1" si="97"/>
        <v>363</v>
      </c>
      <c r="E1398" s="2">
        <f t="shared" ca="1" si="98"/>
        <v>43240</v>
      </c>
      <c r="F1398" s="6">
        <f t="shared" ca="1" si="99"/>
        <v>66.033468880103271</v>
      </c>
    </row>
    <row r="1399" spans="1:6">
      <c r="A1399" s="1">
        <v>9125491</v>
      </c>
      <c r="B1399" s="1">
        <f t="shared" ca="1" si="96"/>
        <v>5.5733956833352805E-2</v>
      </c>
      <c r="C1399" s="1">
        <f t="shared" ca="1" si="100"/>
        <v>119</v>
      </c>
      <c r="D1399" s="1">
        <f t="shared" ca="1" si="97"/>
        <v>184</v>
      </c>
      <c r="E1399" s="2">
        <f t="shared" ca="1" si="98"/>
        <v>43147</v>
      </c>
      <c r="F1399" s="6">
        <f t="shared" ca="1" si="99"/>
        <v>119.900075772601</v>
      </c>
    </row>
    <row r="1400" spans="1:6">
      <c r="A1400" s="1">
        <v>9125494</v>
      </c>
      <c r="B1400" s="1">
        <f t="shared" ca="1" si="96"/>
        <v>9.3388014848726386E-2</v>
      </c>
      <c r="C1400" s="1">
        <f t="shared" ca="1" si="100"/>
        <v>1</v>
      </c>
      <c r="D1400" s="1">
        <f t="shared" ca="1" si="97"/>
        <v>474</v>
      </c>
      <c r="E1400" s="2">
        <f t="shared" ca="1" si="98"/>
        <v>42774</v>
      </c>
      <c r="F1400" s="6">
        <f t="shared" ca="1" si="99"/>
        <v>33.221790108191882</v>
      </c>
    </row>
    <row r="1401" spans="1:6">
      <c r="A1401" s="1">
        <v>9125497</v>
      </c>
      <c r="B1401" s="1">
        <f t="shared" ca="1" si="96"/>
        <v>0.87995232937756984</v>
      </c>
      <c r="C1401" s="1">
        <f t="shared" ca="1" si="100"/>
        <v>10</v>
      </c>
      <c r="D1401" s="1">
        <f t="shared" ca="1" si="97"/>
        <v>236</v>
      </c>
      <c r="E1401" s="2">
        <f t="shared" ca="1" si="98"/>
        <v>43292</v>
      </c>
      <c r="F1401" s="6">
        <f t="shared" ca="1" si="99"/>
        <v>72.331020144158501</v>
      </c>
    </row>
    <row r="1402" spans="1:6">
      <c r="A1402" s="1">
        <v>9125500</v>
      </c>
      <c r="B1402" s="1">
        <f t="shared" ca="1" si="96"/>
        <v>0.44517827187135539</v>
      </c>
      <c r="C1402" s="1">
        <f t="shared" ca="1" si="100"/>
        <v>10</v>
      </c>
      <c r="D1402" s="1">
        <f t="shared" ca="1" si="97"/>
        <v>236</v>
      </c>
      <c r="E1402" s="2">
        <f t="shared" ca="1" si="98"/>
        <v>43304</v>
      </c>
      <c r="F1402" s="6">
        <f t="shared" ca="1" si="99"/>
        <v>19.543148424657598</v>
      </c>
    </row>
    <row r="1403" spans="1:6">
      <c r="A1403" s="1">
        <v>9125503</v>
      </c>
      <c r="B1403" s="1">
        <f t="shared" ca="1" si="96"/>
        <v>0.44854041296873681</v>
      </c>
      <c r="C1403" s="1">
        <f t="shared" ca="1" si="100"/>
        <v>29</v>
      </c>
      <c r="D1403" s="1">
        <f t="shared" ca="1" si="97"/>
        <v>514</v>
      </c>
      <c r="E1403" s="2">
        <f t="shared" ca="1" si="98"/>
        <v>43180</v>
      </c>
      <c r="F1403" s="6">
        <f t="shared" ca="1" si="99"/>
        <v>14.546741669330022</v>
      </c>
    </row>
    <row r="1404" spans="1:6">
      <c r="A1404" s="1">
        <v>9125506</v>
      </c>
      <c r="B1404" s="1">
        <f t="shared" ca="1" si="96"/>
        <v>0.32535724311951042</v>
      </c>
      <c r="C1404" s="1">
        <f t="shared" ca="1" si="100"/>
        <v>3</v>
      </c>
      <c r="D1404" s="1">
        <f t="shared" ca="1" si="97"/>
        <v>263</v>
      </c>
      <c r="E1404" s="2">
        <f t="shared" ca="1" si="98"/>
        <v>42744</v>
      </c>
      <c r="F1404" s="6">
        <f t="shared" ca="1" si="99"/>
        <v>3.4308156111142702</v>
      </c>
    </row>
    <row r="1405" spans="1:6">
      <c r="A1405" s="1">
        <v>9125509</v>
      </c>
      <c r="B1405" s="1">
        <f t="shared" ca="1" si="96"/>
        <v>0.29156471822647922</v>
      </c>
      <c r="C1405" s="1">
        <f t="shared" ca="1" si="100"/>
        <v>50</v>
      </c>
      <c r="D1405" s="1">
        <f t="shared" ca="1" si="97"/>
        <v>415</v>
      </c>
      <c r="E1405" s="2">
        <f t="shared" ca="1" si="98"/>
        <v>42863</v>
      </c>
      <c r="F1405" s="6">
        <f t="shared" ca="1" si="99"/>
        <v>83.439355936297332</v>
      </c>
    </row>
    <row r="1406" spans="1:6">
      <c r="A1406" s="1">
        <v>9125512</v>
      </c>
      <c r="B1406" s="1">
        <f t="shared" ca="1" si="96"/>
        <v>0.47315507669377754</v>
      </c>
      <c r="C1406" s="1">
        <f t="shared" ca="1" si="100"/>
        <v>17</v>
      </c>
      <c r="D1406" s="1">
        <f t="shared" ca="1" si="97"/>
        <v>165</v>
      </c>
      <c r="E1406" s="2">
        <f t="shared" ca="1" si="98"/>
        <v>43250</v>
      </c>
      <c r="F1406" s="6">
        <f t="shared" ca="1" si="99"/>
        <v>27.517538620877328</v>
      </c>
    </row>
    <row r="1407" spans="1:6">
      <c r="A1407" s="1">
        <v>9125515</v>
      </c>
      <c r="B1407" s="1">
        <f t="shared" ca="1" si="96"/>
        <v>0.14279811274892407</v>
      </c>
      <c r="C1407" s="1">
        <f t="shared" ca="1" si="100"/>
        <v>24</v>
      </c>
      <c r="D1407" s="1">
        <f t="shared" ca="1" si="97"/>
        <v>334</v>
      </c>
      <c r="E1407" s="2">
        <f t="shared" ca="1" si="98"/>
        <v>42965</v>
      </c>
      <c r="F1407" s="6">
        <f t="shared" ca="1" si="99"/>
        <v>32.902488655025849</v>
      </c>
    </row>
    <row r="1408" spans="1:6">
      <c r="A1408" s="1">
        <v>9125518</v>
      </c>
      <c r="B1408" s="1">
        <f t="shared" ca="1" si="96"/>
        <v>0.21212063223473132</v>
      </c>
      <c r="C1408" s="1">
        <f t="shared" ca="1" si="100"/>
        <v>1</v>
      </c>
      <c r="D1408" s="1">
        <f t="shared" ca="1" si="97"/>
        <v>474</v>
      </c>
      <c r="E1408" s="2">
        <f t="shared" ca="1" si="98"/>
        <v>43419</v>
      </c>
      <c r="F1408" s="6">
        <f t="shared" ca="1" si="99"/>
        <v>139.14630548721598</v>
      </c>
    </row>
    <row r="1409" spans="1:6">
      <c r="A1409" s="1">
        <v>9125521</v>
      </c>
      <c r="B1409" s="1">
        <f t="shared" ca="1" si="96"/>
        <v>0.69579447291739227</v>
      </c>
      <c r="C1409" s="1">
        <f t="shared" ca="1" si="100"/>
        <v>13</v>
      </c>
      <c r="D1409" s="1">
        <f t="shared" ca="1" si="97"/>
        <v>80</v>
      </c>
      <c r="E1409" s="2">
        <f t="shared" ca="1" si="98"/>
        <v>42802</v>
      </c>
      <c r="F1409" s="6">
        <f t="shared" ca="1" si="99"/>
        <v>7.096460547342792</v>
      </c>
    </row>
    <row r="1410" spans="1:6">
      <c r="A1410" s="1">
        <v>9125524</v>
      </c>
      <c r="B1410" s="1">
        <f t="shared" ref="B1410:B1473" ca="1" si="101">RAND()</f>
        <v>0.87663618360444517</v>
      </c>
      <c r="C1410" s="1">
        <f t="shared" ca="1" si="100"/>
        <v>8</v>
      </c>
      <c r="D1410" s="1">
        <f t="shared" ca="1" si="97"/>
        <v>456</v>
      </c>
      <c r="E1410" s="2">
        <f t="shared" ca="1" si="98"/>
        <v>43115</v>
      </c>
      <c r="F1410" s="6">
        <f t="shared" ca="1" si="99"/>
        <v>110.9753245323882</v>
      </c>
    </row>
    <row r="1411" spans="1:6">
      <c r="A1411" s="1">
        <v>9125527</v>
      </c>
      <c r="B1411" s="1">
        <f t="shared" ca="1" si="101"/>
        <v>0.62613680782426517</v>
      </c>
      <c r="C1411" s="1">
        <f t="shared" ca="1" si="100"/>
        <v>33</v>
      </c>
      <c r="D1411" s="1">
        <f t="shared" ref="D1411:D1474" ca="1" si="102">VLOOKUP(SMALL($B$2:$B$601,C1411),$B$2:$C$601,2,FALSE)</f>
        <v>501</v>
      </c>
      <c r="E1411" s="2">
        <f t="shared" ref="E1411:E1474" ca="1" si="103">RANDBETWEEN("1/1/17","2/1/19")</f>
        <v>42869</v>
      </c>
      <c r="F1411" s="6">
        <f t="shared" ref="F1411:F1474" ca="1" si="104">_xlfn.GAMMA.INV(RAND(),$J$6,$J$7)*100+3</f>
        <v>39.508153674725214</v>
      </c>
    </row>
    <row r="1412" spans="1:6">
      <c r="A1412" s="1">
        <v>9125530</v>
      </c>
      <c r="B1412" s="1">
        <f t="shared" ca="1" si="101"/>
        <v>0.7001631990063294</v>
      </c>
      <c r="C1412" s="1">
        <f t="shared" ca="1" si="100"/>
        <v>37</v>
      </c>
      <c r="D1412" s="1">
        <f t="shared" ca="1" si="102"/>
        <v>517</v>
      </c>
      <c r="E1412" s="2">
        <f t="shared" ca="1" si="103"/>
        <v>42814</v>
      </c>
      <c r="F1412" s="6">
        <f t="shared" ca="1" si="104"/>
        <v>64.370413190485408</v>
      </c>
    </row>
    <row r="1413" spans="1:6">
      <c r="A1413" s="1">
        <v>9125533</v>
      </c>
      <c r="B1413" s="1">
        <f t="shared" ca="1" si="101"/>
        <v>0.29475283870855984</v>
      </c>
      <c r="C1413" s="1">
        <f t="shared" ca="1" si="100"/>
        <v>62</v>
      </c>
      <c r="D1413" s="1">
        <f t="shared" ca="1" si="102"/>
        <v>235</v>
      </c>
      <c r="E1413" s="2">
        <f t="shared" ca="1" si="103"/>
        <v>42927</v>
      </c>
      <c r="F1413" s="6">
        <f t="shared" ca="1" si="104"/>
        <v>18.947967209729526</v>
      </c>
    </row>
    <row r="1414" spans="1:6">
      <c r="A1414" s="1">
        <v>9125536</v>
      </c>
      <c r="B1414" s="1">
        <f t="shared" ca="1" si="101"/>
        <v>2.7152535629837438E-3</v>
      </c>
      <c r="C1414" s="1">
        <f t="shared" ca="1" si="100"/>
        <v>290</v>
      </c>
      <c r="D1414" s="1">
        <f t="shared" ca="1" si="102"/>
        <v>377</v>
      </c>
      <c r="E1414" s="2">
        <f t="shared" ca="1" si="103"/>
        <v>43480</v>
      </c>
      <c r="F1414" s="6">
        <f t="shared" ca="1" si="104"/>
        <v>6.2098886978876093</v>
      </c>
    </row>
    <row r="1415" spans="1:6">
      <c r="A1415" s="1">
        <v>9125539</v>
      </c>
      <c r="B1415" s="1">
        <f t="shared" ca="1" si="101"/>
        <v>0.20244321918045849</v>
      </c>
      <c r="C1415" s="1">
        <f t="shared" ca="1" si="100"/>
        <v>49</v>
      </c>
      <c r="D1415" s="1">
        <f t="shared" ca="1" si="102"/>
        <v>26</v>
      </c>
      <c r="E1415" s="2">
        <f t="shared" ca="1" si="103"/>
        <v>43029</v>
      </c>
      <c r="F1415" s="6">
        <f t="shared" ca="1" si="104"/>
        <v>12.704046883926564</v>
      </c>
    </row>
    <row r="1416" spans="1:6">
      <c r="A1416" s="1">
        <v>9125542</v>
      </c>
      <c r="B1416" s="1">
        <f t="shared" ca="1" si="101"/>
        <v>0.56536882588608361</v>
      </c>
      <c r="C1416" s="1">
        <f t="shared" ca="1" si="100"/>
        <v>2</v>
      </c>
      <c r="D1416" s="1">
        <f t="shared" ca="1" si="102"/>
        <v>30</v>
      </c>
      <c r="E1416" s="2">
        <f t="shared" ca="1" si="103"/>
        <v>43279</v>
      </c>
      <c r="F1416" s="6">
        <f t="shared" ca="1" si="104"/>
        <v>96.413664660176707</v>
      </c>
    </row>
    <row r="1417" spans="1:6">
      <c r="A1417" s="1">
        <v>9125545</v>
      </c>
      <c r="B1417" s="1">
        <f t="shared" ca="1" si="101"/>
        <v>0.86099702473199868</v>
      </c>
      <c r="C1417" s="1">
        <f t="shared" ca="1" si="100"/>
        <v>175</v>
      </c>
      <c r="D1417" s="1">
        <f t="shared" ca="1" si="102"/>
        <v>453</v>
      </c>
      <c r="E1417" s="2">
        <f t="shared" ca="1" si="103"/>
        <v>42831</v>
      </c>
      <c r="F1417" s="6">
        <f t="shared" ca="1" si="104"/>
        <v>3.185853305437786</v>
      </c>
    </row>
    <row r="1418" spans="1:6">
      <c r="A1418" s="1">
        <v>9125548</v>
      </c>
      <c r="B1418" s="1">
        <f t="shared" ca="1" si="101"/>
        <v>9.7347458560841038E-2</v>
      </c>
      <c r="C1418" s="1">
        <f t="shared" ca="1" si="100"/>
        <v>69</v>
      </c>
      <c r="D1418" s="1">
        <f t="shared" ca="1" si="102"/>
        <v>142</v>
      </c>
      <c r="E1418" s="2">
        <f t="shared" ca="1" si="103"/>
        <v>43094</v>
      </c>
      <c r="F1418" s="6">
        <f t="shared" ca="1" si="104"/>
        <v>6.8944153557221934</v>
      </c>
    </row>
    <row r="1419" spans="1:6">
      <c r="A1419" s="1">
        <v>9125551</v>
      </c>
      <c r="B1419" s="1">
        <f t="shared" ca="1" si="101"/>
        <v>0.23944792664463177</v>
      </c>
      <c r="C1419" s="1">
        <f t="shared" ca="1" si="100"/>
        <v>66</v>
      </c>
      <c r="D1419" s="1">
        <f t="shared" ca="1" si="102"/>
        <v>128</v>
      </c>
      <c r="E1419" s="2">
        <f t="shared" ca="1" si="103"/>
        <v>43472</v>
      </c>
      <c r="F1419" s="6">
        <f t="shared" ca="1" si="104"/>
        <v>3.968892075834956</v>
      </c>
    </row>
    <row r="1420" spans="1:6">
      <c r="A1420" s="1">
        <v>9125554</v>
      </c>
      <c r="B1420" s="1">
        <f t="shared" ca="1" si="101"/>
        <v>0.29327105569960343</v>
      </c>
      <c r="C1420" s="1">
        <f t="shared" ca="1" si="100"/>
        <v>80</v>
      </c>
      <c r="D1420" s="1">
        <f t="shared" ca="1" si="102"/>
        <v>163</v>
      </c>
      <c r="E1420" s="2">
        <f t="shared" ca="1" si="103"/>
        <v>43396</v>
      </c>
      <c r="F1420" s="6">
        <f t="shared" ca="1" si="104"/>
        <v>7.416067745071838</v>
      </c>
    </row>
    <row r="1421" spans="1:6">
      <c r="A1421" s="1">
        <v>9125557</v>
      </c>
      <c r="B1421" s="1">
        <f t="shared" ca="1" si="101"/>
        <v>0.49577230430886277</v>
      </c>
      <c r="C1421" s="1">
        <f t="shared" ca="1" si="100"/>
        <v>120</v>
      </c>
      <c r="D1421" s="1">
        <f t="shared" ca="1" si="102"/>
        <v>543</v>
      </c>
      <c r="E1421" s="2">
        <f t="shared" ca="1" si="103"/>
        <v>43126</v>
      </c>
      <c r="F1421" s="6">
        <f t="shared" ca="1" si="104"/>
        <v>86.313958398936478</v>
      </c>
    </row>
    <row r="1422" spans="1:6">
      <c r="A1422" s="1">
        <v>9125560</v>
      </c>
      <c r="B1422" s="1">
        <f t="shared" ca="1" si="101"/>
        <v>0.7013143430573463</v>
      </c>
      <c r="C1422" s="1">
        <f t="shared" ca="1" si="100"/>
        <v>56</v>
      </c>
      <c r="D1422" s="1">
        <f t="shared" ca="1" si="102"/>
        <v>57</v>
      </c>
      <c r="E1422" s="2">
        <f t="shared" ca="1" si="103"/>
        <v>43342</v>
      </c>
      <c r="F1422" s="6">
        <f t="shared" ca="1" si="104"/>
        <v>60.666104515684268</v>
      </c>
    </row>
    <row r="1423" spans="1:6">
      <c r="A1423" s="1">
        <v>9125563</v>
      </c>
      <c r="B1423" s="1">
        <f t="shared" ca="1" si="101"/>
        <v>0.11030800301756305</v>
      </c>
      <c r="C1423" s="1">
        <f t="shared" ca="1" si="100"/>
        <v>26</v>
      </c>
      <c r="D1423" s="1">
        <f t="shared" ca="1" si="102"/>
        <v>88</v>
      </c>
      <c r="E1423" s="2">
        <f t="shared" ca="1" si="103"/>
        <v>43129</v>
      </c>
      <c r="F1423" s="6">
        <f t="shared" ca="1" si="104"/>
        <v>9.9441590389818177</v>
      </c>
    </row>
    <row r="1424" spans="1:6">
      <c r="A1424" s="1">
        <v>9125566</v>
      </c>
      <c r="B1424" s="1">
        <f t="shared" ca="1" si="101"/>
        <v>0.7125145746742314</v>
      </c>
      <c r="C1424" s="1">
        <f t="shared" ca="1" si="100"/>
        <v>30</v>
      </c>
      <c r="D1424" s="1">
        <f t="shared" ca="1" si="102"/>
        <v>53</v>
      </c>
      <c r="E1424" s="2">
        <f t="shared" ca="1" si="103"/>
        <v>43116</v>
      </c>
      <c r="F1424" s="6">
        <f t="shared" ca="1" si="104"/>
        <v>42.712832604107007</v>
      </c>
    </row>
    <row r="1425" spans="1:6">
      <c r="A1425" s="1">
        <v>9125569</v>
      </c>
      <c r="B1425" s="1">
        <f t="shared" ca="1" si="101"/>
        <v>0.86153192831741032</v>
      </c>
      <c r="C1425" s="1">
        <f t="shared" ca="1" si="100"/>
        <v>9</v>
      </c>
      <c r="D1425" s="1">
        <f t="shared" ca="1" si="102"/>
        <v>278</v>
      </c>
      <c r="E1425" s="2">
        <f t="shared" ca="1" si="103"/>
        <v>42932</v>
      </c>
      <c r="F1425" s="6">
        <f t="shared" ca="1" si="104"/>
        <v>63.935568458725285</v>
      </c>
    </row>
    <row r="1426" spans="1:6">
      <c r="A1426" s="1">
        <v>9125572</v>
      </c>
      <c r="B1426" s="1">
        <f t="shared" ca="1" si="101"/>
        <v>0.57731300804115382</v>
      </c>
      <c r="C1426" s="1">
        <f t="shared" ca="1" si="100"/>
        <v>1</v>
      </c>
      <c r="D1426" s="1">
        <f t="shared" ca="1" si="102"/>
        <v>474</v>
      </c>
      <c r="E1426" s="2">
        <f t="shared" ca="1" si="103"/>
        <v>42995</v>
      </c>
      <c r="F1426" s="6">
        <f t="shared" ca="1" si="104"/>
        <v>194.88223040170612</v>
      </c>
    </row>
    <row r="1427" spans="1:6">
      <c r="A1427" s="1">
        <v>9125575</v>
      </c>
      <c r="B1427" s="1">
        <f t="shared" ca="1" si="101"/>
        <v>0.40555434084358999</v>
      </c>
      <c r="C1427" s="1">
        <f t="shared" ca="1" si="100"/>
        <v>153</v>
      </c>
      <c r="D1427" s="1">
        <f t="shared" ca="1" si="102"/>
        <v>316</v>
      </c>
      <c r="E1427" s="2">
        <f t="shared" ca="1" si="103"/>
        <v>42979</v>
      </c>
      <c r="F1427" s="6">
        <f t="shared" ca="1" si="104"/>
        <v>238.03209310481327</v>
      </c>
    </row>
    <row r="1428" spans="1:6">
      <c r="A1428" s="1">
        <v>9125578</v>
      </c>
      <c r="B1428" s="1">
        <f t="shared" ca="1" si="101"/>
        <v>0.45746829274448675</v>
      </c>
      <c r="C1428" s="1">
        <f t="shared" ca="1" si="100"/>
        <v>66</v>
      </c>
      <c r="D1428" s="1">
        <f t="shared" ca="1" si="102"/>
        <v>128</v>
      </c>
      <c r="E1428" s="2">
        <f t="shared" ca="1" si="103"/>
        <v>42862</v>
      </c>
      <c r="F1428" s="6">
        <f t="shared" ca="1" si="104"/>
        <v>47.005933949391093</v>
      </c>
    </row>
    <row r="1429" spans="1:6">
      <c r="A1429" s="1">
        <v>9125581</v>
      </c>
      <c r="B1429" s="1">
        <f t="shared" ca="1" si="101"/>
        <v>0.17446127101111741</v>
      </c>
      <c r="C1429" s="1">
        <f t="shared" ca="1" si="100"/>
        <v>202</v>
      </c>
      <c r="D1429" s="1">
        <f t="shared" ca="1" si="102"/>
        <v>255</v>
      </c>
      <c r="E1429" s="2">
        <f t="shared" ca="1" si="103"/>
        <v>43496</v>
      </c>
      <c r="F1429" s="6">
        <f t="shared" ca="1" si="104"/>
        <v>3.5004435060108379</v>
      </c>
    </row>
    <row r="1430" spans="1:6">
      <c r="A1430" s="1">
        <v>9125584</v>
      </c>
      <c r="B1430" s="1">
        <f t="shared" ca="1" si="101"/>
        <v>0.81712091038572787</v>
      </c>
      <c r="C1430" s="1">
        <f t="shared" ca="1" si="100"/>
        <v>81</v>
      </c>
      <c r="D1430" s="1">
        <f t="shared" ca="1" si="102"/>
        <v>119</v>
      </c>
      <c r="E1430" s="2">
        <f t="shared" ca="1" si="103"/>
        <v>42797</v>
      </c>
      <c r="F1430" s="6">
        <f t="shared" ca="1" si="104"/>
        <v>6.4384351138919964</v>
      </c>
    </row>
    <row r="1431" spans="1:6">
      <c r="A1431" s="1">
        <v>9125587</v>
      </c>
      <c r="B1431" s="1">
        <f t="shared" ca="1" si="101"/>
        <v>0.92091292151058413</v>
      </c>
      <c r="C1431" s="1">
        <f t="shared" ca="1" si="100"/>
        <v>2</v>
      </c>
      <c r="D1431" s="1">
        <f t="shared" ca="1" si="102"/>
        <v>30</v>
      </c>
      <c r="E1431" s="2">
        <f t="shared" ca="1" si="103"/>
        <v>43460</v>
      </c>
      <c r="F1431" s="6">
        <f t="shared" ca="1" si="104"/>
        <v>7.9480872336552109</v>
      </c>
    </row>
    <row r="1432" spans="1:6">
      <c r="A1432" s="1">
        <v>9125590</v>
      </c>
      <c r="B1432" s="1">
        <f t="shared" ca="1" si="101"/>
        <v>0.83623170955897574</v>
      </c>
      <c r="C1432" s="1">
        <f t="shared" ca="1" si="100"/>
        <v>5</v>
      </c>
      <c r="D1432" s="1">
        <f t="shared" ca="1" si="102"/>
        <v>363</v>
      </c>
      <c r="E1432" s="2">
        <f t="shared" ca="1" si="103"/>
        <v>42990</v>
      </c>
      <c r="F1432" s="6">
        <f t="shared" ca="1" si="104"/>
        <v>3.8240255356248873</v>
      </c>
    </row>
    <row r="1433" spans="1:6">
      <c r="A1433" s="1">
        <v>9125593</v>
      </c>
      <c r="B1433" s="1">
        <f t="shared" ca="1" si="101"/>
        <v>0.62216377649359755</v>
      </c>
      <c r="C1433" s="1">
        <f t="shared" ca="1" si="100"/>
        <v>1</v>
      </c>
      <c r="D1433" s="1">
        <f t="shared" ca="1" si="102"/>
        <v>474</v>
      </c>
      <c r="E1433" s="2">
        <f t="shared" ca="1" si="103"/>
        <v>43230</v>
      </c>
      <c r="F1433" s="6">
        <f t="shared" ca="1" si="104"/>
        <v>277.48111182711364</v>
      </c>
    </row>
    <row r="1434" spans="1:6">
      <c r="A1434" s="1">
        <v>9125596</v>
      </c>
      <c r="B1434" s="1">
        <f t="shared" ca="1" si="101"/>
        <v>0.54966934697245429</v>
      </c>
      <c r="C1434" s="1">
        <f t="shared" ca="1" si="100"/>
        <v>253</v>
      </c>
      <c r="D1434" s="1">
        <f t="shared" ca="1" si="102"/>
        <v>407</v>
      </c>
      <c r="E1434" s="2">
        <f t="shared" ca="1" si="103"/>
        <v>43171</v>
      </c>
      <c r="F1434" s="6">
        <f t="shared" ca="1" si="104"/>
        <v>3.0247817002044903</v>
      </c>
    </row>
    <row r="1435" spans="1:6">
      <c r="A1435" s="1">
        <v>9125599</v>
      </c>
      <c r="B1435" s="1">
        <f t="shared" ca="1" si="101"/>
        <v>0.80180316843874788</v>
      </c>
      <c r="C1435" s="1">
        <f t="shared" ref="C1435:C1498" ca="1" si="105">ROUND(_xlfn.GAMMA.INV(RAND(),$J$11,$J$12)*100,0)+1</f>
        <v>101</v>
      </c>
      <c r="D1435" s="1">
        <f t="shared" ca="1" si="102"/>
        <v>166</v>
      </c>
      <c r="E1435" s="2">
        <f t="shared" ca="1" si="103"/>
        <v>43280</v>
      </c>
      <c r="F1435" s="6">
        <f t="shared" ca="1" si="104"/>
        <v>50.964657565092629</v>
      </c>
    </row>
    <row r="1436" spans="1:6">
      <c r="A1436" s="1">
        <v>9125602</v>
      </c>
      <c r="B1436" s="1">
        <f t="shared" ca="1" si="101"/>
        <v>0.51587652861255229</v>
      </c>
      <c r="C1436" s="1">
        <f t="shared" ca="1" si="105"/>
        <v>70</v>
      </c>
      <c r="D1436" s="1">
        <f t="shared" ca="1" si="102"/>
        <v>82</v>
      </c>
      <c r="E1436" s="2">
        <f t="shared" ca="1" si="103"/>
        <v>43022</v>
      </c>
      <c r="F1436" s="6">
        <f t="shared" ca="1" si="104"/>
        <v>25.151044942929783</v>
      </c>
    </row>
    <row r="1437" spans="1:6">
      <c r="A1437" s="1">
        <v>9125605</v>
      </c>
      <c r="B1437" s="1">
        <f t="shared" ca="1" si="101"/>
        <v>0.58816714601101916</v>
      </c>
      <c r="C1437" s="1">
        <f t="shared" ca="1" si="105"/>
        <v>10</v>
      </c>
      <c r="D1437" s="1">
        <f t="shared" ca="1" si="102"/>
        <v>236</v>
      </c>
      <c r="E1437" s="2">
        <f t="shared" ca="1" si="103"/>
        <v>43089</v>
      </c>
      <c r="F1437" s="6">
        <f t="shared" ca="1" si="104"/>
        <v>20.030154001525641</v>
      </c>
    </row>
    <row r="1438" spans="1:6">
      <c r="A1438" s="1">
        <v>9125608</v>
      </c>
      <c r="B1438" s="1">
        <f t="shared" ca="1" si="101"/>
        <v>0.58769984361100092</v>
      </c>
      <c r="C1438" s="1">
        <f t="shared" ca="1" si="105"/>
        <v>64</v>
      </c>
      <c r="D1438" s="1">
        <f t="shared" ca="1" si="102"/>
        <v>1</v>
      </c>
      <c r="E1438" s="2">
        <f t="shared" ca="1" si="103"/>
        <v>43161</v>
      </c>
      <c r="F1438" s="6">
        <f t="shared" ca="1" si="104"/>
        <v>34.442568336739114</v>
      </c>
    </row>
    <row r="1439" spans="1:6">
      <c r="A1439" s="1">
        <v>9125611</v>
      </c>
      <c r="B1439" s="1">
        <f t="shared" ca="1" si="101"/>
        <v>0.65638282171033313</v>
      </c>
      <c r="C1439" s="1">
        <f t="shared" ca="1" si="105"/>
        <v>2</v>
      </c>
      <c r="D1439" s="1">
        <f t="shared" ca="1" si="102"/>
        <v>30</v>
      </c>
      <c r="E1439" s="2">
        <f t="shared" ca="1" si="103"/>
        <v>42888</v>
      </c>
      <c r="F1439" s="6">
        <f t="shared" ca="1" si="104"/>
        <v>52.220611110655113</v>
      </c>
    </row>
    <row r="1440" spans="1:6">
      <c r="A1440" s="1">
        <v>9125614</v>
      </c>
      <c r="B1440" s="1">
        <f t="shared" ca="1" si="101"/>
        <v>0.45137150933484871</v>
      </c>
      <c r="C1440" s="1">
        <f t="shared" ca="1" si="105"/>
        <v>40</v>
      </c>
      <c r="D1440" s="1">
        <f t="shared" ca="1" si="102"/>
        <v>426</v>
      </c>
      <c r="E1440" s="2">
        <f t="shared" ca="1" si="103"/>
        <v>42869</v>
      </c>
      <c r="F1440" s="6">
        <f t="shared" ca="1" si="104"/>
        <v>3.2473847053438263</v>
      </c>
    </row>
    <row r="1441" spans="1:6">
      <c r="A1441" s="1">
        <v>9125617</v>
      </c>
      <c r="B1441" s="1">
        <f t="shared" ca="1" si="101"/>
        <v>0.70159763736023628</v>
      </c>
      <c r="C1441" s="1">
        <f t="shared" ca="1" si="105"/>
        <v>2</v>
      </c>
      <c r="D1441" s="1">
        <f t="shared" ca="1" si="102"/>
        <v>30</v>
      </c>
      <c r="E1441" s="2">
        <f t="shared" ca="1" si="103"/>
        <v>43031</v>
      </c>
      <c r="F1441" s="6">
        <f t="shared" ca="1" si="104"/>
        <v>28.812184526125481</v>
      </c>
    </row>
    <row r="1442" spans="1:6">
      <c r="A1442" s="1">
        <v>9125620</v>
      </c>
      <c r="B1442" s="1">
        <f t="shared" ca="1" si="101"/>
        <v>0.45497381497506484</v>
      </c>
      <c r="C1442" s="1">
        <f t="shared" ca="1" si="105"/>
        <v>133</v>
      </c>
      <c r="D1442" s="1">
        <f t="shared" ca="1" si="102"/>
        <v>124</v>
      </c>
      <c r="E1442" s="2">
        <f t="shared" ca="1" si="103"/>
        <v>43327</v>
      </c>
      <c r="F1442" s="6">
        <f t="shared" ca="1" si="104"/>
        <v>3.136678896800094</v>
      </c>
    </row>
    <row r="1443" spans="1:6">
      <c r="A1443" s="1">
        <v>9125623</v>
      </c>
      <c r="B1443" s="1">
        <f t="shared" ca="1" si="101"/>
        <v>0.7434802019399217</v>
      </c>
      <c r="C1443" s="1">
        <f t="shared" ca="1" si="105"/>
        <v>123</v>
      </c>
      <c r="D1443" s="1">
        <f t="shared" ca="1" si="102"/>
        <v>288</v>
      </c>
      <c r="E1443" s="2">
        <f t="shared" ca="1" si="103"/>
        <v>42901</v>
      </c>
      <c r="F1443" s="6">
        <f t="shared" ca="1" si="104"/>
        <v>5.3632850345720389</v>
      </c>
    </row>
    <row r="1444" spans="1:6">
      <c r="A1444" s="1">
        <v>9125626</v>
      </c>
      <c r="B1444" s="1">
        <f t="shared" ca="1" si="101"/>
        <v>0.76036619797998095</v>
      </c>
      <c r="C1444" s="1">
        <f t="shared" ca="1" si="105"/>
        <v>3</v>
      </c>
      <c r="D1444" s="1">
        <f t="shared" ca="1" si="102"/>
        <v>263</v>
      </c>
      <c r="E1444" s="2">
        <f t="shared" ca="1" si="103"/>
        <v>43183</v>
      </c>
      <c r="F1444" s="6">
        <f t="shared" ca="1" si="104"/>
        <v>7.3443966269751044</v>
      </c>
    </row>
    <row r="1445" spans="1:6">
      <c r="A1445" s="1">
        <v>9125629</v>
      </c>
      <c r="B1445" s="1">
        <f t="shared" ca="1" si="101"/>
        <v>7.6724513489605073E-2</v>
      </c>
      <c r="C1445" s="1">
        <f t="shared" ca="1" si="105"/>
        <v>3</v>
      </c>
      <c r="D1445" s="1">
        <f t="shared" ca="1" si="102"/>
        <v>263</v>
      </c>
      <c r="E1445" s="2">
        <f t="shared" ca="1" si="103"/>
        <v>43326</v>
      </c>
      <c r="F1445" s="6">
        <f t="shared" ca="1" si="104"/>
        <v>56.44788235096717</v>
      </c>
    </row>
    <row r="1446" spans="1:6">
      <c r="A1446" s="1">
        <v>9125632</v>
      </c>
      <c r="B1446" s="1">
        <f t="shared" ca="1" si="101"/>
        <v>0.3105622513798052</v>
      </c>
      <c r="C1446" s="1">
        <f t="shared" ca="1" si="105"/>
        <v>1</v>
      </c>
      <c r="D1446" s="1">
        <f t="shared" ca="1" si="102"/>
        <v>474</v>
      </c>
      <c r="E1446" s="2">
        <f t="shared" ca="1" si="103"/>
        <v>42874</v>
      </c>
      <c r="F1446" s="6">
        <f t="shared" ca="1" si="104"/>
        <v>73.955355752602273</v>
      </c>
    </row>
    <row r="1447" spans="1:6">
      <c r="A1447" s="1">
        <v>9125635</v>
      </c>
      <c r="B1447" s="1">
        <f t="shared" ca="1" si="101"/>
        <v>0.34501447759055781</v>
      </c>
      <c r="C1447" s="1">
        <f t="shared" ca="1" si="105"/>
        <v>11</v>
      </c>
      <c r="D1447" s="1">
        <f t="shared" ca="1" si="102"/>
        <v>437</v>
      </c>
      <c r="E1447" s="2">
        <f t="shared" ca="1" si="103"/>
        <v>42892</v>
      </c>
      <c r="F1447" s="6">
        <f t="shared" ca="1" si="104"/>
        <v>24.018004548845788</v>
      </c>
    </row>
    <row r="1448" spans="1:6">
      <c r="A1448" s="1">
        <v>9125638</v>
      </c>
      <c r="B1448" s="1">
        <f t="shared" ca="1" si="101"/>
        <v>2.6219633483412164E-2</v>
      </c>
      <c r="C1448" s="1">
        <f t="shared" ca="1" si="105"/>
        <v>40</v>
      </c>
      <c r="D1448" s="1">
        <f t="shared" ca="1" si="102"/>
        <v>426</v>
      </c>
      <c r="E1448" s="2">
        <f t="shared" ca="1" si="103"/>
        <v>43127</v>
      </c>
      <c r="F1448" s="6">
        <f t="shared" ca="1" si="104"/>
        <v>33.365780794654839</v>
      </c>
    </row>
    <row r="1449" spans="1:6">
      <c r="A1449" s="1">
        <v>9125641</v>
      </c>
      <c r="B1449" s="1">
        <f t="shared" ca="1" si="101"/>
        <v>0.53867947364202839</v>
      </c>
      <c r="C1449" s="1">
        <f t="shared" ca="1" si="105"/>
        <v>129</v>
      </c>
      <c r="D1449" s="1">
        <f t="shared" ca="1" si="102"/>
        <v>393</v>
      </c>
      <c r="E1449" s="2">
        <f t="shared" ca="1" si="103"/>
        <v>43191</v>
      </c>
      <c r="F1449" s="6">
        <f t="shared" ca="1" si="104"/>
        <v>3.5359367545769684</v>
      </c>
    </row>
    <row r="1450" spans="1:6">
      <c r="A1450" s="1">
        <v>9125644</v>
      </c>
      <c r="B1450" s="1">
        <f t="shared" ca="1" si="101"/>
        <v>0.37677056325656977</v>
      </c>
      <c r="C1450" s="1">
        <f t="shared" ca="1" si="105"/>
        <v>316</v>
      </c>
      <c r="D1450" s="1">
        <f t="shared" ca="1" si="102"/>
        <v>448</v>
      </c>
      <c r="E1450" s="2">
        <f t="shared" ca="1" si="103"/>
        <v>43312</v>
      </c>
      <c r="F1450" s="6">
        <f t="shared" ca="1" si="104"/>
        <v>4.0487335043341677</v>
      </c>
    </row>
    <row r="1451" spans="1:6">
      <c r="A1451" s="1">
        <v>9125647</v>
      </c>
      <c r="B1451" s="1">
        <f t="shared" ca="1" si="101"/>
        <v>3.9604273045811045E-2</v>
      </c>
      <c r="C1451" s="1">
        <f t="shared" ca="1" si="105"/>
        <v>29</v>
      </c>
      <c r="D1451" s="1">
        <f t="shared" ca="1" si="102"/>
        <v>514</v>
      </c>
      <c r="E1451" s="2">
        <f t="shared" ca="1" si="103"/>
        <v>43027</v>
      </c>
      <c r="F1451" s="6">
        <f t="shared" ca="1" si="104"/>
        <v>9.3914953197340942</v>
      </c>
    </row>
    <row r="1452" spans="1:6">
      <c r="A1452" s="1">
        <v>9125650</v>
      </c>
      <c r="B1452" s="1">
        <f t="shared" ca="1" si="101"/>
        <v>0.76838702413131721</v>
      </c>
      <c r="C1452" s="1">
        <f t="shared" ca="1" si="105"/>
        <v>1</v>
      </c>
      <c r="D1452" s="1">
        <f t="shared" ca="1" si="102"/>
        <v>474</v>
      </c>
      <c r="E1452" s="2">
        <f t="shared" ca="1" si="103"/>
        <v>43042</v>
      </c>
      <c r="F1452" s="6">
        <f t="shared" ca="1" si="104"/>
        <v>63.320365450897249</v>
      </c>
    </row>
    <row r="1453" spans="1:6">
      <c r="A1453" s="1">
        <v>9125653</v>
      </c>
      <c r="B1453" s="1">
        <f t="shared" ca="1" si="101"/>
        <v>0.49100984391089819</v>
      </c>
      <c r="C1453" s="1">
        <f t="shared" ca="1" si="105"/>
        <v>9</v>
      </c>
      <c r="D1453" s="1">
        <f t="shared" ca="1" si="102"/>
        <v>278</v>
      </c>
      <c r="E1453" s="2">
        <f t="shared" ca="1" si="103"/>
        <v>43045</v>
      </c>
      <c r="F1453" s="6">
        <f t="shared" ca="1" si="104"/>
        <v>32.946692174889051</v>
      </c>
    </row>
    <row r="1454" spans="1:6">
      <c r="A1454" s="1">
        <v>9125656</v>
      </c>
      <c r="B1454" s="1">
        <f t="shared" ca="1" si="101"/>
        <v>0.65606586412401657</v>
      </c>
      <c r="C1454" s="1">
        <f t="shared" ca="1" si="105"/>
        <v>53</v>
      </c>
      <c r="D1454" s="1">
        <f t="shared" ca="1" si="102"/>
        <v>155</v>
      </c>
      <c r="E1454" s="2">
        <f t="shared" ca="1" si="103"/>
        <v>43112</v>
      </c>
      <c r="F1454" s="6">
        <f t="shared" ca="1" si="104"/>
        <v>24.591284927649486</v>
      </c>
    </row>
    <row r="1455" spans="1:6">
      <c r="A1455" s="1">
        <v>9125659</v>
      </c>
      <c r="B1455" s="1">
        <f t="shared" ca="1" si="101"/>
        <v>0.80239678481752519</v>
      </c>
      <c r="C1455" s="1">
        <f t="shared" ca="1" si="105"/>
        <v>17</v>
      </c>
      <c r="D1455" s="1">
        <f t="shared" ca="1" si="102"/>
        <v>165</v>
      </c>
      <c r="E1455" s="2">
        <f t="shared" ca="1" si="103"/>
        <v>43216</v>
      </c>
      <c r="F1455" s="6">
        <f t="shared" ca="1" si="104"/>
        <v>17.805028574090905</v>
      </c>
    </row>
    <row r="1456" spans="1:6">
      <c r="A1456" s="1">
        <v>9125662</v>
      </c>
      <c r="B1456" s="1">
        <f t="shared" ca="1" si="101"/>
        <v>0.49770060519060377</v>
      </c>
      <c r="C1456" s="1">
        <f t="shared" ca="1" si="105"/>
        <v>12</v>
      </c>
      <c r="D1456" s="1">
        <f t="shared" ca="1" si="102"/>
        <v>292</v>
      </c>
      <c r="E1456" s="2">
        <f t="shared" ca="1" si="103"/>
        <v>43470</v>
      </c>
      <c r="F1456" s="6">
        <f t="shared" ca="1" si="104"/>
        <v>322.52342978477645</v>
      </c>
    </row>
    <row r="1457" spans="1:6">
      <c r="A1457" s="1">
        <v>9125665</v>
      </c>
      <c r="B1457" s="1">
        <f t="shared" ca="1" si="101"/>
        <v>0.3668016372481705</v>
      </c>
      <c r="C1457" s="1">
        <f t="shared" ca="1" si="105"/>
        <v>3</v>
      </c>
      <c r="D1457" s="1">
        <f t="shared" ca="1" si="102"/>
        <v>263</v>
      </c>
      <c r="E1457" s="2">
        <f t="shared" ca="1" si="103"/>
        <v>42794</v>
      </c>
      <c r="F1457" s="6">
        <f t="shared" ca="1" si="104"/>
        <v>67.258454483437177</v>
      </c>
    </row>
    <row r="1458" spans="1:6">
      <c r="A1458" s="1">
        <v>9125668</v>
      </c>
      <c r="B1458" s="1">
        <f t="shared" ca="1" si="101"/>
        <v>0.95796745983078146</v>
      </c>
      <c r="C1458" s="1">
        <f t="shared" ca="1" si="105"/>
        <v>44</v>
      </c>
      <c r="D1458" s="1">
        <f t="shared" ca="1" si="102"/>
        <v>427</v>
      </c>
      <c r="E1458" s="2">
        <f t="shared" ca="1" si="103"/>
        <v>43356</v>
      </c>
      <c r="F1458" s="6">
        <f t="shared" ca="1" si="104"/>
        <v>77.361466444713528</v>
      </c>
    </row>
    <row r="1459" spans="1:6">
      <c r="A1459" s="1">
        <v>9125671</v>
      </c>
      <c r="B1459" s="1">
        <f t="shared" ca="1" si="101"/>
        <v>0.77598338442249093</v>
      </c>
      <c r="C1459" s="1">
        <f t="shared" ca="1" si="105"/>
        <v>278</v>
      </c>
      <c r="D1459" s="1">
        <f t="shared" ca="1" si="102"/>
        <v>201</v>
      </c>
      <c r="E1459" s="2">
        <f t="shared" ca="1" si="103"/>
        <v>43157</v>
      </c>
      <c r="F1459" s="6">
        <f t="shared" ca="1" si="104"/>
        <v>5.0850257453457512</v>
      </c>
    </row>
    <row r="1460" spans="1:6">
      <c r="A1460" s="1">
        <v>9125674</v>
      </c>
      <c r="B1460" s="1">
        <f t="shared" ca="1" si="101"/>
        <v>0.6015855658679603</v>
      </c>
      <c r="C1460" s="1">
        <f t="shared" ca="1" si="105"/>
        <v>15</v>
      </c>
      <c r="D1460" s="1">
        <f t="shared" ca="1" si="102"/>
        <v>284</v>
      </c>
      <c r="E1460" s="2">
        <f t="shared" ca="1" si="103"/>
        <v>43193</v>
      </c>
      <c r="F1460" s="6">
        <f t="shared" ca="1" si="104"/>
        <v>23.956215979139333</v>
      </c>
    </row>
    <row r="1461" spans="1:6">
      <c r="A1461" s="1">
        <v>9125677</v>
      </c>
      <c r="B1461" s="1">
        <f t="shared" ca="1" si="101"/>
        <v>0.18159896627262895</v>
      </c>
      <c r="C1461" s="1">
        <f t="shared" ca="1" si="105"/>
        <v>32</v>
      </c>
      <c r="D1461" s="1">
        <f t="shared" ca="1" si="102"/>
        <v>497</v>
      </c>
      <c r="E1461" s="2">
        <f t="shared" ca="1" si="103"/>
        <v>43455</v>
      </c>
      <c r="F1461" s="6">
        <f t="shared" ca="1" si="104"/>
        <v>6.817435358205608</v>
      </c>
    </row>
    <row r="1462" spans="1:6">
      <c r="A1462" s="1">
        <v>9125680</v>
      </c>
      <c r="B1462" s="1">
        <f t="shared" ca="1" si="101"/>
        <v>0.50846148651182532</v>
      </c>
      <c r="C1462" s="1">
        <f t="shared" ca="1" si="105"/>
        <v>4</v>
      </c>
      <c r="D1462" s="1">
        <f t="shared" ca="1" si="102"/>
        <v>493</v>
      </c>
      <c r="E1462" s="2">
        <f t="shared" ca="1" si="103"/>
        <v>43015</v>
      </c>
      <c r="F1462" s="6">
        <f t="shared" ca="1" si="104"/>
        <v>156.00026507481314</v>
      </c>
    </row>
    <row r="1463" spans="1:6">
      <c r="A1463" s="1">
        <v>9125683</v>
      </c>
      <c r="B1463" s="1">
        <f t="shared" ca="1" si="101"/>
        <v>0.35128850419466362</v>
      </c>
      <c r="C1463" s="1">
        <f t="shared" ca="1" si="105"/>
        <v>90</v>
      </c>
      <c r="D1463" s="1">
        <f t="shared" ca="1" si="102"/>
        <v>417</v>
      </c>
      <c r="E1463" s="2">
        <f t="shared" ca="1" si="103"/>
        <v>43388</v>
      </c>
      <c r="F1463" s="6">
        <f t="shared" ca="1" si="104"/>
        <v>86.45387313437233</v>
      </c>
    </row>
    <row r="1464" spans="1:6">
      <c r="A1464" s="1">
        <v>9125686</v>
      </c>
      <c r="B1464" s="1">
        <f t="shared" ca="1" si="101"/>
        <v>0.61052064232165237</v>
      </c>
      <c r="C1464" s="1">
        <f t="shared" ca="1" si="105"/>
        <v>44</v>
      </c>
      <c r="D1464" s="1">
        <f t="shared" ca="1" si="102"/>
        <v>427</v>
      </c>
      <c r="E1464" s="2">
        <f t="shared" ca="1" si="103"/>
        <v>43134</v>
      </c>
      <c r="F1464" s="6">
        <f t="shared" ca="1" si="104"/>
        <v>123.42304430374715</v>
      </c>
    </row>
    <row r="1465" spans="1:6">
      <c r="A1465" s="1">
        <v>9125689</v>
      </c>
      <c r="B1465" s="1">
        <f t="shared" ca="1" si="101"/>
        <v>0.87089157072064594</v>
      </c>
      <c r="C1465" s="1">
        <f t="shared" ca="1" si="105"/>
        <v>2</v>
      </c>
      <c r="D1465" s="1">
        <f t="shared" ca="1" si="102"/>
        <v>30</v>
      </c>
      <c r="E1465" s="2">
        <f t="shared" ca="1" si="103"/>
        <v>43059</v>
      </c>
      <c r="F1465" s="6">
        <f t="shared" ca="1" si="104"/>
        <v>91.974311703666018</v>
      </c>
    </row>
    <row r="1466" spans="1:6">
      <c r="A1466" s="1">
        <v>9125692</v>
      </c>
      <c r="B1466" s="1">
        <f t="shared" ca="1" si="101"/>
        <v>0.15249527612276814</v>
      </c>
      <c r="C1466" s="1">
        <f t="shared" ca="1" si="105"/>
        <v>59</v>
      </c>
      <c r="D1466" s="1">
        <f t="shared" ca="1" si="102"/>
        <v>95</v>
      </c>
      <c r="E1466" s="2">
        <f t="shared" ca="1" si="103"/>
        <v>43213</v>
      </c>
      <c r="F1466" s="6">
        <f t="shared" ca="1" si="104"/>
        <v>3.0652786339155145</v>
      </c>
    </row>
    <row r="1467" spans="1:6">
      <c r="A1467" s="1">
        <v>9125695</v>
      </c>
      <c r="B1467" s="1">
        <f t="shared" ca="1" si="101"/>
        <v>0.17205061099914298</v>
      </c>
      <c r="C1467" s="1">
        <f t="shared" ca="1" si="105"/>
        <v>28</v>
      </c>
      <c r="D1467" s="1">
        <f t="shared" ca="1" si="102"/>
        <v>401</v>
      </c>
      <c r="E1467" s="2">
        <f t="shared" ca="1" si="103"/>
        <v>43124</v>
      </c>
      <c r="F1467" s="6">
        <f t="shared" ca="1" si="104"/>
        <v>10.361678775915738</v>
      </c>
    </row>
    <row r="1468" spans="1:6">
      <c r="A1468" s="1">
        <v>9125698</v>
      </c>
      <c r="B1468" s="1">
        <f t="shared" ca="1" si="101"/>
        <v>0.22796890644871914</v>
      </c>
      <c r="C1468" s="1">
        <f t="shared" ca="1" si="105"/>
        <v>12</v>
      </c>
      <c r="D1468" s="1">
        <f t="shared" ca="1" si="102"/>
        <v>292</v>
      </c>
      <c r="E1468" s="2">
        <f t="shared" ca="1" si="103"/>
        <v>43038</v>
      </c>
      <c r="F1468" s="6">
        <f t="shared" ca="1" si="104"/>
        <v>3.007106513124207</v>
      </c>
    </row>
    <row r="1469" spans="1:6">
      <c r="A1469" s="1">
        <v>9125701</v>
      </c>
      <c r="B1469" s="1">
        <f t="shared" ca="1" si="101"/>
        <v>0.54606130132638753</v>
      </c>
      <c r="C1469" s="1">
        <f t="shared" ca="1" si="105"/>
        <v>230</v>
      </c>
      <c r="D1469" s="1">
        <f t="shared" ca="1" si="102"/>
        <v>2</v>
      </c>
      <c r="E1469" s="2">
        <f t="shared" ca="1" si="103"/>
        <v>42907</v>
      </c>
      <c r="F1469" s="6">
        <f t="shared" ca="1" si="104"/>
        <v>30.837418149584547</v>
      </c>
    </row>
    <row r="1470" spans="1:6">
      <c r="A1470" s="1">
        <v>9125704</v>
      </c>
      <c r="B1470" s="1">
        <f t="shared" ca="1" si="101"/>
        <v>0.62034719819266004</v>
      </c>
      <c r="C1470" s="1">
        <f t="shared" ca="1" si="105"/>
        <v>5</v>
      </c>
      <c r="D1470" s="1">
        <f t="shared" ca="1" si="102"/>
        <v>363</v>
      </c>
      <c r="E1470" s="2">
        <f t="shared" ca="1" si="103"/>
        <v>43421</v>
      </c>
      <c r="F1470" s="6">
        <f t="shared" ca="1" si="104"/>
        <v>5.9799507343330358</v>
      </c>
    </row>
    <row r="1471" spans="1:6">
      <c r="A1471" s="1">
        <v>9125707</v>
      </c>
      <c r="B1471" s="1">
        <f t="shared" ca="1" si="101"/>
        <v>0.3083772735219531</v>
      </c>
      <c r="C1471" s="1">
        <f t="shared" ca="1" si="105"/>
        <v>4</v>
      </c>
      <c r="D1471" s="1">
        <f t="shared" ca="1" si="102"/>
        <v>493</v>
      </c>
      <c r="E1471" s="2">
        <f t="shared" ca="1" si="103"/>
        <v>43052</v>
      </c>
      <c r="F1471" s="6">
        <f t="shared" ca="1" si="104"/>
        <v>3.1887139961887367</v>
      </c>
    </row>
    <row r="1472" spans="1:6">
      <c r="A1472" s="1">
        <v>9125710</v>
      </c>
      <c r="B1472" s="1">
        <f t="shared" ca="1" si="101"/>
        <v>3.8060618874973362E-2</v>
      </c>
      <c r="C1472" s="1">
        <f t="shared" ca="1" si="105"/>
        <v>25</v>
      </c>
      <c r="D1472" s="1">
        <f t="shared" ca="1" si="102"/>
        <v>257</v>
      </c>
      <c r="E1472" s="2">
        <f t="shared" ca="1" si="103"/>
        <v>42905</v>
      </c>
      <c r="F1472" s="6">
        <f t="shared" ca="1" si="104"/>
        <v>4.4427823468739769</v>
      </c>
    </row>
    <row r="1473" spans="1:6">
      <c r="A1473" s="1">
        <v>9125713</v>
      </c>
      <c r="B1473" s="1">
        <f t="shared" ca="1" si="101"/>
        <v>9.0581630688546744E-2</v>
      </c>
      <c r="C1473" s="1">
        <f t="shared" ca="1" si="105"/>
        <v>74</v>
      </c>
      <c r="D1473" s="1">
        <f t="shared" ca="1" si="102"/>
        <v>450</v>
      </c>
      <c r="E1473" s="2">
        <f t="shared" ca="1" si="103"/>
        <v>42976</v>
      </c>
      <c r="F1473" s="6">
        <f t="shared" ca="1" si="104"/>
        <v>3.0100328735531359</v>
      </c>
    </row>
    <row r="1474" spans="1:6">
      <c r="A1474" s="1">
        <v>9125716</v>
      </c>
      <c r="B1474" s="1">
        <f t="shared" ref="B1474:B1537" ca="1" si="106">RAND()</f>
        <v>0.53704537827360099</v>
      </c>
      <c r="C1474" s="1">
        <f t="shared" ca="1" si="105"/>
        <v>15</v>
      </c>
      <c r="D1474" s="1">
        <f t="shared" ca="1" si="102"/>
        <v>284</v>
      </c>
      <c r="E1474" s="2">
        <f t="shared" ca="1" si="103"/>
        <v>43282</v>
      </c>
      <c r="F1474" s="6">
        <f t="shared" ca="1" si="104"/>
        <v>25.362364606917417</v>
      </c>
    </row>
    <row r="1475" spans="1:6">
      <c r="A1475" s="1">
        <v>9125719</v>
      </c>
      <c r="B1475" s="1">
        <f t="shared" ca="1" si="106"/>
        <v>0.24781920001029123</v>
      </c>
      <c r="C1475" s="1">
        <f t="shared" ca="1" si="105"/>
        <v>18</v>
      </c>
      <c r="D1475" s="1">
        <f t="shared" ref="D1475:D1538" ca="1" si="107">VLOOKUP(SMALL($B$2:$B$601,C1475),$B$2:$C$601,2,FALSE)</f>
        <v>511</v>
      </c>
      <c r="E1475" s="2">
        <f t="shared" ref="E1475:E1538" ca="1" si="108">RANDBETWEEN("1/1/17","2/1/19")</f>
        <v>43317</v>
      </c>
      <c r="F1475" s="6">
        <f t="shared" ref="F1475:F1538" ca="1" si="109">_xlfn.GAMMA.INV(RAND(),$J$6,$J$7)*100+3</f>
        <v>8.715870468167001</v>
      </c>
    </row>
    <row r="1476" spans="1:6">
      <c r="A1476" s="1">
        <v>9125722</v>
      </c>
      <c r="B1476" s="1">
        <f t="shared" ca="1" si="106"/>
        <v>0.81778420655114803</v>
      </c>
      <c r="C1476" s="1">
        <f t="shared" ca="1" si="105"/>
        <v>278</v>
      </c>
      <c r="D1476" s="1">
        <f t="shared" ca="1" si="107"/>
        <v>201</v>
      </c>
      <c r="E1476" s="2">
        <f t="shared" ca="1" si="108"/>
        <v>42992</v>
      </c>
      <c r="F1476" s="6">
        <f t="shared" ca="1" si="109"/>
        <v>3.0153976770083695</v>
      </c>
    </row>
    <row r="1477" spans="1:6">
      <c r="A1477" s="1">
        <v>9125725</v>
      </c>
      <c r="B1477" s="1">
        <f t="shared" ca="1" si="106"/>
        <v>0.39910267148044443</v>
      </c>
      <c r="C1477" s="1">
        <f t="shared" ca="1" si="105"/>
        <v>93</v>
      </c>
      <c r="D1477" s="1">
        <f t="shared" ca="1" si="107"/>
        <v>518</v>
      </c>
      <c r="E1477" s="2">
        <f t="shared" ca="1" si="108"/>
        <v>43237</v>
      </c>
      <c r="F1477" s="6">
        <f t="shared" ca="1" si="109"/>
        <v>101.9929722551968</v>
      </c>
    </row>
    <row r="1478" spans="1:6">
      <c r="A1478" s="1">
        <v>9125728</v>
      </c>
      <c r="B1478" s="1">
        <f t="shared" ca="1" si="106"/>
        <v>0.87205735682868235</v>
      </c>
      <c r="C1478" s="1">
        <f t="shared" ca="1" si="105"/>
        <v>2</v>
      </c>
      <c r="D1478" s="1">
        <f t="shared" ca="1" si="107"/>
        <v>30</v>
      </c>
      <c r="E1478" s="2">
        <f t="shared" ca="1" si="108"/>
        <v>42821</v>
      </c>
      <c r="F1478" s="6">
        <f t="shared" ca="1" si="109"/>
        <v>11.635408849800601</v>
      </c>
    </row>
    <row r="1479" spans="1:6">
      <c r="A1479" s="1">
        <v>9125731</v>
      </c>
      <c r="B1479" s="1">
        <f t="shared" ca="1" si="106"/>
        <v>0.61042399850677898</v>
      </c>
      <c r="C1479" s="1">
        <f t="shared" ca="1" si="105"/>
        <v>14</v>
      </c>
      <c r="D1479" s="1">
        <f t="shared" ca="1" si="107"/>
        <v>576</v>
      </c>
      <c r="E1479" s="2">
        <f t="shared" ca="1" si="108"/>
        <v>43406</v>
      </c>
      <c r="F1479" s="6">
        <f t="shared" ca="1" si="109"/>
        <v>104.13258585363386</v>
      </c>
    </row>
    <row r="1480" spans="1:6">
      <c r="A1480" s="1">
        <v>9125734</v>
      </c>
      <c r="B1480" s="1">
        <f t="shared" ca="1" si="106"/>
        <v>0.7038534177389093</v>
      </c>
      <c r="C1480" s="1">
        <f t="shared" ca="1" si="105"/>
        <v>67</v>
      </c>
      <c r="D1480" s="1">
        <f t="shared" ca="1" si="107"/>
        <v>259</v>
      </c>
      <c r="E1480" s="2">
        <f t="shared" ca="1" si="108"/>
        <v>42881</v>
      </c>
      <c r="F1480" s="6">
        <f t="shared" ca="1" si="109"/>
        <v>23.348769049098685</v>
      </c>
    </row>
    <row r="1481" spans="1:6">
      <c r="A1481" s="1">
        <v>9125737</v>
      </c>
      <c r="B1481" s="1">
        <f t="shared" ca="1" si="106"/>
        <v>0.95551220265292247</v>
      </c>
      <c r="C1481" s="1">
        <f t="shared" ca="1" si="105"/>
        <v>17</v>
      </c>
      <c r="D1481" s="1">
        <f t="shared" ca="1" si="107"/>
        <v>165</v>
      </c>
      <c r="E1481" s="2">
        <f t="shared" ca="1" si="108"/>
        <v>43240</v>
      </c>
      <c r="F1481" s="6">
        <f t="shared" ca="1" si="109"/>
        <v>147.96282884143142</v>
      </c>
    </row>
    <row r="1482" spans="1:6">
      <c r="A1482" s="1">
        <v>9125740</v>
      </c>
      <c r="B1482" s="1">
        <f t="shared" ca="1" si="106"/>
        <v>3.5739565716864319E-2</v>
      </c>
      <c r="C1482" s="1">
        <f t="shared" ca="1" si="105"/>
        <v>2</v>
      </c>
      <c r="D1482" s="1">
        <f t="shared" ca="1" si="107"/>
        <v>30</v>
      </c>
      <c r="E1482" s="2">
        <f t="shared" ca="1" si="108"/>
        <v>43283</v>
      </c>
      <c r="F1482" s="6">
        <f t="shared" ca="1" si="109"/>
        <v>86.829413477297294</v>
      </c>
    </row>
    <row r="1483" spans="1:6">
      <c r="A1483" s="1">
        <v>9125743</v>
      </c>
      <c r="B1483" s="1">
        <f t="shared" ca="1" si="106"/>
        <v>0.97948878964509078</v>
      </c>
      <c r="C1483" s="1">
        <f t="shared" ca="1" si="105"/>
        <v>58</v>
      </c>
      <c r="D1483" s="1">
        <f t="shared" ca="1" si="107"/>
        <v>19</v>
      </c>
      <c r="E1483" s="2">
        <f t="shared" ca="1" si="108"/>
        <v>42890</v>
      </c>
      <c r="F1483" s="6">
        <f t="shared" ca="1" si="109"/>
        <v>3.9790996585600293</v>
      </c>
    </row>
    <row r="1484" spans="1:6">
      <c r="A1484" s="1">
        <v>9125746</v>
      </c>
      <c r="B1484" s="1">
        <f t="shared" ca="1" si="106"/>
        <v>0.54552742546450228</v>
      </c>
      <c r="C1484" s="1">
        <f t="shared" ca="1" si="105"/>
        <v>29</v>
      </c>
      <c r="D1484" s="1">
        <f t="shared" ca="1" si="107"/>
        <v>514</v>
      </c>
      <c r="E1484" s="2">
        <f t="shared" ca="1" si="108"/>
        <v>42854</v>
      </c>
      <c r="F1484" s="6">
        <f t="shared" ca="1" si="109"/>
        <v>51.50779037670182</v>
      </c>
    </row>
    <row r="1485" spans="1:6">
      <c r="A1485" s="1">
        <v>9125749</v>
      </c>
      <c r="B1485" s="1">
        <f t="shared" ca="1" si="106"/>
        <v>0.94819539198810732</v>
      </c>
      <c r="C1485" s="1">
        <f t="shared" ca="1" si="105"/>
        <v>211</v>
      </c>
      <c r="D1485" s="1">
        <f t="shared" ca="1" si="107"/>
        <v>490</v>
      </c>
      <c r="E1485" s="2">
        <f t="shared" ca="1" si="108"/>
        <v>42961</v>
      </c>
      <c r="F1485" s="6">
        <f t="shared" ca="1" si="109"/>
        <v>60.863734387332933</v>
      </c>
    </row>
    <row r="1486" spans="1:6">
      <c r="A1486" s="1">
        <v>9125752</v>
      </c>
      <c r="B1486" s="1">
        <f t="shared" ca="1" si="106"/>
        <v>0.12294335362149789</v>
      </c>
      <c r="C1486" s="1">
        <f t="shared" ca="1" si="105"/>
        <v>59</v>
      </c>
      <c r="D1486" s="1">
        <f t="shared" ca="1" si="107"/>
        <v>95</v>
      </c>
      <c r="E1486" s="2">
        <f t="shared" ca="1" si="108"/>
        <v>42766</v>
      </c>
      <c r="F1486" s="6">
        <f t="shared" ca="1" si="109"/>
        <v>175.94143995977302</v>
      </c>
    </row>
    <row r="1487" spans="1:6">
      <c r="A1487" s="1">
        <v>9125755</v>
      </c>
      <c r="B1487" s="1">
        <f t="shared" ca="1" si="106"/>
        <v>7.6936916709442693E-2</v>
      </c>
      <c r="C1487" s="1">
        <f t="shared" ca="1" si="105"/>
        <v>12</v>
      </c>
      <c r="D1487" s="1">
        <f t="shared" ca="1" si="107"/>
        <v>292</v>
      </c>
      <c r="E1487" s="2">
        <f t="shared" ca="1" si="108"/>
        <v>42739</v>
      </c>
      <c r="F1487" s="6">
        <f t="shared" ca="1" si="109"/>
        <v>21.509749414692191</v>
      </c>
    </row>
    <row r="1488" spans="1:6">
      <c r="A1488" s="1">
        <v>9125758</v>
      </c>
      <c r="B1488" s="1">
        <f t="shared" ca="1" si="106"/>
        <v>0.70482561597993088</v>
      </c>
      <c r="C1488" s="1">
        <f t="shared" ca="1" si="105"/>
        <v>316</v>
      </c>
      <c r="D1488" s="1">
        <f t="shared" ca="1" si="107"/>
        <v>448</v>
      </c>
      <c r="E1488" s="2">
        <f t="shared" ca="1" si="108"/>
        <v>43338</v>
      </c>
      <c r="F1488" s="6">
        <f t="shared" ca="1" si="109"/>
        <v>14.170063090756816</v>
      </c>
    </row>
    <row r="1489" spans="1:6">
      <c r="A1489" s="1">
        <v>9125761</v>
      </c>
      <c r="B1489" s="1">
        <f t="shared" ca="1" si="106"/>
        <v>3.1132076110494289E-2</v>
      </c>
      <c r="C1489" s="1">
        <f t="shared" ca="1" si="105"/>
        <v>1</v>
      </c>
      <c r="D1489" s="1">
        <f t="shared" ca="1" si="107"/>
        <v>474</v>
      </c>
      <c r="E1489" s="2">
        <f t="shared" ca="1" si="108"/>
        <v>43328</v>
      </c>
      <c r="F1489" s="6">
        <f t="shared" ca="1" si="109"/>
        <v>10.033684032328843</v>
      </c>
    </row>
    <row r="1490" spans="1:6">
      <c r="A1490" s="1">
        <v>9125764</v>
      </c>
      <c r="B1490" s="1">
        <f t="shared" ca="1" si="106"/>
        <v>0.78288930323734873</v>
      </c>
      <c r="C1490" s="1">
        <f t="shared" ca="1" si="105"/>
        <v>3</v>
      </c>
      <c r="D1490" s="1">
        <f t="shared" ca="1" si="107"/>
        <v>263</v>
      </c>
      <c r="E1490" s="2">
        <f t="shared" ca="1" si="108"/>
        <v>43268</v>
      </c>
      <c r="F1490" s="6">
        <f t="shared" ca="1" si="109"/>
        <v>5.1947138953087704</v>
      </c>
    </row>
    <row r="1491" spans="1:6">
      <c r="A1491" s="1">
        <v>9125767</v>
      </c>
      <c r="B1491" s="1">
        <f t="shared" ca="1" si="106"/>
        <v>0.10144572497031834</v>
      </c>
      <c r="C1491" s="1">
        <f t="shared" ca="1" si="105"/>
        <v>14</v>
      </c>
      <c r="D1491" s="1">
        <f t="shared" ca="1" si="107"/>
        <v>576</v>
      </c>
      <c r="E1491" s="2">
        <f t="shared" ca="1" si="108"/>
        <v>43034</v>
      </c>
      <c r="F1491" s="6">
        <f t="shared" ca="1" si="109"/>
        <v>8.5308602999074346</v>
      </c>
    </row>
    <row r="1492" spans="1:6">
      <c r="A1492" s="1">
        <v>9125770</v>
      </c>
      <c r="B1492" s="1">
        <f t="shared" ca="1" si="106"/>
        <v>0.18045552891651173</v>
      </c>
      <c r="C1492" s="1">
        <f t="shared" ca="1" si="105"/>
        <v>8</v>
      </c>
      <c r="D1492" s="1">
        <f t="shared" ca="1" si="107"/>
        <v>456</v>
      </c>
      <c r="E1492" s="2">
        <f t="shared" ca="1" si="108"/>
        <v>43156</v>
      </c>
      <c r="F1492" s="6">
        <f t="shared" ca="1" si="109"/>
        <v>3.0230936016132803</v>
      </c>
    </row>
    <row r="1493" spans="1:6">
      <c r="A1493" s="1">
        <v>9125773</v>
      </c>
      <c r="B1493" s="1">
        <f t="shared" ca="1" si="106"/>
        <v>0.36501080238986428</v>
      </c>
      <c r="C1493" s="1">
        <f t="shared" ca="1" si="105"/>
        <v>92</v>
      </c>
      <c r="D1493" s="1">
        <f t="shared" ca="1" si="107"/>
        <v>458</v>
      </c>
      <c r="E1493" s="2">
        <f t="shared" ca="1" si="108"/>
        <v>43141</v>
      </c>
      <c r="F1493" s="6">
        <f t="shared" ca="1" si="109"/>
        <v>55.702086014268403</v>
      </c>
    </row>
    <row r="1494" spans="1:6">
      <c r="A1494" s="1">
        <v>9125776</v>
      </c>
      <c r="B1494" s="1">
        <f t="shared" ca="1" si="106"/>
        <v>0.30078861266570811</v>
      </c>
      <c r="C1494" s="1">
        <f t="shared" ca="1" si="105"/>
        <v>220</v>
      </c>
      <c r="D1494" s="1">
        <f t="shared" ca="1" si="107"/>
        <v>487</v>
      </c>
      <c r="E1494" s="2">
        <f t="shared" ca="1" si="108"/>
        <v>42829</v>
      </c>
      <c r="F1494" s="6">
        <f t="shared" ca="1" si="109"/>
        <v>45.101429694728772</v>
      </c>
    </row>
    <row r="1495" spans="1:6">
      <c r="A1495" s="1">
        <v>9125779</v>
      </c>
      <c r="B1495" s="1">
        <f t="shared" ca="1" si="106"/>
        <v>2.1059036438877077E-2</v>
      </c>
      <c r="C1495" s="1">
        <f t="shared" ca="1" si="105"/>
        <v>28</v>
      </c>
      <c r="D1495" s="1">
        <f t="shared" ca="1" si="107"/>
        <v>401</v>
      </c>
      <c r="E1495" s="2">
        <f t="shared" ca="1" si="108"/>
        <v>43446</v>
      </c>
      <c r="F1495" s="6">
        <f t="shared" ca="1" si="109"/>
        <v>23.324160353571866</v>
      </c>
    </row>
    <row r="1496" spans="1:6">
      <c r="A1496" s="1">
        <v>9125782</v>
      </c>
      <c r="B1496" s="1">
        <f t="shared" ca="1" si="106"/>
        <v>0.27458763307187772</v>
      </c>
      <c r="C1496" s="1">
        <f t="shared" ca="1" si="105"/>
        <v>170</v>
      </c>
      <c r="D1496" s="1">
        <f t="shared" ca="1" si="107"/>
        <v>521</v>
      </c>
      <c r="E1496" s="2">
        <f t="shared" ca="1" si="108"/>
        <v>42877</v>
      </c>
      <c r="F1496" s="6">
        <f t="shared" ca="1" si="109"/>
        <v>256.28833004398314</v>
      </c>
    </row>
    <row r="1497" spans="1:6">
      <c r="A1497" s="1">
        <v>9125785</v>
      </c>
      <c r="B1497" s="1">
        <f t="shared" ca="1" si="106"/>
        <v>0.820960404020877</v>
      </c>
      <c r="C1497" s="1">
        <f t="shared" ca="1" si="105"/>
        <v>9</v>
      </c>
      <c r="D1497" s="1">
        <f t="shared" ca="1" si="107"/>
        <v>278</v>
      </c>
      <c r="E1497" s="2">
        <f t="shared" ca="1" si="108"/>
        <v>42983</v>
      </c>
      <c r="F1497" s="6">
        <f t="shared" ca="1" si="109"/>
        <v>53.546884757161237</v>
      </c>
    </row>
    <row r="1498" spans="1:6">
      <c r="A1498" s="1">
        <v>9125788</v>
      </c>
      <c r="B1498" s="1">
        <f t="shared" ca="1" si="106"/>
        <v>0.98687231030126377</v>
      </c>
      <c r="C1498" s="1">
        <f t="shared" ca="1" si="105"/>
        <v>6</v>
      </c>
      <c r="D1498" s="1">
        <f t="shared" ca="1" si="107"/>
        <v>208</v>
      </c>
      <c r="E1498" s="2">
        <f t="shared" ca="1" si="108"/>
        <v>42987</v>
      </c>
      <c r="F1498" s="6">
        <f t="shared" ca="1" si="109"/>
        <v>77.606220603526054</v>
      </c>
    </row>
    <row r="1499" spans="1:6">
      <c r="A1499" s="1">
        <v>9125791</v>
      </c>
      <c r="B1499" s="1">
        <f t="shared" ca="1" si="106"/>
        <v>0.96721817170796986</v>
      </c>
      <c r="C1499" s="1">
        <f t="shared" ref="C1499:C1562" ca="1" si="110">ROUND(_xlfn.GAMMA.INV(RAND(),$J$11,$J$12)*100,0)+1</f>
        <v>78</v>
      </c>
      <c r="D1499" s="1">
        <f t="shared" ca="1" si="107"/>
        <v>224</v>
      </c>
      <c r="E1499" s="2">
        <f t="shared" ca="1" si="108"/>
        <v>42811</v>
      </c>
      <c r="F1499" s="6">
        <f t="shared" ca="1" si="109"/>
        <v>239.37316987509811</v>
      </c>
    </row>
    <row r="1500" spans="1:6">
      <c r="A1500" s="1">
        <v>9125794</v>
      </c>
      <c r="B1500" s="1">
        <f t="shared" ca="1" si="106"/>
        <v>0.28839752116445028</v>
      </c>
      <c r="C1500" s="1">
        <f t="shared" ca="1" si="110"/>
        <v>2</v>
      </c>
      <c r="D1500" s="1">
        <f t="shared" ca="1" si="107"/>
        <v>30</v>
      </c>
      <c r="E1500" s="2">
        <f t="shared" ca="1" si="108"/>
        <v>42789</v>
      </c>
      <c r="F1500" s="6">
        <f t="shared" ca="1" si="109"/>
        <v>59.016746648812713</v>
      </c>
    </row>
    <row r="1501" spans="1:6">
      <c r="A1501" s="1">
        <v>9125797</v>
      </c>
      <c r="B1501" s="1">
        <f t="shared" ca="1" si="106"/>
        <v>0.58080745789584143</v>
      </c>
      <c r="C1501" s="1">
        <f t="shared" ca="1" si="110"/>
        <v>162</v>
      </c>
      <c r="D1501" s="1">
        <f t="shared" ca="1" si="107"/>
        <v>186</v>
      </c>
      <c r="E1501" s="2">
        <f t="shared" ca="1" si="108"/>
        <v>42925</v>
      </c>
      <c r="F1501" s="6">
        <f t="shared" ca="1" si="109"/>
        <v>7.1861238653910329</v>
      </c>
    </row>
    <row r="1502" spans="1:6">
      <c r="A1502" s="1">
        <v>9125800</v>
      </c>
      <c r="B1502" s="1">
        <f t="shared" ca="1" si="106"/>
        <v>0.12536687406042402</v>
      </c>
      <c r="C1502" s="1">
        <f t="shared" ca="1" si="110"/>
        <v>47</v>
      </c>
      <c r="D1502" s="1">
        <f t="shared" ca="1" si="107"/>
        <v>515</v>
      </c>
      <c r="E1502" s="2">
        <f t="shared" ca="1" si="108"/>
        <v>43181</v>
      </c>
      <c r="F1502" s="6">
        <f t="shared" ca="1" si="109"/>
        <v>141.17899730503859</v>
      </c>
    </row>
    <row r="1503" spans="1:6">
      <c r="A1503" s="1">
        <v>9125803</v>
      </c>
      <c r="B1503" s="1">
        <f t="shared" ca="1" si="106"/>
        <v>0.95982098242721714</v>
      </c>
      <c r="C1503" s="1">
        <f t="shared" ca="1" si="110"/>
        <v>80</v>
      </c>
      <c r="D1503" s="1">
        <f t="shared" ca="1" si="107"/>
        <v>163</v>
      </c>
      <c r="E1503" s="2">
        <f t="shared" ca="1" si="108"/>
        <v>43237</v>
      </c>
      <c r="F1503" s="6">
        <f t="shared" ca="1" si="109"/>
        <v>5.619314248622044</v>
      </c>
    </row>
    <row r="1504" spans="1:6">
      <c r="A1504" s="1">
        <v>9125806</v>
      </c>
      <c r="B1504" s="1">
        <f t="shared" ca="1" si="106"/>
        <v>0.8791288996268275</v>
      </c>
      <c r="C1504" s="1">
        <f t="shared" ca="1" si="110"/>
        <v>22</v>
      </c>
      <c r="D1504" s="1">
        <f t="shared" ca="1" si="107"/>
        <v>413</v>
      </c>
      <c r="E1504" s="2">
        <f t="shared" ca="1" si="108"/>
        <v>43345</v>
      </c>
      <c r="F1504" s="6">
        <f t="shared" ca="1" si="109"/>
        <v>164.47266259298743</v>
      </c>
    </row>
    <row r="1505" spans="1:6">
      <c r="A1505" s="1">
        <v>9125809</v>
      </c>
      <c r="B1505" s="1">
        <f t="shared" ca="1" si="106"/>
        <v>0.83820411070329048</v>
      </c>
      <c r="C1505" s="1">
        <f t="shared" ca="1" si="110"/>
        <v>2</v>
      </c>
      <c r="D1505" s="1">
        <f t="shared" ca="1" si="107"/>
        <v>30</v>
      </c>
      <c r="E1505" s="2">
        <f t="shared" ca="1" si="108"/>
        <v>43122</v>
      </c>
      <c r="F1505" s="6">
        <f t="shared" ca="1" si="109"/>
        <v>6.1860128044787848</v>
      </c>
    </row>
    <row r="1506" spans="1:6">
      <c r="A1506" s="1">
        <v>9125812</v>
      </c>
      <c r="B1506" s="1">
        <f t="shared" ca="1" si="106"/>
        <v>0.22096381017981326</v>
      </c>
      <c r="C1506" s="1">
        <f t="shared" ca="1" si="110"/>
        <v>9</v>
      </c>
      <c r="D1506" s="1">
        <f t="shared" ca="1" si="107"/>
        <v>278</v>
      </c>
      <c r="E1506" s="2">
        <f t="shared" ca="1" si="108"/>
        <v>42818</v>
      </c>
      <c r="F1506" s="6">
        <f t="shared" ca="1" si="109"/>
        <v>3.750421865130205</v>
      </c>
    </row>
    <row r="1507" spans="1:6">
      <c r="A1507" s="1">
        <v>9125815</v>
      </c>
      <c r="B1507" s="1">
        <f t="shared" ca="1" si="106"/>
        <v>0.6670916669724567</v>
      </c>
      <c r="C1507" s="1">
        <f t="shared" ca="1" si="110"/>
        <v>20</v>
      </c>
      <c r="D1507" s="1">
        <f t="shared" ca="1" si="107"/>
        <v>444</v>
      </c>
      <c r="E1507" s="2">
        <f t="shared" ca="1" si="108"/>
        <v>43483</v>
      </c>
      <c r="F1507" s="6">
        <f t="shared" ca="1" si="109"/>
        <v>3.4841553499741025</v>
      </c>
    </row>
    <row r="1508" spans="1:6">
      <c r="A1508" s="1">
        <v>9125818</v>
      </c>
      <c r="B1508" s="1">
        <f t="shared" ca="1" si="106"/>
        <v>0.1525501264258633</v>
      </c>
      <c r="C1508" s="1">
        <f t="shared" ca="1" si="110"/>
        <v>11</v>
      </c>
      <c r="D1508" s="1">
        <f t="shared" ca="1" si="107"/>
        <v>437</v>
      </c>
      <c r="E1508" s="2">
        <f t="shared" ca="1" si="108"/>
        <v>42756</v>
      </c>
      <c r="F1508" s="6">
        <f t="shared" ca="1" si="109"/>
        <v>104.16793551654315</v>
      </c>
    </row>
    <row r="1509" spans="1:6">
      <c r="A1509" s="1">
        <v>9125821</v>
      </c>
      <c r="B1509" s="1">
        <f t="shared" ca="1" si="106"/>
        <v>0.59407885021502116</v>
      </c>
      <c r="C1509" s="1">
        <f t="shared" ca="1" si="110"/>
        <v>20</v>
      </c>
      <c r="D1509" s="1">
        <f t="shared" ca="1" si="107"/>
        <v>444</v>
      </c>
      <c r="E1509" s="2">
        <f t="shared" ca="1" si="108"/>
        <v>42757</v>
      </c>
      <c r="F1509" s="6">
        <f t="shared" ca="1" si="109"/>
        <v>3.0092603815554244</v>
      </c>
    </row>
    <row r="1510" spans="1:6">
      <c r="A1510" s="1">
        <v>9125824</v>
      </c>
      <c r="B1510" s="1">
        <f t="shared" ca="1" si="106"/>
        <v>0.77772719762991582</v>
      </c>
      <c r="C1510" s="1">
        <f t="shared" ca="1" si="110"/>
        <v>13</v>
      </c>
      <c r="D1510" s="1">
        <f t="shared" ca="1" si="107"/>
        <v>80</v>
      </c>
      <c r="E1510" s="2">
        <f t="shared" ca="1" si="108"/>
        <v>43214</v>
      </c>
      <c r="F1510" s="6">
        <f t="shared" ca="1" si="109"/>
        <v>89.996372890857799</v>
      </c>
    </row>
    <row r="1511" spans="1:6">
      <c r="A1511" s="1">
        <v>9125827</v>
      </c>
      <c r="B1511" s="1">
        <f t="shared" ca="1" si="106"/>
        <v>0.46327430858800911</v>
      </c>
      <c r="C1511" s="1">
        <f t="shared" ca="1" si="110"/>
        <v>41</v>
      </c>
      <c r="D1511" s="1">
        <f t="shared" ca="1" si="107"/>
        <v>37</v>
      </c>
      <c r="E1511" s="2">
        <f t="shared" ca="1" si="108"/>
        <v>42788</v>
      </c>
      <c r="F1511" s="6">
        <f t="shared" ca="1" si="109"/>
        <v>14.530246488652402</v>
      </c>
    </row>
    <row r="1512" spans="1:6">
      <c r="A1512" s="1">
        <v>9125830</v>
      </c>
      <c r="B1512" s="1">
        <f t="shared" ca="1" si="106"/>
        <v>0.90991775745169823</v>
      </c>
      <c r="C1512" s="1">
        <f t="shared" ca="1" si="110"/>
        <v>55</v>
      </c>
      <c r="D1512" s="1">
        <f t="shared" ca="1" si="107"/>
        <v>220</v>
      </c>
      <c r="E1512" s="2">
        <f t="shared" ca="1" si="108"/>
        <v>42837</v>
      </c>
      <c r="F1512" s="6">
        <f t="shared" ca="1" si="109"/>
        <v>176.53835025014283</v>
      </c>
    </row>
    <row r="1513" spans="1:6">
      <c r="A1513" s="1">
        <v>9125833</v>
      </c>
      <c r="B1513" s="1">
        <f t="shared" ca="1" si="106"/>
        <v>0.18529720223910695</v>
      </c>
      <c r="C1513" s="1">
        <f t="shared" ca="1" si="110"/>
        <v>17</v>
      </c>
      <c r="D1513" s="1">
        <f t="shared" ca="1" si="107"/>
        <v>165</v>
      </c>
      <c r="E1513" s="2">
        <f t="shared" ca="1" si="108"/>
        <v>43126</v>
      </c>
      <c r="F1513" s="6">
        <f t="shared" ca="1" si="109"/>
        <v>115.29685983223155</v>
      </c>
    </row>
    <row r="1514" spans="1:6">
      <c r="A1514" s="1">
        <v>9125836</v>
      </c>
      <c r="B1514" s="1">
        <f t="shared" ca="1" si="106"/>
        <v>0.4417169768989988</v>
      </c>
      <c r="C1514" s="1">
        <f t="shared" ca="1" si="110"/>
        <v>22</v>
      </c>
      <c r="D1514" s="1">
        <f t="shared" ca="1" si="107"/>
        <v>413</v>
      </c>
      <c r="E1514" s="2">
        <f t="shared" ca="1" si="108"/>
        <v>43274</v>
      </c>
      <c r="F1514" s="6">
        <f t="shared" ca="1" si="109"/>
        <v>3.2357967423930427</v>
      </c>
    </row>
    <row r="1515" spans="1:6">
      <c r="A1515" s="1">
        <v>9125839</v>
      </c>
      <c r="B1515" s="1">
        <f t="shared" ca="1" si="106"/>
        <v>3.8784038781632835E-2</v>
      </c>
      <c r="C1515" s="1">
        <f t="shared" ca="1" si="110"/>
        <v>354</v>
      </c>
      <c r="D1515" s="1">
        <f t="shared" ca="1" si="107"/>
        <v>351</v>
      </c>
      <c r="E1515" s="2">
        <f t="shared" ca="1" si="108"/>
        <v>42959</v>
      </c>
      <c r="F1515" s="6">
        <f t="shared" ca="1" si="109"/>
        <v>27.266126872925334</v>
      </c>
    </row>
    <row r="1516" spans="1:6">
      <c r="A1516" s="1">
        <v>9125842</v>
      </c>
      <c r="B1516" s="1">
        <f t="shared" ca="1" si="106"/>
        <v>0.20807401600882858</v>
      </c>
      <c r="C1516" s="1">
        <f t="shared" ca="1" si="110"/>
        <v>71</v>
      </c>
      <c r="D1516" s="1">
        <f t="shared" ca="1" si="107"/>
        <v>281</v>
      </c>
      <c r="E1516" s="2">
        <f t="shared" ca="1" si="108"/>
        <v>42773</v>
      </c>
      <c r="F1516" s="6">
        <f t="shared" ca="1" si="109"/>
        <v>8.625092857532433</v>
      </c>
    </row>
    <row r="1517" spans="1:6">
      <c r="A1517" s="1">
        <v>9125845</v>
      </c>
      <c r="B1517" s="1">
        <f t="shared" ca="1" si="106"/>
        <v>0.31154131179570344</v>
      </c>
      <c r="C1517" s="1">
        <f t="shared" ca="1" si="110"/>
        <v>15</v>
      </c>
      <c r="D1517" s="1">
        <f t="shared" ca="1" si="107"/>
        <v>284</v>
      </c>
      <c r="E1517" s="2">
        <f t="shared" ca="1" si="108"/>
        <v>42825</v>
      </c>
      <c r="F1517" s="6">
        <f t="shared" ca="1" si="109"/>
        <v>3.0649243579650745</v>
      </c>
    </row>
    <row r="1518" spans="1:6">
      <c r="A1518" s="1">
        <v>9125848</v>
      </c>
      <c r="B1518" s="1">
        <f t="shared" ca="1" si="106"/>
        <v>0.89246103920017317</v>
      </c>
      <c r="C1518" s="1">
        <f t="shared" ca="1" si="110"/>
        <v>81</v>
      </c>
      <c r="D1518" s="1">
        <f t="shared" ca="1" si="107"/>
        <v>119</v>
      </c>
      <c r="E1518" s="2">
        <f t="shared" ca="1" si="108"/>
        <v>42852</v>
      </c>
      <c r="F1518" s="6">
        <f t="shared" ca="1" si="109"/>
        <v>3.0000397950000042</v>
      </c>
    </row>
    <row r="1519" spans="1:6">
      <c r="A1519" s="1">
        <v>9125851</v>
      </c>
      <c r="B1519" s="1">
        <f t="shared" ca="1" si="106"/>
        <v>0.53580114142554325</v>
      </c>
      <c r="C1519" s="1">
        <f t="shared" ca="1" si="110"/>
        <v>104</v>
      </c>
      <c r="D1519" s="1">
        <f t="shared" ca="1" si="107"/>
        <v>560</v>
      </c>
      <c r="E1519" s="2">
        <f t="shared" ca="1" si="108"/>
        <v>43253</v>
      </c>
      <c r="F1519" s="6">
        <f t="shared" ca="1" si="109"/>
        <v>9.5074543068587314</v>
      </c>
    </row>
    <row r="1520" spans="1:6">
      <c r="A1520" s="1">
        <v>9125854</v>
      </c>
      <c r="B1520" s="1">
        <f t="shared" ca="1" si="106"/>
        <v>3.0168556476334318E-2</v>
      </c>
      <c r="C1520" s="1">
        <f t="shared" ca="1" si="110"/>
        <v>1</v>
      </c>
      <c r="D1520" s="1">
        <f t="shared" ca="1" si="107"/>
        <v>474</v>
      </c>
      <c r="E1520" s="2">
        <f t="shared" ca="1" si="108"/>
        <v>43457</v>
      </c>
      <c r="F1520" s="6">
        <f t="shared" ca="1" si="109"/>
        <v>27.858568807479308</v>
      </c>
    </row>
    <row r="1521" spans="1:6">
      <c r="A1521" s="1">
        <v>9125857</v>
      </c>
      <c r="B1521" s="1">
        <f t="shared" ca="1" si="106"/>
        <v>0.76865431538251316</v>
      </c>
      <c r="C1521" s="1">
        <f t="shared" ca="1" si="110"/>
        <v>151</v>
      </c>
      <c r="D1521" s="1">
        <f t="shared" ca="1" si="107"/>
        <v>512</v>
      </c>
      <c r="E1521" s="2">
        <f t="shared" ca="1" si="108"/>
        <v>43076</v>
      </c>
      <c r="F1521" s="6">
        <f t="shared" ca="1" si="109"/>
        <v>79.448703566927023</v>
      </c>
    </row>
    <row r="1522" spans="1:6">
      <c r="A1522" s="1">
        <v>9125860</v>
      </c>
      <c r="B1522" s="1">
        <f t="shared" ca="1" si="106"/>
        <v>0.54921446713322231</v>
      </c>
      <c r="C1522" s="1">
        <f t="shared" ca="1" si="110"/>
        <v>5</v>
      </c>
      <c r="D1522" s="1">
        <f t="shared" ca="1" si="107"/>
        <v>363</v>
      </c>
      <c r="E1522" s="2">
        <f t="shared" ca="1" si="108"/>
        <v>43229</v>
      </c>
      <c r="F1522" s="6">
        <f t="shared" ca="1" si="109"/>
        <v>28.798017407012875</v>
      </c>
    </row>
    <row r="1523" spans="1:6">
      <c r="A1523" s="1">
        <v>9125863</v>
      </c>
      <c r="B1523" s="1">
        <f t="shared" ca="1" si="106"/>
        <v>0.54239410317004744</v>
      </c>
      <c r="C1523" s="1">
        <f t="shared" ca="1" si="110"/>
        <v>6</v>
      </c>
      <c r="D1523" s="1">
        <f t="shared" ca="1" si="107"/>
        <v>208</v>
      </c>
      <c r="E1523" s="2">
        <f t="shared" ca="1" si="108"/>
        <v>42829</v>
      </c>
      <c r="F1523" s="6">
        <f t="shared" ca="1" si="109"/>
        <v>151.07143108954</v>
      </c>
    </row>
    <row r="1524" spans="1:6">
      <c r="A1524" s="1">
        <v>9125866</v>
      </c>
      <c r="B1524" s="1">
        <f t="shared" ca="1" si="106"/>
        <v>0.15386720702169321</v>
      </c>
      <c r="C1524" s="1">
        <f t="shared" ca="1" si="110"/>
        <v>20</v>
      </c>
      <c r="D1524" s="1">
        <f t="shared" ca="1" si="107"/>
        <v>444</v>
      </c>
      <c r="E1524" s="2">
        <f t="shared" ca="1" si="108"/>
        <v>42749</v>
      </c>
      <c r="F1524" s="6">
        <f t="shared" ca="1" si="109"/>
        <v>3.0967869143043583</v>
      </c>
    </row>
    <row r="1525" spans="1:6">
      <c r="A1525" s="1">
        <v>9125869</v>
      </c>
      <c r="B1525" s="1">
        <f t="shared" ca="1" si="106"/>
        <v>0.29718897428265545</v>
      </c>
      <c r="C1525" s="1">
        <f t="shared" ca="1" si="110"/>
        <v>93</v>
      </c>
      <c r="D1525" s="1">
        <f t="shared" ca="1" si="107"/>
        <v>518</v>
      </c>
      <c r="E1525" s="2">
        <f t="shared" ca="1" si="108"/>
        <v>43022</v>
      </c>
      <c r="F1525" s="6">
        <f t="shared" ca="1" si="109"/>
        <v>5.0541809851691113</v>
      </c>
    </row>
    <row r="1526" spans="1:6">
      <c r="A1526" s="1">
        <v>9125872</v>
      </c>
      <c r="B1526" s="1">
        <f t="shared" ca="1" si="106"/>
        <v>0.90732490616534434</v>
      </c>
      <c r="C1526" s="1">
        <f t="shared" ca="1" si="110"/>
        <v>43</v>
      </c>
      <c r="D1526" s="1">
        <f t="shared" ca="1" si="107"/>
        <v>73</v>
      </c>
      <c r="E1526" s="2">
        <f t="shared" ca="1" si="108"/>
        <v>43165</v>
      </c>
      <c r="F1526" s="6">
        <f t="shared" ca="1" si="109"/>
        <v>59.352362568786887</v>
      </c>
    </row>
    <row r="1527" spans="1:6">
      <c r="A1527" s="1">
        <v>9125875</v>
      </c>
      <c r="B1527" s="1">
        <f t="shared" ca="1" si="106"/>
        <v>0.69488203337364729</v>
      </c>
      <c r="C1527" s="1">
        <f t="shared" ca="1" si="110"/>
        <v>57</v>
      </c>
      <c r="D1527" s="1">
        <f t="shared" ca="1" si="107"/>
        <v>24</v>
      </c>
      <c r="E1527" s="2">
        <f t="shared" ca="1" si="108"/>
        <v>42977</v>
      </c>
      <c r="F1527" s="6">
        <f t="shared" ca="1" si="109"/>
        <v>46.3742603656776</v>
      </c>
    </row>
    <row r="1528" spans="1:6">
      <c r="A1528" s="1">
        <v>9125878</v>
      </c>
      <c r="B1528" s="1">
        <f t="shared" ca="1" si="106"/>
        <v>0.79612244448349512</v>
      </c>
      <c r="C1528" s="1">
        <f t="shared" ca="1" si="110"/>
        <v>114</v>
      </c>
      <c r="D1528" s="1">
        <f t="shared" ca="1" si="107"/>
        <v>581</v>
      </c>
      <c r="E1528" s="2">
        <f t="shared" ca="1" si="108"/>
        <v>43482</v>
      </c>
      <c r="F1528" s="6">
        <f t="shared" ca="1" si="109"/>
        <v>4.7628502248129703</v>
      </c>
    </row>
    <row r="1529" spans="1:6">
      <c r="A1529" s="1">
        <v>9125881</v>
      </c>
      <c r="B1529" s="1">
        <f t="shared" ca="1" si="106"/>
        <v>0.95925555321322087</v>
      </c>
      <c r="C1529" s="1">
        <f t="shared" ca="1" si="110"/>
        <v>191</v>
      </c>
      <c r="D1529" s="1">
        <f t="shared" ca="1" si="107"/>
        <v>31</v>
      </c>
      <c r="E1529" s="2">
        <f t="shared" ca="1" si="108"/>
        <v>43427</v>
      </c>
      <c r="F1529" s="6">
        <f t="shared" ca="1" si="109"/>
        <v>59.966646808313691</v>
      </c>
    </row>
    <row r="1530" spans="1:6">
      <c r="A1530" s="1">
        <v>9125884</v>
      </c>
      <c r="B1530" s="1">
        <f t="shared" ca="1" si="106"/>
        <v>0.24087784240775056</v>
      </c>
      <c r="C1530" s="1">
        <f t="shared" ca="1" si="110"/>
        <v>2</v>
      </c>
      <c r="D1530" s="1">
        <f t="shared" ca="1" si="107"/>
        <v>30</v>
      </c>
      <c r="E1530" s="2">
        <f t="shared" ca="1" si="108"/>
        <v>43045</v>
      </c>
      <c r="F1530" s="6">
        <f t="shared" ca="1" si="109"/>
        <v>28.191192254736748</v>
      </c>
    </row>
    <row r="1531" spans="1:6">
      <c r="A1531" s="1">
        <v>9125887</v>
      </c>
      <c r="B1531" s="1">
        <f t="shared" ca="1" si="106"/>
        <v>0.66439799473837113</v>
      </c>
      <c r="C1531" s="1">
        <f t="shared" ca="1" si="110"/>
        <v>287</v>
      </c>
      <c r="D1531" s="1">
        <f t="shared" ca="1" si="107"/>
        <v>3</v>
      </c>
      <c r="E1531" s="2">
        <f t="shared" ca="1" si="108"/>
        <v>43145</v>
      </c>
      <c r="F1531" s="6">
        <f t="shared" ca="1" si="109"/>
        <v>4.4907842503623883</v>
      </c>
    </row>
    <row r="1532" spans="1:6">
      <c r="A1532" s="1">
        <v>9125890</v>
      </c>
      <c r="B1532" s="1">
        <f t="shared" ca="1" si="106"/>
        <v>9.3734508122128135E-2</v>
      </c>
      <c r="C1532" s="1">
        <f t="shared" ca="1" si="110"/>
        <v>3</v>
      </c>
      <c r="D1532" s="1">
        <f t="shared" ca="1" si="107"/>
        <v>263</v>
      </c>
      <c r="E1532" s="2">
        <f t="shared" ca="1" si="108"/>
        <v>43164</v>
      </c>
      <c r="F1532" s="6">
        <f t="shared" ca="1" si="109"/>
        <v>12.983654258603931</v>
      </c>
    </row>
    <row r="1533" spans="1:6">
      <c r="A1533" s="1">
        <v>9125893</v>
      </c>
      <c r="B1533" s="1">
        <f t="shared" ca="1" si="106"/>
        <v>0.94072603448390102</v>
      </c>
      <c r="C1533" s="1">
        <f t="shared" ca="1" si="110"/>
        <v>13</v>
      </c>
      <c r="D1533" s="1">
        <f t="shared" ca="1" si="107"/>
        <v>80</v>
      </c>
      <c r="E1533" s="2">
        <f t="shared" ca="1" si="108"/>
        <v>42934</v>
      </c>
      <c r="F1533" s="6">
        <f t="shared" ca="1" si="109"/>
        <v>32.291979640465641</v>
      </c>
    </row>
    <row r="1534" spans="1:6">
      <c r="A1534" s="1">
        <v>9125896</v>
      </c>
      <c r="B1534" s="1">
        <f t="shared" ca="1" si="106"/>
        <v>0.54612431757842173</v>
      </c>
      <c r="C1534" s="1">
        <f t="shared" ca="1" si="110"/>
        <v>5</v>
      </c>
      <c r="D1534" s="1">
        <f t="shared" ca="1" si="107"/>
        <v>363</v>
      </c>
      <c r="E1534" s="2">
        <f t="shared" ca="1" si="108"/>
        <v>43395</v>
      </c>
      <c r="F1534" s="6">
        <f t="shared" ca="1" si="109"/>
        <v>7.6720290938597264</v>
      </c>
    </row>
    <row r="1535" spans="1:6">
      <c r="A1535" s="1">
        <v>9125899</v>
      </c>
      <c r="B1535" s="1">
        <f t="shared" ca="1" si="106"/>
        <v>0.62052081826185856</v>
      </c>
      <c r="C1535" s="1">
        <f t="shared" ca="1" si="110"/>
        <v>1</v>
      </c>
      <c r="D1535" s="1">
        <f t="shared" ca="1" si="107"/>
        <v>474</v>
      </c>
      <c r="E1535" s="2">
        <f t="shared" ca="1" si="108"/>
        <v>43213</v>
      </c>
      <c r="F1535" s="6">
        <f t="shared" ca="1" si="109"/>
        <v>3.0090628410840679</v>
      </c>
    </row>
    <row r="1536" spans="1:6">
      <c r="A1536" s="1">
        <v>9125902</v>
      </c>
      <c r="B1536" s="1">
        <f t="shared" ca="1" si="106"/>
        <v>0.98013918887844875</v>
      </c>
      <c r="C1536" s="1">
        <f t="shared" ca="1" si="110"/>
        <v>9</v>
      </c>
      <c r="D1536" s="1">
        <f t="shared" ca="1" si="107"/>
        <v>278</v>
      </c>
      <c r="E1536" s="2">
        <f t="shared" ca="1" si="108"/>
        <v>43113</v>
      </c>
      <c r="F1536" s="6">
        <f t="shared" ca="1" si="109"/>
        <v>69.990604580845599</v>
      </c>
    </row>
    <row r="1537" spans="1:6">
      <c r="A1537" s="1">
        <v>9125905</v>
      </c>
      <c r="B1537" s="1">
        <f t="shared" ca="1" si="106"/>
        <v>8.6374712171100043E-2</v>
      </c>
      <c r="C1537" s="1">
        <f t="shared" ca="1" si="110"/>
        <v>2</v>
      </c>
      <c r="D1537" s="1">
        <f t="shared" ca="1" si="107"/>
        <v>30</v>
      </c>
      <c r="E1537" s="2">
        <f t="shared" ca="1" si="108"/>
        <v>43006</v>
      </c>
      <c r="F1537" s="6">
        <f t="shared" ca="1" si="109"/>
        <v>6.7441242408293007</v>
      </c>
    </row>
    <row r="1538" spans="1:6">
      <c r="A1538" s="1">
        <v>9125908</v>
      </c>
      <c r="B1538" s="1">
        <f t="shared" ref="B1538:B1601" ca="1" si="111">RAND()</f>
        <v>0.88542974377513672</v>
      </c>
      <c r="C1538" s="1">
        <f t="shared" ca="1" si="110"/>
        <v>22</v>
      </c>
      <c r="D1538" s="1">
        <f t="shared" ca="1" si="107"/>
        <v>413</v>
      </c>
      <c r="E1538" s="2">
        <f t="shared" ca="1" si="108"/>
        <v>42784</v>
      </c>
      <c r="F1538" s="6">
        <f t="shared" ca="1" si="109"/>
        <v>22.424354721103228</v>
      </c>
    </row>
    <row r="1539" spans="1:6">
      <c r="A1539" s="1">
        <v>9125911</v>
      </c>
      <c r="B1539" s="1">
        <f t="shared" ca="1" si="111"/>
        <v>0.36755843159719725</v>
      </c>
      <c r="C1539" s="1">
        <f t="shared" ca="1" si="110"/>
        <v>70</v>
      </c>
      <c r="D1539" s="1">
        <f t="shared" ref="D1539:D1602" ca="1" si="112">VLOOKUP(SMALL($B$2:$B$601,C1539),$B$2:$C$601,2,FALSE)</f>
        <v>82</v>
      </c>
      <c r="E1539" s="2">
        <f t="shared" ref="E1539:E1602" ca="1" si="113">RANDBETWEEN("1/1/17","2/1/19")</f>
        <v>42908</v>
      </c>
      <c r="F1539" s="6">
        <f t="shared" ref="F1539:F1602" ca="1" si="114">_xlfn.GAMMA.INV(RAND(),$J$6,$J$7)*100+3</f>
        <v>24.113813968897745</v>
      </c>
    </row>
    <row r="1540" spans="1:6">
      <c r="A1540" s="1">
        <v>9125914</v>
      </c>
      <c r="B1540" s="1">
        <f t="shared" ca="1" si="111"/>
        <v>0.55326664782939738</v>
      </c>
      <c r="C1540" s="1">
        <f t="shared" ca="1" si="110"/>
        <v>2</v>
      </c>
      <c r="D1540" s="1">
        <f t="shared" ca="1" si="112"/>
        <v>30</v>
      </c>
      <c r="E1540" s="2">
        <f t="shared" ca="1" si="113"/>
        <v>42855</v>
      </c>
      <c r="F1540" s="6">
        <f t="shared" ca="1" si="114"/>
        <v>9.4424273879737495</v>
      </c>
    </row>
    <row r="1541" spans="1:6">
      <c r="A1541" s="1">
        <v>9125917</v>
      </c>
      <c r="B1541" s="1">
        <f t="shared" ca="1" si="111"/>
        <v>0.56063975866414961</v>
      </c>
      <c r="C1541" s="1">
        <f t="shared" ca="1" si="110"/>
        <v>34</v>
      </c>
      <c r="D1541" s="1">
        <f t="shared" ca="1" si="112"/>
        <v>503</v>
      </c>
      <c r="E1541" s="2">
        <f t="shared" ca="1" si="113"/>
        <v>43127</v>
      </c>
      <c r="F1541" s="6">
        <f t="shared" ca="1" si="114"/>
        <v>6.0025109554550529</v>
      </c>
    </row>
    <row r="1542" spans="1:6">
      <c r="A1542" s="1">
        <v>9125920</v>
      </c>
      <c r="B1542" s="1">
        <f t="shared" ca="1" si="111"/>
        <v>0.87890106197458595</v>
      </c>
      <c r="C1542" s="1">
        <f t="shared" ca="1" si="110"/>
        <v>25</v>
      </c>
      <c r="D1542" s="1">
        <f t="shared" ca="1" si="112"/>
        <v>257</v>
      </c>
      <c r="E1542" s="2">
        <f t="shared" ca="1" si="113"/>
        <v>42948</v>
      </c>
      <c r="F1542" s="6">
        <f t="shared" ca="1" si="114"/>
        <v>3.0043324475671622</v>
      </c>
    </row>
    <row r="1543" spans="1:6">
      <c r="A1543" s="1">
        <v>9125923</v>
      </c>
      <c r="B1543" s="1">
        <f t="shared" ca="1" si="111"/>
        <v>0.21538974520908438</v>
      </c>
      <c r="C1543" s="1">
        <f t="shared" ca="1" si="110"/>
        <v>150</v>
      </c>
      <c r="D1543" s="1">
        <f t="shared" ca="1" si="112"/>
        <v>107</v>
      </c>
      <c r="E1543" s="2">
        <f t="shared" ca="1" si="113"/>
        <v>42766</v>
      </c>
      <c r="F1543" s="6">
        <f t="shared" ca="1" si="114"/>
        <v>15.271703550254591</v>
      </c>
    </row>
    <row r="1544" spans="1:6">
      <c r="A1544" s="1">
        <v>9125926</v>
      </c>
      <c r="B1544" s="1">
        <f t="shared" ca="1" si="111"/>
        <v>0.69459579670260119</v>
      </c>
      <c r="C1544" s="1">
        <f t="shared" ca="1" si="110"/>
        <v>116</v>
      </c>
      <c r="D1544" s="1">
        <f t="shared" ca="1" si="112"/>
        <v>153</v>
      </c>
      <c r="E1544" s="2">
        <f t="shared" ca="1" si="113"/>
        <v>43163</v>
      </c>
      <c r="F1544" s="6">
        <f t="shared" ca="1" si="114"/>
        <v>193.61148704187113</v>
      </c>
    </row>
    <row r="1545" spans="1:6">
      <c r="A1545" s="1">
        <v>9125929</v>
      </c>
      <c r="B1545" s="1">
        <f t="shared" ca="1" si="111"/>
        <v>0.50838576944551739</v>
      </c>
      <c r="C1545" s="1">
        <f t="shared" ca="1" si="110"/>
        <v>24</v>
      </c>
      <c r="D1545" s="1">
        <f t="shared" ca="1" si="112"/>
        <v>334</v>
      </c>
      <c r="E1545" s="2">
        <f t="shared" ca="1" si="113"/>
        <v>43356</v>
      </c>
      <c r="F1545" s="6">
        <f t="shared" ca="1" si="114"/>
        <v>102.12521182289939</v>
      </c>
    </row>
    <row r="1546" spans="1:6">
      <c r="A1546" s="1">
        <v>9125932</v>
      </c>
      <c r="B1546" s="1">
        <f t="shared" ca="1" si="111"/>
        <v>5.306642870510081E-2</v>
      </c>
      <c r="C1546" s="1">
        <f t="shared" ca="1" si="110"/>
        <v>121</v>
      </c>
      <c r="D1546" s="1">
        <f t="shared" ca="1" si="112"/>
        <v>243</v>
      </c>
      <c r="E1546" s="2">
        <f t="shared" ca="1" si="113"/>
        <v>43482</v>
      </c>
      <c r="F1546" s="6">
        <f t="shared" ca="1" si="114"/>
        <v>51.026129231859684</v>
      </c>
    </row>
    <row r="1547" spans="1:6">
      <c r="A1547" s="1">
        <v>9125935</v>
      </c>
      <c r="B1547" s="1">
        <f t="shared" ca="1" si="111"/>
        <v>0.34198937253070949</v>
      </c>
      <c r="C1547" s="1">
        <f t="shared" ca="1" si="110"/>
        <v>4</v>
      </c>
      <c r="D1547" s="1">
        <f t="shared" ca="1" si="112"/>
        <v>493</v>
      </c>
      <c r="E1547" s="2">
        <f t="shared" ca="1" si="113"/>
        <v>43172</v>
      </c>
      <c r="F1547" s="6">
        <f t="shared" ca="1" si="114"/>
        <v>43.921786016316688</v>
      </c>
    </row>
    <row r="1548" spans="1:6">
      <c r="A1548" s="1">
        <v>9125938</v>
      </c>
      <c r="B1548" s="1">
        <f t="shared" ca="1" si="111"/>
        <v>0.75193759593265075</v>
      </c>
      <c r="C1548" s="1">
        <f t="shared" ca="1" si="110"/>
        <v>113</v>
      </c>
      <c r="D1548" s="1">
        <f t="shared" ca="1" si="112"/>
        <v>330</v>
      </c>
      <c r="E1548" s="2">
        <f t="shared" ca="1" si="113"/>
        <v>42860</v>
      </c>
      <c r="F1548" s="6">
        <f t="shared" ca="1" si="114"/>
        <v>95.898482439813549</v>
      </c>
    </row>
    <row r="1549" spans="1:6">
      <c r="A1549" s="1">
        <v>9125941</v>
      </c>
      <c r="B1549" s="1">
        <f t="shared" ca="1" si="111"/>
        <v>0.60716375520708976</v>
      </c>
      <c r="C1549" s="1">
        <f t="shared" ca="1" si="110"/>
        <v>101</v>
      </c>
      <c r="D1549" s="1">
        <f t="shared" ca="1" si="112"/>
        <v>166</v>
      </c>
      <c r="E1549" s="2">
        <f t="shared" ca="1" si="113"/>
        <v>43366</v>
      </c>
      <c r="F1549" s="6">
        <f t="shared" ca="1" si="114"/>
        <v>7.3879309027571134</v>
      </c>
    </row>
    <row r="1550" spans="1:6">
      <c r="A1550" s="1">
        <v>9125944</v>
      </c>
      <c r="B1550" s="1">
        <f t="shared" ca="1" si="111"/>
        <v>0.93272554565058474</v>
      </c>
      <c r="C1550" s="1">
        <f t="shared" ca="1" si="110"/>
        <v>16</v>
      </c>
      <c r="D1550" s="1">
        <f t="shared" ca="1" si="112"/>
        <v>465</v>
      </c>
      <c r="E1550" s="2">
        <f t="shared" ca="1" si="113"/>
        <v>43105</v>
      </c>
      <c r="F1550" s="6">
        <f t="shared" ca="1" si="114"/>
        <v>91.321230608750213</v>
      </c>
    </row>
    <row r="1551" spans="1:6">
      <c r="A1551" s="1">
        <v>9125947</v>
      </c>
      <c r="B1551" s="1">
        <f t="shared" ca="1" si="111"/>
        <v>0.71216010753958869</v>
      </c>
      <c r="C1551" s="1">
        <f t="shared" ca="1" si="110"/>
        <v>7</v>
      </c>
      <c r="D1551" s="1">
        <f t="shared" ca="1" si="112"/>
        <v>138</v>
      </c>
      <c r="E1551" s="2">
        <f t="shared" ca="1" si="113"/>
        <v>42762</v>
      </c>
      <c r="F1551" s="6">
        <f t="shared" ca="1" si="114"/>
        <v>34.227663226178478</v>
      </c>
    </row>
    <row r="1552" spans="1:6">
      <c r="A1552" s="1">
        <v>9125950</v>
      </c>
      <c r="B1552" s="1">
        <f t="shared" ca="1" si="111"/>
        <v>0.20145998496968021</v>
      </c>
      <c r="C1552" s="1">
        <f t="shared" ca="1" si="110"/>
        <v>52</v>
      </c>
      <c r="D1552" s="1">
        <f t="shared" ca="1" si="112"/>
        <v>574</v>
      </c>
      <c r="E1552" s="2">
        <f t="shared" ca="1" si="113"/>
        <v>43460</v>
      </c>
      <c r="F1552" s="6">
        <f t="shared" ca="1" si="114"/>
        <v>5.0322604733659055</v>
      </c>
    </row>
    <row r="1553" spans="1:6">
      <c r="A1553" s="1">
        <v>9125953</v>
      </c>
      <c r="B1553" s="1">
        <f t="shared" ca="1" si="111"/>
        <v>0.41556423637985473</v>
      </c>
      <c r="C1553" s="1">
        <f t="shared" ca="1" si="110"/>
        <v>5</v>
      </c>
      <c r="D1553" s="1">
        <f t="shared" ca="1" si="112"/>
        <v>363</v>
      </c>
      <c r="E1553" s="2">
        <f t="shared" ca="1" si="113"/>
        <v>43251</v>
      </c>
      <c r="F1553" s="6">
        <f t="shared" ca="1" si="114"/>
        <v>77.818333878813675</v>
      </c>
    </row>
    <row r="1554" spans="1:6">
      <c r="A1554" s="1">
        <v>9125956</v>
      </c>
      <c r="B1554" s="1">
        <f t="shared" ca="1" si="111"/>
        <v>0.46994283124932257</v>
      </c>
      <c r="C1554" s="1">
        <f t="shared" ca="1" si="110"/>
        <v>140</v>
      </c>
      <c r="D1554" s="1">
        <f t="shared" ca="1" si="112"/>
        <v>195</v>
      </c>
      <c r="E1554" s="2">
        <f t="shared" ca="1" si="113"/>
        <v>42864</v>
      </c>
      <c r="F1554" s="6">
        <f t="shared" ca="1" si="114"/>
        <v>44.542042810250763</v>
      </c>
    </row>
    <row r="1555" spans="1:6">
      <c r="A1555" s="1">
        <v>9125959</v>
      </c>
      <c r="B1555" s="1">
        <f t="shared" ca="1" si="111"/>
        <v>0.88108018040524183</v>
      </c>
      <c r="C1555" s="1">
        <f t="shared" ca="1" si="110"/>
        <v>55</v>
      </c>
      <c r="D1555" s="1">
        <f t="shared" ca="1" si="112"/>
        <v>220</v>
      </c>
      <c r="E1555" s="2">
        <f t="shared" ca="1" si="113"/>
        <v>43292</v>
      </c>
      <c r="F1555" s="6">
        <f t="shared" ca="1" si="114"/>
        <v>15.734114345180195</v>
      </c>
    </row>
    <row r="1556" spans="1:6">
      <c r="A1556" s="1">
        <v>9125962</v>
      </c>
      <c r="B1556" s="1">
        <f t="shared" ca="1" si="111"/>
        <v>2.8579501705506383E-2</v>
      </c>
      <c r="C1556" s="1">
        <f t="shared" ca="1" si="110"/>
        <v>56</v>
      </c>
      <c r="D1556" s="1">
        <f t="shared" ca="1" si="112"/>
        <v>57</v>
      </c>
      <c r="E1556" s="2">
        <f t="shared" ca="1" si="113"/>
        <v>42774</v>
      </c>
      <c r="F1556" s="6">
        <f t="shared" ca="1" si="114"/>
        <v>65.699106463313981</v>
      </c>
    </row>
    <row r="1557" spans="1:6">
      <c r="A1557" s="1">
        <v>9125965</v>
      </c>
      <c r="B1557" s="1">
        <f t="shared" ca="1" si="111"/>
        <v>0.97999473492554823</v>
      </c>
      <c r="C1557" s="1">
        <f t="shared" ca="1" si="110"/>
        <v>2</v>
      </c>
      <c r="D1557" s="1">
        <f t="shared" ca="1" si="112"/>
        <v>30</v>
      </c>
      <c r="E1557" s="2">
        <f t="shared" ca="1" si="113"/>
        <v>43409</v>
      </c>
      <c r="F1557" s="6">
        <f t="shared" ca="1" si="114"/>
        <v>64.647460822561072</v>
      </c>
    </row>
    <row r="1558" spans="1:6">
      <c r="A1558" s="1">
        <v>9125968</v>
      </c>
      <c r="B1558" s="1">
        <f t="shared" ca="1" si="111"/>
        <v>0.97158123558298737</v>
      </c>
      <c r="C1558" s="1">
        <f t="shared" ca="1" si="110"/>
        <v>228</v>
      </c>
      <c r="D1558" s="1">
        <f t="shared" ca="1" si="112"/>
        <v>480</v>
      </c>
      <c r="E1558" s="2">
        <f t="shared" ca="1" si="113"/>
        <v>43016</v>
      </c>
      <c r="F1558" s="6">
        <f t="shared" ca="1" si="114"/>
        <v>37.750944981303661</v>
      </c>
    </row>
    <row r="1559" spans="1:6">
      <c r="A1559" s="1">
        <v>9125971</v>
      </c>
      <c r="B1559" s="1">
        <f t="shared" ca="1" si="111"/>
        <v>0.1245541230154833</v>
      </c>
      <c r="C1559" s="1">
        <f t="shared" ca="1" si="110"/>
        <v>128</v>
      </c>
      <c r="D1559" s="1">
        <f t="shared" ca="1" si="112"/>
        <v>317</v>
      </c>
      <c r="E1559" s="2">
        <f t="shared" ca="1" si="113"/>
        <v>43196</v>
      </c>
      <c r="F1559" s="6">
        <f t="shared" ca="1" si="114"/>
        <v>4.415846135302929</v>
      </c>
    </row>
    <row r="1560" spans="1:6">
      <c r="A1560" s="1">
        <v>9125974</v>
      </c>
      <c r="B1560" s="1">
        <f t="shared" ca="1" si="111"/>
        <v>0.87881267286006559</v>
      </c>
      <c r="C1560" s="1">
        <f t="shared" ca="1" si="110"/>
        <v>64</v>
      </c>
      <c r="D1560" s="1">
        <f t="shared" ca="1" si="112"/>
        <v>1</v>
      </c>
      <c r="E1560" s="2">
        <f t="shared" ca="1" si="113"/>
        <v>43369</v>
      </c>
      <c r="F1560" s="6">
        <f t="shared" ca="1" si="114"/>
        <v>8.3407811420651541</v>
      </c>
    </row>
    <row r="1561" spans="1:6">
      <c r="A1561" s="1">
        <v>9125977</v>
      </c>
      <c r="B1561" s="1">
        <f t="shared" ca="1" si="111"/>
        <v>0.59070787094023203</v>
      </c>
      <c r="C1561" s="1">
        <f t="shared" ca="1" si="110"/>
        <v>2</v>
      </c>
      <c r="D1561" s="1">
        <f t="shared" ca="1" si="112"/>
        <v>30</v>
      </c>
      <c r="E1561" s="2">
        <f t="shared" ca="1" si="113"/>
        <v>43233</v>
      </c>
      <c r="F1561" s="6">
        <f t="shared" ca="1" si="114"/>
        <v>3.11777281723879</v>
      </c>
    </row>
    <row r="1562" spans="1:6">
      <c r="A1562" s="1">
        <v>9125980</v>
      </c>
      <c r="B1562" s="1">
        <f t="shared" ca="1" si="111"/>
        <v>0.900505671620902</v>
      </c>
      <c r="C1562" s="1">
        <f t="shared" ca="1" si="110"/>
        <v>121</v>
      </c>
      <c r="D1562" s="1">
        <f t="shared" ca="1" si="112"/>
        <v>243</v>
      </c>
      <c r="E1562" s="2">
        <f t="shared" ca="1" si="113"/>
        <v>42956</v>
      </c>
      <c r="F1562" s="6">
        <f t="shared" ca="1" si="114"/>
        <v>39.904870991293294</v>
      </c>
    </row>
    <row r="1563" spans="1:6">
      <c r="A1563" s="1">
        <v>9125983</v>
      </c>
      <c r="B1563" s="1">
        <f t="shared" ca="1" si="111"/>
        <v>0.48113831681722818</v>
      </c>
      <c r="C1563" s="1">
        <f t="shared" ref="C1563:C1626" ca="1" si="115">ROUND(_xlfn.GAMMA.INV(RAND(),$J$11,$J$12)*100,0)+1</f>
        <v>47</v>
      </c>
      <c r="D1563" s="1">
        <f t="shared" ca="1" si="112"/>
        <v>515</v>
      </c>
      <c r="E1563" s="2">
        <f t="shared" ca="1" si="113"/>
        <v>43083</v>
      </c>
      <c r="F1563" s="6">
        <f t="shared" ca="1" si="114"/>
        <v>25.276112699097801</v>
      </c>
    </row>
    <row r="1564" spans="1:6">
      <c r="A1564" s="1">
        <v>9125986</v>
      </c>
      <c r="B1564" s="1">
        <f t="shared" ca="1" si="111"/>
        <v>0.79858257805409871</v>
      </c>
      <c r="C1564" s="1">
        <f t="shared" ca="1" si="115"/>
        <v>10</v>
      </c>
      <c r="D1564" s="1">
        <f t="shared" ca="1" si="112"/>
        <v>236</v>
      </c>
      <c r="E1564" s="2">
        <f t="shared" ca="1" si="113"/>
        <v>42917</v>
      </c>
      <c r="F1564" s="6">
        <f t="shared" ca="1" si="114"/>
        <v>10.522487543777194</v>
      </c>
    </row>
    <row r="1565" spans="1:6">
      <c r="A1565" s="1">
        <v>9125989</v>
      </c>
      <c r="B1565" s="1">
        <f t="shared" ca="1" si="111"/>
        <v>0.61417670377710631</v>
      </c>
      <c r="C1565" s="1">
        <f t="shared" ca="1" si="115"/>
        <v>1</v>
      </c>
      <c r="D1565" s="1">
        <f t="shared" ca="1" si="112"/>
        <v>474</v>
      </c>
      <c r="E1565" s="2">
        <f t="shared" ca="1" si="113"/>
        <v>42838</v>
      </c>
      <c r="F1565" s="6">
        <f t="shared" ca="1" si="114"/>
        <v>29.341396168097642</v>
      </c>
    </row>
    <row r="1566" spans="1:6">
      <c r="A1566" s="1">
        <v>9125992</v>
      </c>
      <c r="B1566" s="1">
        <f t="shared" ca="1" si="111"/>
        <v>0.38630907521153823</v>
      </c>
      <c r="C1566" s="1">
        <f t="shared" ca="1" si="115"/>
        <v>39</v>
      </c>
      <c r="D1566" s="1">
        <f t="shared" ca="1" si="112"/>
        <v>402</v>
      </c>
      <c r="E1566" s="2">
        <f t="shared" ca="1" si="113"/>
        <v>43439</v>
      </c>
      <c r="F1566" s="6">
        <f t="shared" ca="1" si="114"/>
        <v>81.330771682868644</v>
      </c>
    </row>
    <row r="1567" spans="1:6">
      <c r="A1567" s="1">
        <v>9125995</v>
      </c>
      <c r="B1567" s="1">
        <f t="shared" ca="1" si="111"/>
        <v>2.4733161670490889E-2</v>
      </c>
      <c r="C1567" s="1">
        <f t="shared" ca="1" si="115"/>
        <v>16</v>
      </c>
      <c r="D1567" s="1">
        <f t="shared" ca="1" si="112"/>
        <v>465</v>
      </c>
      <c r="E1567" s="2">
        <f t="shared" ca="1" si="113"/>
        <v>43419</v>
      </c>
      <c r="F1567" s="6">
        <f t="shared" ca="1" si="114"/>
        <v>55.22632885413617</v>
      </c>
    </row>
    <row r="1568" spans="1:6">
      <c r="A1568" s="1">
        <v>9125998</v>
      </c>
      <c r="B1568" s="1">
        <f t="shared" ca="1" si="111"/>
        <v>0.63944814260082172</v>
      </c>
      <c r="C1568" s="1">
        <f t="shared" ca="1" si="115"/>
        <v>168</v>
      </c>
      <c r="D1568" s="1">
        <f t="shared" ca="1" si="112"/>
        <v>125</v>
      </c>
      <c r="E1568" s="2">
        <f t="shared" ca="1" si="113"/>
        <v>43342</v>
      </c>
      <c r="F1568" s="6">
        <f t="shared" ca="1" si="114"/>
        <v>107.4193602793339</v>
      </c>
    </row>
    <row r="1569" spans="1:6">
      <c r="A1569" s="1">
        <v>9126001</v>
      </c>
      <c r="B1569" s="1">
        <f t="shared" ca="1" si="111"/>
        <v>0.46786764364063949</v>
      </c>
      <c r="C1569" s="1">
        <f t="shared" ca="1" si="115"/>
        <v>50</v>
      </c>
      <c r="D1569" s="1">
        <f t="shared" ca="1" si="112"/>
        <v>415</v>
      </c>
      <c r="E1569" s="2">
        <f t="shared" ca="1" si="113"/>
        <v>43020</v>
      </c>
      <c r="F1569" s="6">
        <f t="shared" ca="1" si="114"/>
        <v>202.11999202115192</v>
      </c>
    </row>
    <row r="1570" spans="1:6">
      <c r="A1570" s="1">
        <v>9126004</v>
      </c>
      <c r="B1570" s="1">
        <f t="shared" ca="1" si="111"/>
        <v>0.81703900195306511</v>
      </c>
      <c r="C1570" s="1">
        <f t="shared" ca="1" si="115"/>
        <v>51</v>
      </c>
      <c r="D1570" s="1">
        <f t="shared" ca="1" si="112"/>
        <v>93</v>
      </c>
      <c r="E1570" s="2">
        <f t="shared" ca="1" si="113"/>
        <v>42917</v>
      </c>
      <c r="F1570" s="6">
        <f t="shared" ca="1" si="114"/>
        <v>127.68939285308247</v>
      </c>
    </row>
    <row r="1571" spans="1:6">
      <c r="A1571" s="1">
        <v>9126007</v>
      </c>
      <c r="B1571" s="1">
        <f t="shared" ca="1" si="111"/>
        <v>0.64678848754390816</v>
      </c>
      <c r="C1571" s="1">
        <f t="shared" ca="1" si="115"/>
        <v>9</v>
      </c>
      <c r="D1571" s="1">
        <f t="shared" ca="1" si="112"/>
        <v>278</v>
      </c>
      <c r="E1571" s="2">
        <f t="shared" ca="1" si="113"/>
        <v>42738</v>
      </c>
      <c r="F1571" s="6">
        <f t="shared" ca="1" si="114"/>
        <v>11.045373137483969</v>
      </c>
    </row>
    <row r="1572" spans="1:6">
      <c r="A1572" s="1">
        <v>9126010</v>
      </c>
      <c r="B1572" s="1">
        <f t="shared" ca="1" si="111"/>
        <v>0.56255721644876011</v>
      </c>
      <c r="C1572" s="1">
        <f t="shared" ca="1" si="115"/>
        <v>5</v>
      </c>
      <c r="D1572" s="1">
        <f t="shared" ca="1" si="112"/>
        <v>363</v>
      </c>
      <c r="E1572" s="2">
        <f t="shared" ca="1" si="113"/>
        <v>43481</v>
      </c>
      <c r="F1572" s="6">
        <f t="shared" ca="1" si="114"/>
        <v>35.124890609066746</v>
      </c>
    </row>
    <row r="1573" spans="1:6">
      <c r="A1573" s="1">
        <v>9126013</v>
      </c>
      <c r="B1573" s="1">
        <f t="shared" ca="1" si="111"/>
        <v>0.9687836400964468</v>
      </c>
      <c r="C1573" s="1">
        <f t="shared" ca="1" si="115"/>
        <v>330</v>
      </c>
      <c r="D1573" s="1">
        <f t="shared" ca="1" si="112"/>
        <v>311</v>
      </c>
      <c r="E1573" s="2">
        <f t="shared" ca="1" si="113"/>
        <v>43067</v>
      </c>
      <c r="F1573" s="6">
        <f t="shared" ca="1" si="114"/>
        <v>22.119544463678253</v>
      </c>
    </row>
    <row r="1574" spans="1:6">
      <c r="A1574" s="1">
        <v>9126016</v>
      </c>
      <c r="B1574" s="1">
        <f t="shared" ca="1" si="111"/>
        <v>0.6083608762638486</v>
      </c>
      <c r="C1574" s="1">
        <f t="shared" ca="1" si="115"/>
        <v>1</v>
      </c>
      <c r="D1574" s="1">
        <f t="shared" ca="1" si="112"/>
        <v>474</v>
      </c>
      <c r="E1574" s="2">
        <f t="shared" ca="1" si="113"/>
        <v>43288</v>
      </c>
      <c r="F1574" s="6">
        <f t="shared" ca="1" si="114"/>
        <v>3.00168198123805</v>
      </c>
    </row>
    <row r="1575" spans="1:6">
      <c r="A1575" s="1">
        <v>9126019</v>
      </c>
      <c r="B1575" s="1">
        <f t="shared" ca="1" si="111"/>
        <v>0.40291136087104795</v>
      </c>
      <c r="C1575" s="1">
        <f t="shared" ca="1" si="115"/>
        <v>3</v>
      </c>
      <c r="D1575" s="1">
        <f t="shared" ca="1" si="112"/>
        <v>263</v>
      </c>
      <c r="E1575" s="2">
        <f t="shared" ca="1" si="113"/>
        <v>42749</v>
      </c>
      <c r="F1575" s="6">
        <f t="shared" ca="1" si="114"/>
        <v>54.773200715294621</v>
      </c>
    </row>
    <row r="1576" spans="1:6">
      <c r="A1576" s="1">
        <v>9126022</v>
      </c>
      <c r="B1576" s="1">
        <f t="shared" ca="1" si="111"/>
        <v>0.65888905737794223</v>
      </c>
      <c r="C1576" s="1">
        <f t="shared" ca="1" si="115"/>
        <v>2</v>
      </c>
      <c r="D1576" s="1">
        <f t="shared" ca="1" si="112"/>
        <v>30</v>
      </c>
      <c r="E1576" s="2">
        <f t="shared" ca="1" si="113"/>
        <v>42962</v>
      </c>
      <c r="F1576" s="6">
        <f t="shared" ca="1" si="114"/>
        <v>46.299012322201492</v>
      </c>
    </row>
    <row r="1577" spans="1:6">
      <c r="A1577" s="1">
        <v>9126025</v>
      </c>
      <c r="B1577" s="1">
        <f t="shared" ca="1" si="111"/>
        <v>3.955058621249119E-2</v>
      </c>
      <c r="C1577" s="1">
        <f t="shared" ca="1" si="115"/>
        <v>51</v>
      </c>
      <c r="D1577" s="1">
        <f t="shared" ca="1" si="112"/>
        <v>93</v>
      </c>
      <c r="E1577" s="2">
        <f t="shared" ca="1" si="113"/>
        <v>43086</v>
      </c>
      <c r="F1577" s="6">
        <f t="shared" ca="1" si="114"/>
        <v>194.05358129738067</v>
      </c>
    </row>
    <row r="1578" spans="1:6">
      <c r="A1578" s="1">
        <v>9126028</v>
      </c>
      <c r="B1578" s="1">
        <f t="shared" ca="1" si="111"/>
        <v>0.88602964308589882</v>
      </c>
      <c r="C1578" s="1">
        <f t="shared" ca="1" si="115"/>
        <v>50</v>
      </c>
      <c r="D1578" s="1">
        <f t="shared" ca="1" si="112"/>
        <v>415</v>
      </c>
      <c r="E1578" s="2">
        <f t="shared" ca="1" si="113"/>
        <v>42842</v>
      </c>
      <c r="F1578" s="6">
        <f t="shared" ca="1" si="114"/>
        <v>160.12563591904186</v>
      </c>
    </row>
    <row r="1579" spans="1:6">
      <c r="A1579" s="1">
        <v>9126031</v>
      </c>
      <c r="B1579" s="1">
        <f t="shared" ca="1" si="111"/>
        <v>0.56336300487274249</v>
      </c>
      <c r="C1579" s="1">
        <f t="shared" ca="1" si="115"/>
        <v>2</v>
      </c>
      <c r="D1579" s="1">
        <f t="shared" ca="1" si="112"/>
        <v>30</v>
      </c>
      <c r="E1579" s="2">
        <f t="shared" ca="1" si="113"/>
        <v>43087</v>
      </c>
      <c r="F1579" s="6">
        <f t="shared" ca="1" si="114"/>
        <v>8.2098461132125315</v>
      </c>
    </row>
    <row r="1580" spans="1:6">
      <c r="A1580" s="1">
        <v>9126034</v>
      </c>
      <c r="B1580" s="1">
        <f t="shared" ca="1" si="111"/>
        <v>0.97690465541104388</v>
      </c>
      <c r="C1580" s="1">
        <f t="shared" ca="1" si="115"/>
        <v>9</v>
      </c>
      <c r="D1580" s="1">
        <f t="shared" ca="1" si="112"/>
        <v>278</v>
      </c>
      <c r="E1580" s="2">
        <f t="shared" ca="1" si="113"/>
        <v>43174</v>
      </c>
      <c r="F1580" s="6">
        <f t="shared" ca="1" si="114"/>
        <v>15.663940108508498</v>
      </c>
    </row>
    <row r="1581" spans="1:6">
      <c r="A1581" s="1">
        <v>9126037</v>
      </c>
      <c r="B1581" s="1">
        <f t="shared" ca="1" si="111"/>
        <v>0.52810946459051911</v>
      </c>
      <c r="C1581" s="1">
        <f t="shared" ca="1" si="115"/>
        <v>39</v>
      </c>
      <c r="D1581" s="1">
        <f t="shared" ca="1" si="112"/>
        <v>402</v>
      </c>
      <c r="E1581" s="2">
        <f t="shared" ca="1" si="113"/>
        <v>43168</v>
      </c>
      <c r="F1581" s="6">
        <f t="shared" ca="1" si="114"/>
        <v>6.2228853153010375</v>
      </c>
    </row>
    <row r="1582" spans="1:6">
      <c r="A1582" s="1">
        <v>9126040</v>
      </c>
      <c r="B1582" s="1">
        <f t="shared" ca="1" si="111"/>
        <v>0.5356463579923807</v>
      </c>
      <c r="C1582" s="1">
        <f t="shared" ca="1" si="115"/>
        <v>67</v>
      </c>
      <c r="D1582" s="1">
        <f t="shared" ca="1" si="112"/>
        <v>259</v>
      </c>
      <c r="E1582" s="2">
        <f t="shared" ca="1" si="113"/>
        <v>42995</v>
      </c>
      <c r="F1582" s="6">
        <f t="shared" ca="1" si="114"/>
        <v>23.22647152951917</v>
      </c>
    </row>
    <row r="1583" spans="1:6">
      <c r="A1583" s="1">
        <v>9126043</v>
      </c>
      <c r="B1583" s="1">
        <f t="shared" ca="1" si="111"/>
        <v>0.49359600874853771</v>
      </c>
      <c r="C1583" s="1">
        <f t="shared" ca="1" si="115"/>
        <v>44</v>
      </c>
      <c r="D1583" s="1">
        <f t="shared" ca="1" si="112"/>
        <v>427</v>
      </c>
      <c r="E1583" s="2">
        <f t="shared" ca="1" si="113"/>
        <v>42928</v>
      </c>
      <c r="F1583" s="6">
        <f t="shared" ca="1" si="114"/>
        <v>199.89022228948764</v>
      </c>
    </row>
    <row r="1584" spans="1:6">
      <c r="A1584" s="1">
        <v>9126046</v>
      </c>
      <c r="B1584" s="1">
        <f t="shared" ca="1" si="111"/>
        <v>0.6378151913225083</v>
      </c>
      <c r="C1584" s="1">
        <f t="shared" ca="1" si="115"/>
        <v>1</v>
      </c>
      <c r="D1584" s="1">
        <f t="shared" ca="1" si="112"/>
        <v>474</v>
      </c>
      <c r="E1584" s="2">
        <f t="shared" ca="1" si="113"/>
        <v>42857</v>
      </c>
      <c r="F1584" s="6">
        <f t="shared" ca="1" si="114"/>
        <v>21.098283098758131</v>
      </c>
    </row>
    <row r="1585" spans="1:6">
      <c r="A1585" s="1">
        <v>9126049</v>
      </c>
      <c r="B1585" s="1">
        <f t="shared" ca="1" si="111"/>
        <v>0.4966688769672899</v>
      </c>
      <c r="C1585" s="1">
        <f t="shared" ca="1" si="115"/>
        <v>175</v>
      </c>
      <c r="D1585" s="1">
        <f t="shared" ca="1" si="112"/>
        <v>453</v>
      </c>
      <c r="E1585" s="2">
        <f t="shared" ca="1" si="113"/>
        <v>43439</v>
      </c>
      <c r="F1585" s="6">
        <f t="shared" ca="1" si="114"/>
        <v>3.1555309747572657</v>
      </c>
    </row>
    <row r="1586" spans="1:6">
      <c r="A1586" s="1">
        <v>9126052</v>
      </c>
      <c r="B1586" s="1">
        <f t="shared" ca="1" si="111"/>
        <v>0.95903995218096483</v>
      </c>
      <c r="C1586" s="1">
        <f t="shared" ca="1" si="115"/>
        <v>1</v>
      </c>
      <c r="D1586" s="1">
        <f t="shared" ca="1" si="112"/>
        <v>474</v>
      </c>
      <c r="E1586" s="2">
        <f t="shared" ca="1" si="113"/>
        <v>42908</v>
      </c>
      <c r="F1586" s="6">
        <f t="shared" ca="1" si="114"/>
        <v>67.273747981546421</v>
      </c>
    </row>
    <row r="1587" spans="1:6">
      <c r="A1587" s="1">
        <v>9126055</v>
      </c>
      <c r="B1587" s="1">
        <f t="shared" ca="1" si="111"/>
        <v>0.25937886912789943</v>
      </c>
      <c r="C1587" s="1">
        <f t="shared" ca="1" si="115"/>
        <v>72</v>
      </c>
      <c r="D1587" s="1">
        <f t="shared" ca="1" si="112"/>
        <v>267</v>
      </c>
      <c r="E1587" s="2">
        <f t="shared" ca="1" si="113"/>
        <v>42907</v>
      </c>
      <c r="F1587" s="6">
        <f t="shared" ca="1" si="114"/>
        <v>73.834859112323173</v>
      </c>
    </row>
    <row r="1588" spans="1:6">
      <c r="A1588" s="1">
        <v>9126058</v>
      </c>
      <c r="B1588" s="1">
        <f t="shared" ca="1" si="111"/>
        <v>0.21614653009662255</v>
      </c>
      <c r="C1588" s="1">
        <f t="shared" ca="1" si="115"/>
        <v>78</v>
      </c>
      <c r="D1588" s="1">
        <f t="shared" ca="1" si="112"/>
        <v>224</v>
      </c>
      <c r="E1588" s="2">
        <f t="shared" ca="1" si="113"/>
        <v>43151</v>
      </c>
      <c r="F1588" s="6">
        <f t="shared" ca="1" si="114"/>
        <v>407.05858886593461</v>
      </c>
    </row>
    <row r="1589" spans="1:6">
      <c r="A1589" s="1">
        <v>9126061</v>
      </c>
      <c r="B1589" s="1">
        <f t="shared" ca="1" si="111"/>
        <v>0.76674284628202782</v>
      </c>
      <c r="C1589" s="1">
        <f t="shared" ca="1" si="115"/>
        <v>20</v>
      </c>
      <c r="D1589" s="1">
        <f t="shared" ca="1" si="112"/>
        <v>444</v>
      </c>
      <c r="E1589" s="2">
        <f t="shared" ca="1" si="113"/>
        <v>42825</v>
      </c>
      <c r="F1589" s="6">
        <f t="shared" ca="1" si="114"/>
        <v>3.59847943923153</v>
      </c>
    </row>
    <row r="1590" spans="1:6">
      <c r="A1590" s="1">
        <v>9126064</v>
      </c>
      <c r="B1590" s="1">
        <f t="shared" ca="1" si="111"/>
        <v>0.72471881270535332</v>
      </c>
      <c r="C1590" s="1">
        <f t="shared" ca="1" si="115"/>
        <v>82</v>
      </c>
      <c r="D1590" s="1">
        <f t="shared" ca="1" si="112"/>
        <v>143</v>
      </c>
      <c r="E1590" s="2">
        <f t="shared" ca="1" si="113"/>
        <v>43104</v>
      </c>
      <c r="F1590" s="6">
        <f t="shared" ca="1" si="114"/>
        <v>207.23281270227292</v>
      </c>
    </row>
    <row r="1591" spans="1:6">
      <c r="A1591" s="1">
        <v>9126067</v>
      </c>
      <c r="B1591" s="1">
        <f t="shared" ca="1" si="111"/>
        <v>0.66317071781886805</v>
      </c>
      <c r="C1591" s="1">
        <f t="shared" ca="1" si="115"/>
        <v>11</v>
      </c>
      <c r="D1591" s="1">
        <f t="shared" ca="1" si="112"/>
        <v>437</v>
      </c>
      <c r="E1591" s="2">
        <f t="shared" ca="1" si="113"/>
        <v>42940</v>
      </c>
      <c r="F1591" s="6">
        <f t="shared" ca="1" si="114"/>
        <v>12.636251999378297</v>
      </c>
    </row>
    <row r="1592" spans="1:6">
      <c r="A1592" s="1">
        <v>9126070</v>
      </c>
      <c r="B1592" s="1">
        <f t="shared" ca="1" si="111"/>
        <v>0.73978388135954876</v>
      </c>
      <c r="C1592" s="1">
        <f t="shared" ca="1" si="115"/>
        <v>25</v>
      </c>
      <c r="D1592" s="1">
        <f t="shared" ca="1" si="112"/>
        <v>257</v>
      </c>
      <c r="E1592" s="2">
        <f t="shared" ca="1" si="113"/>
        <v>43178</v>
      </c>
      <c r="F1592" s="6">
        <f t="shared" ca="1" si="114"/>
        <v>6.4185927689030304</v>
      </c>
    </row>
    <row r="1593" spans="1:6">
      <c r="A1593" s="1">
        <v>9126073</v>
      </c>
      <c r="B1593" s="1">
        <f t="shared" ca="1" si="111"/>
        <v>0.316119501055807</v>
      </c>
      <c r="C1593" s="1">
        <f t="shared" ca="1" si="115"/>
        <v>65</v>
      </c>
      <c r="D1593" s="1">
        <f t="shared" ca="1" si="112"/>
        <v>463</v>
      </c>
      <c r="E1593" s="2">
        <f t="shared" ca="1" si="113"/>
        <v>43332</v>
      </c>
      <c r="F1593" s="6">
        <f t="shared" ca="1" si="114"/>
        <v>9.5502570986634723</v>
      </c>
    </row>
    <row r="1594" spans="1:6">
      <c r="A1594" s="1">
        <v>9126076</v>
      </c>
      <c r="B1594" s="1">
        <f t="shared" ca="1" si="111"/>
        <v>0.83737432297796666</v>
      </c>
      <c r="C1594" s="1">
        <f t="shared" ca="1" si="115"/>
        <v>81</v>
      </c>
      <c r="D1594" s="1">
        <f t="shared" ca="1" si="112"/>
        <v>119</v>
      </c>
      <c r="E1594" s="2">
        <f t="shared" ca="1" si="113"/>
        <v>43429</v>
      </c>
      <c r="F1594" s="6">
        <f t="shared" ca="1" si="114"/>
        <v>3.4579685072281716</v>
      </c>
    </row>
    <row r="1595" spans="1:6">
      <c r="A1595" s="1">
        <v>9126079</v>
      </c>
      <c r="B1595" s="1">
        <f t="shared" ca="1" si="111"/>
        <v>0.26222438086296107</v>
      </c>
      <c r="C1595" s="1">
        <f t="shared" ca="1" si="115"/>
        <v>144</v>
      </c>
      <c r="D1595" s="1">
        <f t="shared" ca="1" si="112"/>
        <v>91</v>
      </c>
      <c r="E1595" s="2">
        <f t="shared" ca="1" si="113"/>
        <v>42768</v>
      </c>
      <c r="F1595" s="6">
        <f t="shared" ca="1" si="114"/>
        <v>47.611559528133</v>
      </c>
    </row>
    <row r="1596" spans="1:6">
      <c r="A1596" s="1">
        <v>9126082</v>
      </c>
      <c r="B1596" s="1">
        <f t="shared" ca="1" si="111"/>
        <v>0.90107169837762757</v>
      </c>
      <c r="C1596" s="1">
        <f t="shared" ca="1" si="115"/>
        <v>1</v>
      </c>
      <c r="D1596" s="1">
        <f t="shared" ca="1" si="112"/>
        <v>474</v>
      </c>
      <c r="E1596" s="2">
        <f t="shared" ca="1" si="113"/>
        <v>43220</v>
      </c>
      <c r="F1596" s="6">
        <f t="shared" ca="1" si="114"/>
        <v>15.58036131104469</v>
      </c>
    </row>
    <row r="1597" spans="1:6">
      <c r="A1597" s="1">
        <v>9126085</v>
      </c>
      <c r="B1597" s="1">
        <f t="shared" ca="1" si="111"/>
        <v>0.58463672466273964</v>
      </c>
      <c r="C1597" s="1">
        <f t="shared" ca="1" si="115"/>
        <v>94</v>
      </c>
      <c r="D1597" s="1">
        <f t="shared" ca="1" si="112"/>
        <v>87</v>
      </c>
      <c r="E1597" s="2">
        <f t="shared" ca="1" si="113"/>
        <v>43342</v>
      </c>
      <c r="F1597" s="6">
        <f t="shared" ca="1" si="114"/>
        <v>17.76691057225808</v>
      </c>
    </row>
    <row r="1598" spans="1:6">
      <c r="A1598" s="1">
        <v>9126088</v>
      </c>
      <c r="B1598" s="1">
        <f t="shared" ca="1" si="111"/>
        <v>0.4571546105552019</v>
      </c>
      <c r="C1598" s="1">
        <f t="shared" ca="1" si="115"/>
        <v>32</v>
      </c>
      <c r="D1598" s="1">
        <f t="shared" ca="1" si="112"/>
        <v>497</v>
      </c>
      <c r="E1598" s="2">
        <f t="shared" ca="1" si="113"/>
        <v>43489</v>
      </c>
      <c r="F1598" s="6">
        <f t="shared" ca="1" si="114"/>
        <v>175.52027461268196</v>
      </c>
    </row>
    <row r="1599" spans="1:6">
      <c r="A1599" s="1">
        <v>9126091</v>
      </c>
      <c r="B1599" s="1">
        <f t="shared" ca="1" si="111"/>
        <v>0.30654634266377978</v>
      </c>
      <c r="C1599" s="1">
        <f t="shared" ca="1" si="115"/>
        <v>102</v>
      </c>
      <c r="D1599" s="1">
        <f t="shared" ca="1" si="112"/>
        <v>366</v>
      </c>
      <c r="E1599" s="2">
        <f t="shared" ca="1" si="113"/>
        <v>42966</v>
      </c>
      <c r="F1599" s="6">
        <f t="shared" ca="1" si="114"/>
        <v>3.8429893514324744</v>
      </c>
    </row>
    <row r="1600" spans="1:6">
      <c r="A1600" s="1">
        <v>9126094</v>
      </c>
      <c r="B1600" s="1">
        <f t="shared" ca="1" si="111"/>
        <v>0.22265219473005105</v>
      </c>
      <c r="C1600" s="1">
        <f t="shared" ca="1" si="115"/>
        <v>56</v>
      </c>
      <c r="D1600" s="1">
        <f t="shared" ca="1" si="112"/>
        <v>57</v>
      </c>
      <c r="E1600" s="2">
        <f t="shared" ca="1" si="113"/>
        <v>43026</v>
      </c>
      <c r="F1600" s="6">
        <f t="shared" ca="1" si="114"/>
        <v>148.36571884652102</v>
      </c>
    </row>
    <row r="1601" spans="1:6">
      <c r="A1601" s="1">
        <v>9126097</v>
      </c>
      <c r="B1601" s="1">
        <f t="shared" ca="1" si="111"/>
        <v>0.80804245388125517</v>
      </c>
      <c r="C1601" s="1">
        <f t="shared" ca="1" si="115"/>
        <v>2</v>
      </c>
      <c r="D1601" s="1">
        <f t="shared" ca="1" si="112"/>
        <v>30</v>
      </c>
      <c r="E1601" s="2">
        <f t="shared" ca="1" si="113"/>
        <v>42871</v>
      </c>
      <c r="F1601" s="6">
        <f t="shared" ca="1" si="114"/>
        <v>55.858703679875148</v>
      </c>
    </row>
    <row r="1602" spans="1:6">
      <c r="A1602" s="1">
        <v>9126100</v>
      </c>
      <c r="B1602" s="1">
        <f t="shared" ref="B1602:B1665" ca="1" si="116">RAND()</f>
        <v>0.96632513315100532</v>
      </c>
      <c r="C1602" s="1">
        <f t="shared" ca="1" si="115"/>
        <v>29</v>
      </c>
      <c r="D1602" s="1">
        <f t="shared" ca="1" si="112"/>
        <v>514</v>
      </c>
      <c r="E1602" s="2">
        <f t="shared" ca="1" si="113"/>
        <v>42933</v>
      </c>
      <c r="F1602" s="6">
        <f t="shared" ca="1" si="114"/>
        <v>61.777211848300112</v>
      </c>
    </row>
    <row r="1603" spans="1:6">
      <c r="A1603" s="1">
        <v>9126103</v>
      </c>
      <c r="B1603" s="1">
        <f t="shared" ca="1" si="116"/>
        <v>0.22770720967829028</v>
      </c>
      <c r="C1603" s="1">
        <f t="shared" ca="1" si="115"/>
        <v>2</v>
      </c>
      <c r="D1603" s="1">
        <f t="shared" ref="D1603:D1666" ca="1" si="117">VLOOKUP(SMALL($B$2:$B$601,C1603),$B$2:$C$601,2,FALSE)</f>
        <v>30</v>
      </c>
      <c r="E1603" s="2">
        <f t="shared" ref="E1603:E1666" ca="1" si="118">RANDBETWEEN("1/1/17","2/1/19")</f>
        <v>43029</v>
      </c>
      <c r="F1603" s="6">
        <f t="shared" ref="F1603:F1666" ca="1" si="119">_xlfn.GAMMA.INV(RAND(),$J$6,$J$7)*100+3</f>
        <v>181.6448445041014</v>
      </c>
    </row>
    <row r="1604" spans="1:6">
      <c r="A1604" s="1">
        <v>9126106</v>
      </c>
      <c r="B1604" s="1">
        <f t="shared" ca="1" si="116"/>
        <v>0.69763207719109965</v>
      </c>
      <c r="C1604" s="1">
        <f t="shared" ca="1" si="115"/>
        <v>34</v>
      </c>
      <c r="D1604" s="1">
        <f t="shared" ca="1" si="117"/>
        <v>503</v>
      </c>
      <c r="E1604" s="2">
        <f t="shared" ca="1" si="118"/>
        <v>42975</v>
      </c>
      <c r="F1604" s="6">
        <f t="shared" ca="1" si="119"/>
        <v>16.446393410796958</v>
      </c>
    </row>
    <row r="1605" spans="1:6">
      <c r="A1605" s="1">
        <v>9126109</v>
      </c>
      <c r="B1605" s="1">
        <f t="shared" ca="1" si="116"/>
        <v>0.59013682129356504</v>
      </c>
      <c r="C1605" s="1">
        <f t="shared" ca="1" si="115"/>
        <v>77</v>
      </c>
      <c r="D1605" s="1">
        <f t="shared" ca="1" si="117"/>
        <v>552</v>
      </c>
      <c r="E1605" s="2">
        <f t="shared" ca="1" si="118"/>
        <v>43442</v>
      </c>
      <c r="F1605" s="6">
        <f t="shared" ca="1" si="119"/>
        <v>68.323796454610445</v>
      </c>
    </row>
    <row r="1606" spans="1:6">
      <c r="A1606" s="1">
        <v>9126112</v>
      </c>
      <c r="B1606" s="1">
        <f t="shared" ca="1" si="116"/>
        <v>0.55873459205218379</v>
      </c>
      <c r="C1606" s="1">
        <f t="shared" ca="1" si="115"/>
        <v>24</v>
      </c>
      <c r="D1606" s="1">
        <f t="shared" ca="1" si="117"/>
        <v>334</v>
      </c>
      <c r="E1606" s="2">
        <f t="shared" ca="1" si="118"/>
        <v>43398</v>
      </c>
      <c r="F1606" s="6">
        <f t="shared" ca="1" si="119"/>
        <v>45.917214198621529</v>
      </c>
    </row>
    <row r="1607" spans="1:6">
      <c r="A1607" s="1">
        <v>9126115</v>
      </c>
      <c r="B1607" s="1">
        <f t="shared" ca="1" si="116"/>
        <v>0.90429717905725415</v>
      </c>
      <c r="C1607" s="1">
        <f t="shared" ca="1" si="115"/>
        <v>25</v>
      </c>
      <c r="D1607" s="1">
        <f t="shared" ca="1" si="117"/>
        <v>257</v>
      </c>
      <c r="E1607" s="2">
        <f t="shared" ca="1" si="118"/>
        <v>43210</v>
      </c>
      <c r="F1607" s="6">
        <f t="shared" ca="1" si="119"/>
        <v>46.573248689162149</v>
      </c>
    </row>
    <row r="1608" spans="1:6">
      <c r="A1608" s="1">
        <v>9126118</v>
      </c>
      <c r="B1608" s="1">
        <f t="shared" ca="1" si="116"/>
        <v>0.83898985239855595</v>
      </c>
      <c r="C1608" s="1">
        <f t="shared" ca="1" si="115"/>
        <v>2</v>
      </c>
      <c r="D1608" s="1">
        <f t="shared" ca="1" si="117"/>
        <v>30</v>
      </c>
      <c r="E1608" s="2">
        <f t="shared" ca="1" si="118"/>
        <v>43339</v>
      </c>
      <c r="F1608" s="6">
        <f t="shared" ca="1" si="119"/>
        <v>9.3673105695437453</v>
      </c>
    </row>
    <row r="1609" spans="1:6">
      <c r="A1609" s="1">
        <v>9126121</v>
      </c>
      <c r="B1609" s="1">
        <f t="shared" ca="1" si="116"/>
        <v>6.9579380839150717E-2</v>
      </c>
      <c r="C1609" s="1">
        <f t="shared" ca="1" si="115"/>
        <v>63</v>
      </c>
      <c r="D1609" s="1">
        <f t="shared" ca="1" si="117"/>
        <v>571</v>
      </c>
      <c r="E1609" s="2">
        <f t="shared" ca="1" si="118"/>
        <v>43309</v>
      </c>
      <c r="F1609" s="6">
        <f t="shared" ca="1" si="119"/>
        <v>58.855402260961341</v>
      </c>
    </row>
    <row r="1610" spans="1:6">
      <c r="A1610" s="1">
        <v>9126124</v>
      </c>
      <c r="B1610" s="1">
        <f t="shared" ca="1" si="116"/>
        <v>0.19266702558211868</v>
      </c>
      <c r="C1610" s="1">
        <f t="shared" ca="1" si="115"/>
        <v>26</v>
      </c>
      <c r="D1610" s="1">
        <f t="shared" ca="1" si="117"/>
        <v>88</v>
      </c>
      <c r="E1610" s="2">
        <f t="shared" ca="1" si="118"/>
        <v>43136</v>
      </c>
      <c r="F1610" s="6">
        <f t="shared" ca="1" si="119"/>
        <v>80.961968471001342</v>
      </c>
    </row>
    <row r="1611" spans="1:6">
      <c r="A1611" s="1">
        <v>9126127</v>
      </c>
      <c r="B1611" s="1">
        <f t="shared" ca="1" si="116"/>
        <v>7.8260326974632588E-2</v>
      </c>
      <c r="C1611" s="1">
        <f t="shared" ca="1" si="115"/>
        <v>1</v>
      </c>
      <c r="D1611" s="1">
        <f t="shared" ca="1" si="117"/>
        <v>474</v>
      </c>
      <c r="E1611" s="2">
        <f t="shared" ca="1" si="118"/>
        <v>42775</v>
      </c>
      <c r="F1611" s="6">
        <f t="shared" ca="1" si="119"/>
        <v>4.7581219388050933</v>
      </c>
    </row>
    <row r="1612" spans="1:6">
      <c r="A1612" s="1">
        <v>9126130</v>
      </c>
      <c r="B1612" s="1">
        <f t="shared" ca="1" si="116"/>
        <v>7.096846130368728E-2</v>
      </c>
      <c r="C1612" s="1">
        <f t="shared" ca="1" si="115"/>
        <v>3</v>
      </c>
      <c r="D1612" s="1">
        <f t="shared" ca="1" si="117"/>
        <v>263</v>
      </c>
      <c r="E1612" s="2">
        <f t="shared" ca="1" si="118"/>
        <v>42744</v>
      </c>
      <c r="F1612" s="6">
        <f t="shared" ca="1" si="119"/>
        <v>10.880939387753585</v>
      </c>
    </row>
    <row r="1613" spans="1:6">
      <c r="A1613" s="1">
        <v>9126133</v>
      </c>
      <c r="B1613" s="1">
        <f t="shared" ca="1" si="116"/>
        <v>0.25705350831966789</v>
      </c>
      <c r="C1613" s="1">
        <f t="shared" ca="1" si="115"/>
        <v>9</v>
      </c>
      <c r="D1613" s="1">
        <f t="shared" ca="1" si="117"/>
        <v>278</v>
      </c>
      <c r="E1613" s="2">
        <f t="shared" ca="1" si="118"/>
        <v>43191</v>
      </c>
      <c r="F1613" s="6">
        <f t="shared" ca="1" si="119"/>
        <v>72.509802945201272</v>
      </c>
    </row>
    <row r="1614" spans="1:6">
      <c r="A1614" s="1">
        <v>9126136</v>
      </c>
      <c r="B1614" s="1">
        <f t="shared" ca="1" si="116"/>
        <v>8.2909367958905245E-2</v>
      </c>
      <c r="C1614" s="1">
        <f t="shared" ca="1" si="115"/>
        <v>1</v>
      </c>
      <c r="D1614" s="1">
        <f t="shared" ca="1" si="117"/>
        <v>474</v>
      </c>
      <c r="E1614" s="2">
        <f t="shared" ca="1" si="118"/>
        <v>42976</v>
      </c>
      <c r="F1614" s="6">
        <f t="shared" ca="1" si="119"/>
        <v>3.1982518591886966</v>
      </c>
    </row>
    <row r="1615" spans="1:6">
      <c r="A1615" s="1">
        <v>9126139</v>
      </c>
      <c r="B1615" s="1">
        <f t="shared" ca="1" si="116"/>
        <v>0.2344423672274818</v>
      </c>
      <c r="C1615" s="1">
        <f t="shared" ca="1" si="115"/>
        <v>8</v>
      </c>
      <c r="D1615" s="1">
        <f t="shared" ca="1" si="117"/>
        <v>456</v>
      </c>
      <c r="E1615" s="2">
        <f t="shared" ca="1" si="118"/>
        <v>42742</v>
      </c>
      <c r="F1615" s="6">
        <f t="shared" ca="1" si="119"/>
        <v>8.8284679355094013</v>
      </c>
    </row>
    <row r="1616" spans="1:6">
      <c r="A1616" s="1">
        <v>9126142</v>
      </c>
      <c r="B1616" s="1">
        <f t="shared" ca="1" si="116"/>
        <v>0.136470619422841</v>
      </c>
      <c r="C1616" s="1">
        <f t="shared" ca="1" si="115"/>
        <v>2</v>
      </c>
      <c r="D1616" s="1">
        <f t="shared" ca="1" si="117"/>
        <v>30</v>
      </c>
      <c r="E1616" s="2">
        <f t="shared" ca="1" si="118"/>
        <v>43222</v>
      </c>
      <c r="F1616" s="6">
        <f t="shared" ca="1" si="119"/>
        <v>4.695553253229682</v>
      </c>
    </row>
    <row r="1617" spans="1:6">
      <c r="A1617" s="1">
        <v>9126145</v>
      </c>
      <c r="B1617" s="1">
        <f t="shared" ca="1" si="116"/>
        <v>0.77588142699020057</v>
      </c>
      <c r="C1617" s="1">
        <f t="shared" ca="1" si="115"/>
        <v>10</v>
      </c>
      <c r="D1617" s="1">
        <f t="shared" ca="1" si="117"/>
        <v>236</v>
      </c>
      <c r="E1617" s="2">
        <f t="shared" ca="1" si="118"/>
        <v>43364</v>
      </c>
      <c r="F1617" s="6">
        <f t="shared" ca="1" si="119"/>
        <v>42.528535449977042</v>
      </c>
    </row>
    <row r="1618" spans="1:6">
      <c r="A1618" s="1">
        <v>9126148</v>
      </c>
      <c r="B1618" s="1">
        <f t="shared" ca="1" si="116"/>
        <v>0.63156195564645889</v>
      </c>
      <c r="C1618" s="1">
        <f t="shared" ca="1" si="115"/>
        <v>27</v>
      </c>
      <c r="D1618" s="1">
        <f t="shared" ca="1" si="117"/>
        <v>398</v>
      </c>
      <c r="E1618" s="2">
        <f t="shared" ca="1" si="118"/>
        <v>43427</v>
      </c>
      <c r="F1618" s="6">
        <f t="shared" ca="1" si="119"/>
        <v>41.181922850088519</v>
      </c>
    </row>
    <row r="1619" spans="1:6">
      <c r="A1619" s="1">
        <v>9126151</v>
      </c>
      <c r="B1619" s="1">
        <f t="shared" ca="1" si="116"/>
        <v>0.17477424100444805</v>
      </c>
      <c r="C1619" s="1">
        <f t="shared" ca="1" si="115"/>
        <v>140</v>
      </c>
      <c r="D1619" s="1">
        <f t="shared" ca="1" si="117"/>
        <v>195</v>
      </c>
      <c r="E1619" s="2">
        <f t="shared" ca="1" si="118"/>
        <v>42854</v>
      </c>
      <c r="F1619" s="6">
        <f t="shared" ca="1" si="119"/>
        <v>27.700060914114001</v>
      </c>
    </row>
    <row r="1620" spans="1:6">
      <c r="A1620" s="1">
        <v>9126154</v>
      </c>
      <c r="B1620" s="1">
        <f t="shared" ca="1" si="116"/>
        <v>0.5658932492886628</v>
      </c>
      <c r="C1620" s="1">
        <f t="shared" ca="1" si="115"/>
        <v>6</v>
      </c>
      <c r="D1620" s="1">
        <f t="shared" ca="1" si="117"/>
        <v>208</v>
      </c>
      <c r="E1620" s="2">
        <f t="shared" ca="1" si="118"/>
        <v>42945</v>
      </c>
      <c r="F1620" s="6">
        <f t="shared" ca="1" si="119"/>
        <v>59.074832041917574</v>
      </c>
    </row>
    <row r="1621" spans="1:6">
      <c r="A1621" s="1">
        <v>9126157</v>
      </c>
      <c r="B1621" s="1">
        <f t="shared" ca="1" si="116"/>
        <v>0.40663995011110199</v>
      </c>
      <c r="C1621" s="1">
        <f t="shared" ca="1" si="115"/>
        <v>5</v>
      </c>
      <c r="D1621" s="1">
        <f t="shared" ca="1" si="117"/>
        <v>363</v>
      </c>
      <c r="E1621" s="2">
        <f t="shared" ca="1" si="118"/>
        <v>43415</v>
      </c>
      <c r="F1621" s="6">
        <f t="shared" ca="1" si="119"/>
        <v>335.79866621161796</v>
      </c>
    </row>
    <row r="1622" spans="1:6">
      <c r="A1622" s="1">
        <v>9126160</v>
      </c>
      <c r="B1622" s="1">
        <f t="shared" ca="1" si="116"/>
        <v>0.36801140836445534</v>
      </c>
      <c r="C1622" s="1">
        <f t="shared" ca="1" si="115"/>
        <v>1</v>
      </c>
      <c r="D1622" s="1">
        <f t="shared" ca="1" si="117"/>
        <v>474</v>
      </c>
      <c r="E1622" s="2">
        <f t="shared" ca="1" si="118"/>
        <v>43356</v>
      </c>
      <c r="F1622" s="6">
        <f t="shared" ca="1" si="119"/>
        <v>93.96848224671173</v>
      </c>
    </row>
    <row r="1623" spans="1:6">
      <c r="A1623" s="1">
        <v>9126163</v>
      </c>
      <c r="B1623" s="1">
        <f t="shared" ca="1" si="116"/>
        <v>0.69041086209329128</v>
      </c>
      <c r="C1623" s="1">
        <f t="shared" ca="1" si="115"/>
        <v>93</v>
      </c>
      <c r="D1623" s="1">
        <f t="shared" ca="1" si="117"/>
        <v>518</v>
      </c>
      <c r="E1623" s="2">
        <f t="shared" ca="1" si="118"/>
        <v>43331</v>
      </c>
      <c r="F1623" s="6">
        <f t="shared" ca="1" si="119"/>
        <v>21.161802868888618</v>
      </c>
    </row>
    <row r="1624" spans="1:6">
      <c r="A1624" s="1">
        <v>9126166</v>
      </c>
      <c r="B1624" s="1">
        <f t="shared" ca="1" si="116"/>
        <v>0.40055108001671946</v>
      </c>
      <c r="C1624" s="1">
        <f t="shared" ca="1" si="115"/>
        <v>3</v>
      </c>
      <c r="D1624" s="1">
        <f t="shared" ca="1" si="117"/>
        <v>263</v>
      </c>
      <c r="E1624" s="2">
        <f t="shared" ca="1" si="118"/>
        <v>43361</v>
      </c>
      <c r="F1624" s="6">
        <f t="shared" ca="1" si="119"/>
        <v>15.836784991983958</v>
      </c>
    </row>
    <row r="1625" spans="1:6">
      <c r="A1625" s="1">
        <v>9126169</v>
      </c>
      <c r="B1625" s="1">
        <f t="shared" ca="1" si="116"/>
        <v>0.49028727164389041</v>
      </c>
      <c r="C1625" s="1">
        <f t="shared" ca="1" si="115"/>
        <v>6</v>
      </c>
      <c r="D1625" s="1">
        <f t="shared" ca="1" si="117"/>
        <v>208</v>
      </c>
      <c r="E1625" s="2">
        <f t="shared" ca="1" si="118"/>
        <v>43383</v>
      </c>
      <c r="F1625" s="6">
        <f t="shared" ca="1" si="119"/>
        <v>4.2360837494595813</v>
      </c>
    </row>
    <row r="1626" spans="1:6">
      <c r="A1626" s="1">
        <v>9126172</v>
      </c>
      <c r="B1626" s="1">
        <f t="shared" ca="1" si="116"/>
        <v>0.56667051668891977</v>
      </c>
      <c r="C1626" s="1">
        <f t="shared" ca="1" si="115"/>
        <v>28</v>
      </c>
      <c r="D1626" s="1">
        <f t="shared" ca="1" si="117"/>
        <v>401</v>
      </c>
      <c r="E1626" s="2">
        <f t="shared" ca="1" si="118"/>
        <v>43472</v>
      </c>
      <c r="F1626" s="6">
        <f t="shared" ca="1" si="119"/>
        <v>15.983165572768055</v>
      </c>
    </row>
    <row r="1627" spans="1:6">
      <c r="A1627" s="1">
        <v>9126175</v>
      </c>
      <c r="B1627" s="1">
        <f t="shared" ca="1" si="116"/>
        <v>0.67825979337540121</v>
      </c>
      <c r="C1627" s="1">
        <f t="shared" ref="C1627:C1690" ca="1" si="120">ROUND(_xlfn.GAMMA.INV(RAND(),$J$11,$J$12)*100,0)+1</f>
        <v>17</v>
      </c>
      <c r="D1627" s="1">
        <f t="shared" ca="1" si="117"/>
        <v>165</v>
      </c>
      <c r="E1627" s="2">
        <f t="shared" ca="1" si="118"/>
        <v>43238</v>
      </c>
      <c r="F1627" s="6">
        <f t="shared" ca="1" si="119"/>
        <v>174.71219617457442</v>
      </c>
    </row>
    <row r="1628" spans="1:6">
      <c r="A1628" s="1">
        <v>9126178</v>
      </c>
      <c r="B1628" s="1">
        <f t="shared" ca="1" si="116"/>
        <v>0.98711492918339039</v>
      </c>
      <c r="C1628" s="1">
        <f t="shared" ca="1" si="120"/>
        <v>1</v>
      </c>
      <c r="D1628" s="1">
        <f t="shared" ca="1" si="117"/>
        <v>474</v>
      </c>
      <c r="E1628" s="2">
        <f t="shared" ca="1" si="118"/>
        <v>42758</v>
      </c>
      <c r="F1628" s="6">
        <f t="shared" ca="1" si="119"/>
        <v>7.7036469023929479</v>
      </c>
    </row>
    <row r="1629" spans="1:6">
      <c r="A1629" s="1">
        <v>9126181</v>
      </c>
      <c r="B1629" s="1">
        <f t="shared" ca="1" si="116"/>
        <v>0.34712564214642694</v>
      </c>
      <c r="C1629" s="1">
        <f t="shared" ca="1" si="120"/>
        <v>41</v>
      </c>
      <c r="D1629" s="1">
        <f t="shared" ca="1" si="117"/>
        <v>37</v>
      </c>
      <c r="E1629" s="2">
        <f t="shared" ca="1" si="118"/>
        <v>42805</v>
      </c>
      <c r="F1629" s="6">
        <f t="shared" ca="1" si="119"/>
        <v>28.498382003387292</v>
      </c>
    </row>
    <row r="1630" spans="1:6">
      <c r="A1630" s="1">
        <v>9126184</v>
      </c>
      <c r="B1630" s="1">
        <f t="shared" ca="1" si="116"/>
        <v>0.66746324038549953</v>
      </c>
      <c r="C1630" s="1">
        <f t="shared" ca="1" si="120"/>
        <v>50</v>
      </c>
      <c r="D1630" s="1">
        <f t="shared" ca="1" si="117"/>
        <v>415</v>
      </c>
      <c r="E1630" s="2">
        <f t="shared" ca="1" si="118"/>
        <v>43044</v>
      </c>
      <c r="F1630" s="6">
        <f t="shared" ca="1" si="119"/>
        <v>20.650557321425246</v>
      </c>
    </row>
    <row r="1631" spans="1:6">
      <c r="A1631" s="1">
        <v>9126187</v>
      </c>
      <c r="B1631" s="1">
        <f t="shared" ca="1" si="116"/>
        <v>0.84642418813821807</v>
      </c>
      <c r="C1631" s="1">
        <f t="shared" ca="1" si="120"/>
        <v>23</v>
      </c>
      <c r="D1631" s="1">
        <f t="shared" ca="1" si="117"/>
        <v>516</v>
      </c>
      <c r="E1631" s="2">
        <f t="shared" ca="1" si="118"/>
        <v>43393</v>
      </c>
      <c r="F1631" s="6">
        <f t="shared" ca="1" si="119"/>
        <v>142.50174591861409</v>
      </c>
    </row>
    <row r="1632" spans="1:6">
      <c r="A1632" s="1">
        <v>9126190</v>
      </c>
      <c r="B1632" s="1">
        <f t="shared" ca="1" si="116"/>
        <v>0.84380423930746717</v>
      </c>
      <c r="C1632" s="1">
        <f t="shared" ca="1" si="120"/>
        <v>7</v>
      </c>
      <c r="D1632" s="1">
        <f t="shared" ca="1" si="117"/>
        <v>138</v>
      </c>
      <c r="E1632" s="2">
        <f t="shared" ca="1" si="118"/>
        <v>43452</v>
      </c>
      <c r="F1632" s="6">
        <f t="shared" ca="1" si="119"/>
        <v>273.52646162874061</v>
      </c>
    </row>
    <row r="1633" spans="1:6">
      <c r="A1633" s="1">
        <v>9126193</v>
      </c>
      <c r="B1633" s="1">
        <f t="shared" ca="1" si="116"/>
        <v>0.46846190013868105</v>
      </c>
      <c r="C1633" s="1">
        <f t="shared" ca="1" si="120"/>
        <v>61</v>
      </c>
      <c r="D1633" s="1">
        <f t="shared" ca="1" si="117"/>
        <v>92</v>
      </c>
      <c r="E1633" s="2">
        <f t="shared" ca="1" si="118"/>
        <v>43381</v>
      </c>
      <c r="F1633" s="6">
        <f t="shared" ca="1" si="119"/>
        <v>37.78784425170614</v>
      </c>
    </row>
    <row r="1634" spans="1:6">
      <c r="A1634" s="1">
        <v>9126196</v>
      </c>
      <c r="B1634" s="1">
        <f t="shared" ca="1" si="116"/>
        <v>0.8975491817065232</v>
      </c>
      <c r="C1634" s="1">
        <f t="shared" ca="1" si="120"/>
        <v>94</v>
      </c>
      <c r="D1634" s="1">
        <f t="shared" ca="1" si="117"/>
        <v>87</v>
      </c>
      <c r="E1634" s="2">
        <f t="shared" ca="1" si="118"/>
        <v>43178</v>
      </c>
      <c r="F1634" s="6">
        <f t="shared" ca="1" si="119"/>
        <v>6.1306406690054418</v>
      </c>
    </row>
    <row r="1635" spans="1:6">
      <c r="A1635" s="1">
        <v>9126199</v>
      </c>
      <c r="B1635" s="1">
        <f t="shared" ca="1" si="116"/>
        <v>0.4295694109728363</v>
      </c>
      <c r="C1635" s="1">
        <f t="shared" ca="1" si="120"/>
        <v>9</v>
      </c>
      <c r="D1635" s="1">
        <f t="shared" ca="1" si="117"/>
        <v>278</v>
      </c>
      <c r="E1635" s="2">
        <f t="shared" ca="1" si="118"/>
        <v>43472</v>
      </c>
      <c r="F1635" s="6">
        <f t="shared" ca="1" si="119"/>
        <v>6.4780537588341751</v>
      </c>
    </row>
    <row r="1636" spans="1:6">
      <c r="A1636" s="1">
        <v>9126202</v>
      </c>
      <c r="B1636" s="1">
        <f t="shared" ca="1" si="116"/>
        <v>0.42965928618189075</v>
      </c>
      <c r="C1636" s="1">
        <f t="shared" ca="1" si="120"/>
        <v>290</v>
      </c>
      <c r="D1636" s="1">
        <f t="shared" ca="1" si="117"/>
        <v>377</v>
      </c>
      <c r="E1636" s="2">
        <f t="shared" ca="1" si="118"/>
        <v>42926</v>
      </c>
      <c r="F1636" s="6">
        <f t="shared" ca="1" si="119"/>
        <v>205.72306343949057</v>
      </c>
    </row>
    <row r="1637" spans="1:6">
      <c r="A1637" s="1">
        <v>9126205</v>
      </c>
      <c r="B1637" s="1">
        <f t="shared" ca="1" si="116"/>
        <v>0.88676064248533404</v>
      </c>
      <c r="C1637" s="1">
        <f t="shared" ca="1" si="120"/>
        <v>65</v>
      </c>
      <c r="D1637" s="1">
        <f t="shared" ca="1" si="117"/>
        <v>463</v>
      </c>
      <c r="E1637" s="2">
        <f t="shared" ca="1" si="118"/>
        <v>42767</v>
      </c>
      <c r="F1637" s="6">
        <f t="shared" ca="1" si="119"/>
        <v>25.894173757931085</v>
      </c>
    </row>
    <row r="1638" spans="1:6">
      <c r="A1638" s="1">
        <v>9126208</v>
      </c>
      <c r="B1638" s="1">
        <f t="shared" ca="1" si="116"/>
        <v>0.36782144627520852</v>
      </c>
      <c r="C1638" s="1">
        <f t="shared" ca="1" si="120"/>
        <v>1</v>
      </c>
      <c r="D1638" s="1">
        <f t="shared" ca="1" si="117"/>
        <v>474</v>
      </c>
      <c r="E1638" s="2">
        <f t="shared" ca="1" si="118"/>
        <v>42816</v>
      </c>
      <c r="F1638" s="6">
        <f t="shared" ca="1" si="119"/>
        <v>37.076107012259605</v>
      </c>
    </row>
    <row r="1639" spans="1:6">
      <c r="A1639" s="1">
        <v>9126211</v>
      </c>
      <c r="B1639" s="1">
        <f t="shared" ca="1" si="116"/>
        <v>1.5486178886148227E-4</v>
      </c>
      <c r="C1639" s="1">
        <f t="shared" ca="1" si="120"/>
        <v>9</v>
      </c>
      <c r="D1639" s="1">
        <f t="shared" ca="1" si="117"/>
        <v>278</v>
      </c>
      <c r="E1639" s="2">
        <f t="shared" ca="1" si="118"/>
        <v>43315</v>
      </c>
      <c r="F1639" s="6">
        <f t="shared" ca="1" si="119"/>
        <v>76.636793757052061</v>
      </c>
    </row>
    <row r="1640" spans="1:6">
      <c r="A1640" s="1">
        <v>9126214</v>
      </c>
      <c r="B1640" s="1">
        <f t="shared" ca="1" si="116"/>
        <v>0.76326014070816783</v>
      </c>
      <c r="C1640" s="1">
        <f t="shared" ca="1" si="120"/>
        <v>1</v>
      </c>
      <c r="D1640" s="1">
        <f t="shared" ca="1" si="117"/>
        <v>474</v>
      </c>
      <c r="E1640" s="2">
        <f t="shared" ca="1" si="118"/>
        <v>42825</v>
      </c>
      <c r="F1640" s="6">
        <f t="shared" ca="1" si="119"/>
        <v>3.6658830085027914</v>
      </c>
    </row>
    <row r="1641" spans="1:6">
      <c r="A1641" s="1">
        <v>9126217</v>
      </c>
      <c r="B1641" s="1">
        <f t="shared" ca="1" si="116"/>
        <v>0.81727522323737356</v>
      </c>
      <c r="C1641" s="1">
        <f t="shared" ca="1" si="120"/>
        <v>10</v>
      </c>
      <c r="D1641" s="1">
        <f t="shared" ca="1" si="117"/>
        <v>236</v>
      </c>
      <c r="E1641" s="2">
        <f t="shared" ca="1" si="118"/>
        <v>42991</v>
      </c>
      <c r="F1641" s="6">
        <f t="shared" ca="1" si="119"/>
        <v>48.211943174704857</v>
      </c>
    </row>
    <row r="1642" spans="1:6">
      <c r="A1642" s="1">
        <v>9126220</v>
      </c>
      <c r="B1642" s="1">
        <f t="shared" ca="1" si="116"/>
        <v>0.46203599669812967</v>
      </c>
      <c r="C1642" s="1">
        <f t="shared" ca="1" si="120"/>
        <v>88</v>
      </c>
      <c r="D1642" s="1">
        <f t="shared" ca="1" si="117"/>
        <v>253</v>
      </c>
      <c r="E1642" s="2">
        <f t="shared" ca="1" si="118"/>
        <v>43268</v>
      </c>
      <c r="F1642" s="6">
        <f t="shared" ca="1" si="119"/>
        <v>8.5338812519641749</v>
      </c>
    </row>
    <row r="1643" spans="1:6">
      <c r="A1643" s="1">
        <v>9126223</v>
      </c>
      <c r="B1643" s="1">
        <f t="shared" ca="1" si="116"/>
        <v>0.62516807684174514</v>
      </c>
      <c r="C1643" s="1">
        <f t="shared" ca="1" si="120"/>
        <v>2</v>
      </c>
      <c r="D1643" s="1">
        <f t="shared" ca="1" si="117"/>
        <v>30</v>
      </c>
      <c r="E1643" s="2">
        <f t="shared" ca="1" si="118"/>
        <v>43270</v>
      </c>
      <c r="F1643" s="6">
        <f t="shared" ca="1" si="119"/>
        <v>79.840602109659756</v>
      </c>
    </row>
    <row r="1644" spans="1:6">
      <c r="A1644" s="1">
        <v>9126226</v>
      </c>
      <c r="B1644" s="1">
        <f t="shared" ca="1" si="116"/>
        <v>0.78771617691025286</v>
      </c>
      <c r="C1644" s="1">
        <f t="shared" ca="1" si="120"/>
        <v>1</v>
      </c>
      <c r="D1644" s="1">
        <f t="shared" ca="1" si="117"/>
        <v>474</v>
      </c>
      <c r="E1644" s="2">
        <f t="shared" ca="1" si="118"/>
        <v>43324</v>
      </c>
      <c r="F1644" s="6">
        <f t="shared" ca="1" si="119"/>
        <v>6.386984098325863</v>
      </c>
    </row>
    <row r="1645" spans="1:6">
      <c r="A1645" s="1">
        <v>9126229</v>
      </c>
      <c r="B1645" s="1">
        <f t="shared" ca="1" si="116"/>
        <v>0.54768102846179356</v>
      </c>
      <c r="C1645" s="1">
        <f t="shared" ca="1" si="120"/>
        <v>9</v>
      </c>
      <c r="D1645" s="1">
        <f t="shared" ca="1" si="117"/>
        <v>278</v>
      </c>
      <c r="E1645" s="2">
        <f t="shared" ca="1" si="118"/>
        <v>42807</v>
      </c>
      <c r="F1645" s="6">
        <f t="shared" ca="1" si="119"/>
        <v>11.229975230457795</v>
      </c>
    </row>
    <row r="1646" spans="1:6">
      <c r="A1646" s="1">
        <v>9126232</v>
      </c>
      <c r="B1646" s="1">
        <f t="shared" ca="1" si="116"/>
        <v>0.91807112328959273</v>
      </c>
      <c r="C1646" s="1">
        <f t="shared" ca="1" si="120"/>
        <v>103</v>
      </c>
      <c r="D1646" s="1">
        <f t="shared" ca="1" si="117"/>
        <v>55</v>
      </c>
      <c r="E1646" s="2">
        <f t="shared" ca="1" si="118"/>
        <v>43014</v>
      </c>
      <c r="F1646" s="6">
        <f t="shared" ca="1" si="119"/>
        <v>10.461757719861431</v>
      </c>
    </row>
    <row r="1647" spans="1:6">
      <c r="A1647" s="1">
        <v>9126235</v>
      </c>
      <c r="B1647" s="1">
        <f t="shared" ca="1" si="116"/>
        <v>0.54446240992699879</v>
      </c>
      <c r="C1647" s="1">
        <f t="shared" ca="1" si="120"/>
        <v>84</v>
      </c>
      <c r="D1647" s="1">
        <f t="shared" ca="1" si="117"/>
        <v>536</v>
      </c>
      <c r="E1647" s="2">
        <f t="shared" ca="1" si="118"/>
        <v>43478</v>
      </c>
      <c r="F1647" s="6">
        <f t="shared" ca="1" si="119"/>
        <v>113.73222879415059</v>
      </c>
    </row>
    <row r="1648" spans="1:6">
      <c r="A1648" s="1">
        <v>9126238</v>
      </c>
      <c r="B1648" s="1">
        <f t="shared" ca="1" si="116"/>
        <v>0.8836526736498771</v>
      </c>
      <c r="C1648" s="1">
        <f t="shared" ca="1" si="120"/>
        <v>1</v>
      </c>
      <c r="D1648" s="1">
        <f t="shared" ca="1" si="117"/>
        <v>474</v>
      </c>
      <c r="E1648" s="2">
        <f t="shared" ca="1" si="118"/>
        <v>42860</v>
      </c>
      <c r="F1648" s="6">
        <f t="shared" ca="1" si="119"/>
        <v>14.664528873620247</v>
      </c>
    </row>
    <row r="1649" spans="1:6">
      <c r="A1649" s="1">
        <v>9126241</v>
      </c>
      <c r="B1649" s="1">
        <f t="shared" ca="1" si="116"/>
        <v>0.97914860630861777</v>
      </c>
      <c r="C1649" s="1">
        <f t="shared" ca="1" si="120"/>
        <v>92</v>
      </c>
      <c r="D1649" s="1">
        <f t="shared" ca="1" si="117"/>
        <v>458</v>
      </c>
      <c r="E1649" s="2">
        <f t="shared" ca="1" si="118"/>
        <v>43076</v>
      </c>
      <c r="F1649" s="6">
        <f t="shared" ca="1" si="119"/>
        <v>143.27186135430526</v>
      </c>
    </row>
    <row r="1650" spans="1:6">
      <c r="A1650" s="1">
        <v>9126244</v>
      </c>
      <c r="B1650" s="1">
        <f t="shared" ca="1" si="116"/>
        <v>0.91950823628602918</v>
      </c>
      <c r="C1650" s="1">
        <f t="shared" ca="1" si="120"/>
        <v>3</v>
      </c>
      <c r="D1650" s="1">
        <f t="shared" ca="1" si="117"/>
        <v>263</v>
      </c>
      <c r="E1650" s="2">
        <f t="shared" ca="1" si="118"/>
        <v>42816</v>
      </c>
      <c r="F1650" s="6">
        <f t="shared" ca="1" si="119"/>
        <v>4.115398949652235</v>
      </c>
    </row>
    <row r="1651" spans="1:6">
      <c r="A1651" s="1">
        <v>9126247</v>
      </c>
      <c r="B1651" s="1">
        <f t="shared" ca="1" si="116"/>
        <v>0.70828086859036166</v>
      </c>
      <c r="C1651" s="1">
        <f t="shared" ca="1" si="120"/>
        <v>24</v>
      </c>
      <c r="D1651" s="1">
        <f t="shared" ca="1" si="117"/>
        <v>334</v>
      </c>
      <c r="E1651" s="2">
        <f t="shared" ca="1" si="118"/>
        <v>43146</v>
      </c>
      <c r="F1651" s="6">
        <f t="shared" ca="1" si="119"/>
        <v>14.592927089936939</v>
      </c>
    </row>
    <row r="1652" spans="1:6">
      <c r="A1652" s="1">
        <v>9126250</v>
      </c>
      <c r="B1652" s="1">
        <f t="shared" ca="1" si="116"/>
        <v>0.15998889121133963</v>
      </c>
      <c r="C1652" s="1">
        <f t="shared" ca="1" si="120"/>
        <v>12</v>
      </c>
      <c r="D1652" s="1">
        <f t="shared" ca="1" si="117"/>
        <v>292</v>
      </c>
      <c r="E1652" s="2">
        <f t="shared" ca="1" si="118"/>
        <v>42914</v>
      </c>
      <c r="F1652" s="6">
        <f t="shared" ca="1" si="119"/>
        <v>226.4071509444255</v>
      </c>
    </row>
    <row r="1653" spans="1:6">
      <c r="A1653" s="1">
        <v>9126253</v>
      </c>
      <c r="B1653" s="1">
        <f t="shared" ca="1" si="116"/>
        <v>0.88126667211607213</v>
      </c>
      <c r="C1653" s="1">
        <f t="shared" ca="1" si="120"/>
        <v>97</v>
      </c>
      <c r="D1653" s="1">
        <f t="shared" ca="1" si="117"/>
        <v>460</v>
      </c>
      <c r="E1653" s="2">
        <f t="shared" ca="1" si="118"/>
        <v>43005</v>
      </c>
      <c r="F1653" s="6">
        <f t="shared" ca="1" si="119"/>
        <v>82.314969642947986</v>
      </c>
    </row>
    <row r="1654" spans="1:6">
      <c r="A1654" s="1">
        <v>9126256</v>
      </c>
      <c r="B1654" s="1">
        <f t="shared" ca="1" si="116"/>
        <v>0.88534734986617425</v>
      </c>
      <c r="C1654" s="1">
        <f t="shared" ca="1" si="120"/>
        <v>12</v>
      </c>
      <c r="D1654" s="1">
        <f t="shared" ca="1" si="117"/>
        <v>292</v>
      </c>
      <c r="E1654" s="2">
        <f t="shared" ca="1" si="118"/>
        <v>42809</v>
      </c>
      <c r="F1654" s="6">
        <f t="shared" ca="1" si="119"/>
        <v>6.1739648852243132</v>
      </c>
    </row>
    <row r="1655" spans="1:6">
      <c r="A1655" s="1">
        <v>9126259</v>
      </c>
      <c r="B1655" s="1">
        <f t="shared" ca="1" si="116"/>
        <v>0.52400951212618863</v>
      </c>
      <c r="C1655" s="1">
        <f t="shared" ca="1" si="120"/>
        <v>17</v>
      </c>
      <c r="D1655" s="1">
        <f t="shared" ca="1" si="117"/>
        <v>165</v>
      </c>
      <c r="E1655" s="2">
        <f t="shared" ca="1" si="118"/>
        <v>42851</v>
      </c>
      <c r="F1655" s="6">
        <f t="shared" ca="1" si="119"/>
        <v>319.50851243458953</v>
      </c>
    </row>
    <row r="1656" spans="1:6">
      <c r="A1656" s="1">
        <v>9126262</v>
      </c>
      <c r="B1656" s="1">
        <f t="shared" ca="1" si="116"/>
        <v>0.27138895280505759</v>
      </c>
      <c r="C1656" s="1">
        <f t="shared" ca="1" si="120"/>
        <v>10</v>
      </c>
      <c r="D1656" s="1">
        <f t="shared" ca="1" si="117"/>
        <v>236</v>
      </c>
      <c r="E1656" s="2">
        <f t="shared" ca="1" si="118"/>
        <v>43374</v>
      </c>
      <c r="F1656" s="6">
        <f t="shared" ca="1" si="119"/>
        <v>13.750371502285594</v>
      </c>
    </row>
    <row r="1657" spans="1:6">
      <c r="A1657" s="1">
        <v>9126265</v>
      </c>
      <c r="B1657" s="1">
        <f t="shared" ca="1" si="116"/>
        <v>0.15761292609687372</v>
      </c>
      <c r="C1657" s="1">
        <f t="shared" ca="1" si="120"/>
        <v>191</v>
      </c>
      <c r="D1657" s="1">
        <f t="shared" ca="1" si="117"/>
        <v>31</v>
      </c>
      <c r="E1657" s="2">
        <f t="shared" ca="1" si="118"/>
        <v>42964</v>
      </c>
      <c r="F1657" s="6">
        <f t="shared" ca="1" si="119"/>
        <v>99.112098025490894</v>
      </c>
    </row>
    <row r="1658" spans="1:6">
      <c r="A1658" s="1">
        <v>9126268</v>
      </c>
      <c r="B1658" s="1">
        <f t="shared" ca="1" si="116"/>
        <v>0.71071345410710329</v>
      </c>
      <c r="C1658" s="1">
        <f t="shared" ca="1" si="120"/>
        <v>72</v>
      </c>
      <c r="D1658" s="1">
        <f t="shared" ca="1" si="117"/>
        <v>267</v>
      </c>
      <c r="E1658" s="2">
        <f t="shared" ca="1" si="118"/>
        <v>42875</v>
      </c>
      <c r="F1658" s="6">
        <f t="shared" ca="1" si="119"/>
        <v>3.1626220953826447</v>
      </c>
    </row>
    <row r="1659" spans="1:6">
      <c r="A1659" s="1">
        <v>9126271</v>
      </c>
      <c r="B1659" s="1">
        <f t="shared" ca="1" si="116"/>
        <v>0.64911925880927812</v>
      </c>
      <c r="C1659" s="1">
        <f t="shared" ca="1" si="120"/>
        <v>171</v>
      </c>
      <c r="D1659" s="1">
        <f t="shared" ca="1" si="117"/>
        <v>348</v>
      </c>
      <c r="E1659" s="2">
        <f t="shared" ca="1" si="118"/>
        <v>42810</v>
      </c>
      <c r="F1659" s="6">
        <f t="shared" ca="1" si="119"/>
        <v>69.647832992172923</v>
      </c>
    </row>
    <row r="1660" spans="1:6">
      <c r="A1660" s="1">
        <v>9126274</v>
      </c>
      <c r="B1660" s="1">
        <f t="shared" ca="1" si="116"/>
        <v>0.58692981904442798</v>
      </c>
      <c r="C1660" s="1">
        <f t="shared" ca="1" si="120"/>
        <v>44</v>
      </c>
      <c r="D1660" s="1">
        <f t="shared" ca="1" si="117"/>
        <v>427</v>
      </c>
      <c r="E1660" s="2">
        <f t="shared" ca="1" si="118"/>
        <v>42773</v>
      </c>
      <c r="F1660" s="6">
        <f t="shared" ca="1" si="119"/>
        <v>132.19241606215232</v>
      </c>
    </row>
    <row r="1661" spans="1:6">
      <c r="A1661" s="1">
        <v>9126277</v>
      </c>
      <c r="B1661" s="1">
        <f t="shared" ca="1" si="116"/>
        <v>0.71353106812344658</v>
      </c>
      <c r="C1661" s="1">
        <f t="shared" ca="1" si="120"/>
        <v>164</v>
      </c>
      <c r="D1661" s="1">
        <f t="shared" ca="1" si="117"/>
        <v>315</v>
      </c>
      <c r="E1661" s="2">
        <f t="shared" ca="1" si="118"/>
        <v>42907</v>
      </c>
      <c r="F1661" s="6">
        <f t="shared" ca="1" si="119"/>
        <v>36.067022348921867</v>
      </c>
    </row>
    <row r="1662" spans="1:6">
      <c r="A1662" s="1">
        <v>9126280</v>
      </c>
      <c r="B1662" s="1">
        <f t="shared" ca="1" si="116"/>
        <v>0.76676721482010401</v>
      </c>
      <c r="C1662" s="1">
        <f t="shared" ca="1" si="120"/>
        <v>58</v>
      </c>
      <c r="D1662" s="1">
        <f t="shared" ca="1" si="117"/>
        <v>19</v>
      </c>
      <c r="E1662" s="2">
        <f t="shared" ca="1" si="118"/>
        <v>43117</v>
      </c>
      <c r="F1662" s="6">
        <f t="shared" ca="1" si="119"/>
        <v>57.841585808291669</v>
      </c>
    </row>
    <row r="1663" spans="1:6">
      <c r="A1663" s="1">
        <v>9126283</v>
      </c>
      <c r="B1663" s="1">
        <f t="shared" ca="1" si="116"/>
        <v>0.36920113334946592</v>
      </c>
      <c r="C1663" s="1">
        <f t="shared" ca="1" si="120"/>
        <v>13</v>
      </c>
      <c r="D1663" s="1">
        <f t="shared" ca="1" si="117"/>
        <v>80</v>
      </c>
      <c r="E1663" s="2">
        <f t="shared" ca="1" si="118"/>
        <v>43463</v>
      </c>
      <c r="F1663" s="6">
        <f t="shared" ca="1" si="119"/>
        <v>4.5022370091791641</v>
      </c>
    </row>
    <row r="1664" spans="1:6">
      <c r="A1664" s="1">
        <v>9126286</v>
      </c>
      <c r="B1664" s="1">
        <f t="shared" ca="1" si="116"/>
        <v>0.49330452272888825</v>
      </c>
      <c r="C1664" s="1">
        <f t="shared" ca="1" si="120"/>
        <v>14</v>
      </c>
      <c r="D1664" s="1">
        <f t="shared" ca="1" si="117"/>
        <v>576</v>
      </c>
      <c r="E1664" s="2">
        <f t="shared" ca="1" si="118"/>
        <v>43464</v>
      </c>
      <c r="F1664" s="6">
        <f t="shared" ca="1" si="119"/>
        <v>25.926274895010334</v>
      </c>
    </row>
    <row r="1665" spans="1:6">
      <c r="A1665" s="1">
        <v>9126289</v>
      </c>
      <c r="B1665" s="1">
        <f t="shared" ca="1" si="116"/>
        <v>0.77966159715232541</v>
      </c>
      <c r="C1665" s="1">
        <f t="shared" ca="1" si="120"/>
        <v>92</v>
      </c>
      <c r="D1665" s="1">
        <f t="shared" ca="1" si="117"/>
        <v>458</v>
      </c>
      <c r="E1665" s="2">
        <f t="shared" ca="1" si="118"/>
        <v>43170</v>
      </c>
      <c r="F1665" s="6">
        <f t="shared" ca="1" si="119"/>
        <v>3.2740279195067816</v>
      </c>
    </row>
    <row r="1666" spans="1:6">
      <c r="A1666" s="1">
        <v>9126292</v>
      </c>
      <c r="B1666" s="1">
        <f t="shared" ref="B1666:B1729" ca="1" si="121">RAND()</f>
        <v>0.89391612352057281</v>
      </c>
      <c r="C1666" s="1">
        <f t="shared" ca="1" si="120"/>
        <v>28</v>
      </c>
      <c r="D1666" s="1">
        <f t="shared" ca="1" si="117"/>
        <v>401</v>
      </c>
      <c r="E1666" s="2">
        <f t="shared" ca="1" si="118"/>
        <v>43142</v>
      </c>
      <c r="F1666" s="6">
        <f t="shared" ca="1" si="119"/>
        <v>3.0000759398979522</v>
      </c>
    </row>
    <row r="1667" spans="1:6">
      <c r="A1667" s="1">
        <v>9126295</v>
      </c>
      <c r="B1667" s="1">
        <f t="shared" ca="1" si="121"/>
        <v>0.45389167176213263</v>
      </c>
      <c r="C1667" s="1">
        <f t="shared" ca="1" si="120"/>
        <v>34</v>
      </c>
      <c r="D1667" s="1">
        <f t="shared" ref="D1667:D1730" ca="1" si="122">VLOOKUP(SMALL($B$2:$B$601,C1667),$B$2:$C$601,2,FALSE)</f>
        <v>503</v>
      </c>
      <c r="E1667" s="2">
        <f t="shared" ref="E1667:E1730" ca="1" si="123">RANDBETWEEN("1/1/17","2/1/19")</f>
        <v>43372</v>
      </c>
      <c r="F1667" s="6">
        <f t="shared" ref="F1667:F1730" ca="1" si="124">_xlfn.GAMMA.INV(RAND(),$J$6,$J$7)*100+3</f>
        <v>44.027772823251325</v>
      </c>
    </row>
    <row r="1668" spans="1:6">
      <c r="A1668" s="1">
        <v>9126298</v>
      </c>
      <c r="B1668" s="1">
        <f t="shared" ca="1" si="121"/>
        <v>0.81880609490799738</v>
      </c>
      <c r="C1668" s="1">
        <f t="shared" ca="1" si="120"/>
        <v>12</v>
      </c>
      <c r="D1668" s="1">
        <f t="shared" ca="1" si="122"/>
        <v>292</v>
      </c>
      <c r="E1668" s="2">
        <f t="shared" ca="1" si="123"/>
        <v>43355</v>
      </c>
      <c r="F1668" s="6">
        <f t="shared" ca="1" si="124"/>
        <v>3.7389580110640273</v>
      </c>
    </row>
    <row r="1669" spans="1:6">
      <c r="A1669" s="1">
        <v>9126301</v>
      </c>
      <c r="B1669" s="1">
        <f t="shared" ca="1" si="121"/>
        <v>0.92887397789192194</v>
      </c>
      <c r="C1669" s="1">
        <f t="shared" ca="1" si="120"/>
        <v>46</v>
      </c>
      <c r="D1669" s="1">
        <f t="shared" ca="1" si="122"/>
        <v>192</v>
      </c>
      <c r="E1669" s="2">
        <f t="shared" ca="1" si="123"/>
        <v>42809</v>
      </c>
      <c r="F1669" s="6">
        <f t="shared" ca="1" si="124"/>
        <v>130.71701568148671</v>
      </c>
    </row>
    <row r="1670" spans="1:6">
      <c r="A1670" s="1">
        <v>9126304</v>
      </c>
      <c r="B1670" s="1">
        <f t="shared" ca="1" si="121"/>
        <v>0.45786977564778708</v>
      </c>
      <c r="C1670" s="1">
        <f t="shared" ca="1" si="120"/>
        <v>216</v>
      </c>
      <c r="D1670" s="1">
        <f t="shared" ca="1" si="122"/>
        <v>120</v>
      </c>
      <c r="E1670" s="2">
        <f t="shared" ca="1" si="123"/>
        <v>43064</v>
      </c>
      <c r="F1670" s="6">
        <f t="shared" ca="1" si="124"/>
        <v>9.6277851972940525</v>
      </c>
    </row>
    <row r="1671" spans="1:6">
      <c r="A1671" s="1">
        <v>9126307</v>
      </c>
      <c r="B1671" s="1">
        <f t="shared" ca="1" si="121"/>
        <v>0.45426834719829234</v>
      </c>
      <c r="C1671" s="1">
        <f t="shared" ca="1" si="120"/>
        <v>2</v>
      </c>
      <c r="D1671" s="1">
        <f t="shared" ca="1" si="122"/>
        <v>30</v>
      </c>
      <c r="E1671" s="2">
        <f t="shared" ca="1" si="123"/>
        <v>43171</v>
      </c>
      <c r="F1671" s="6">
        <f t="shared" ca="1" si="124"/>
        <v>38.758667846512019</v>
      </c>
    </row>
    <row r="1672" spans="1:6">
      <c r="A1672" s="1">
        <v>9126310</v>
      </c>
      <c r="B1672" s="1">
        <f t="shared" ca="1" si="121"/>
        <v>0.61941418748740151</v>
      </c>
      <c r="C1672" s="1">
        <f t="shared" ca="1" si="120"/>
        <v>30</v>
      </c>
      <c r="D1672" s="1">
        <f t="shared" ca="1" si="122"/>
        <v>53</v>
      </c>
      <c r="E1672" s="2">
        <f t="shared" ca="1" si="123"/>
        <v>43336</v>
      </c>
      <c r="F1672" s="6">
        <f t="shared" ca="1" si="124"/>
        <v>41.001233142026329</v>
      </c>
    </row>
    <row r="1673" spans="1:6">
      <c r="A1673" s="1">
        <v>9126313</v>
      </c>
      <c r="B1673" s="1">
        <f t="shared" ca="1" si="121"/>
        <v>0.32767681888815303</v>
      </c>
      <c r="C1673" s="1">
        <f t="shared" ca="1" si="120"/>
        <v>14</v>
      </c>
      <c r="D1673" s="1">
        <f t="shared" ca="1" si="122"/>
        <v>576</v>
      </c>
      <c r="E1673" s="2">
        <f t="shared" ca="1" si="123"/>
        <v>43432</v>
      </c>
      <c r="F1673" s="6">
        <f t="shared" ca="1" si="124"/>
        <v>41.064390670011974</v>
      </c>
    </row>
    <row r="1674" spans="1:6">
      <c r="A1674" s="1">
        <v>9126316</v>
      </c>
      <c r="B1674" s="1">
        <f t="shared" ca="1" si="121"/>
        <v>0.97023930311417039</v>
      </c>
      <c r="C1674" s="1">
        <f t="shared" ca="1" si="120"/>
        <v>160</v>
      </c>
      <c r="D1674" s="1">
        <f t="shared" ca="1" si="122"/>
        <v>239</v>
      </c>
      <c r="E1674" s="2">
        <f t="shared" ca="1" si="123"/>
        <v>43198</v>
      </c>
      <c r="F1674" s="6">
        <f t="shared" ca="1" si="124"/>
        <v>46.504897203616771</v>
      </c>
    </row>
    <row r="1675" spans="1:6">
      <c r="A1675" s="1">
        <v>9126319</v>
      </c>
      <c r="B1675" s="1">
        <f t="shared" ca="1" si="121"/>
        <v>0.62991647644918913</v>
      </c>
      <c r="C1675" s="1">
        <f t="shared" ca="1" si="120"/>
        <v>152</v>
      </c>
      <c r="D1675" s="1">
        <f t="shared" ca="1" si="122"/>
        <v>17</v>
      </c>
      <c r="E1675" s="2">
        <f t="shared" ca="1" si="123"/>
        <v>43273</v>
      </c>
      <c r="F1675" s="6">
        <f t="shared" ca="1" si="124"/>
        <v>3.0005906566537122</v>
      </c>
    </row>
    <row r="1676" spans="1:6">
      <c r="A1676" s="1">
        <v>9126322</v>
      </c>
      <c r="B1676" s="1">
        <f t="shared" ca="1" si="121"/>
        <v>0.2886145613502914</v>
      </c>
      <c r="C1676" s="1">
        <f t="shared" ca="1" si="120"/>
        <v>16</v>
      </c>
      <c r="D1676" s="1">
        <f t="shared" ca="1" si="122"/>
        <v>465</v>
      </c>
      <c r="E1676" s="2">
        <f t="shared" ca="1" si="123"/>
        <v>43024</v>
      </c>
      <c r="F1676" s="6">
        <f t="shared" ca="1" si="124"/>
        <v>4.1558153517811443</v>
      </c>
    </row>
    <row r="1677" spans="1:6">
      <c r="A1677" s="1">
        <v>9126325</v>
      </c>
      <c r="B1677" s="1">
        <f t="shared" ca="1" si="121"/>
        <v>0.57502358352061556</v>
      </c>
      <c r="C1677" s="1">
        <f t="shared" ca="1" si="120"/>
        <v>64</v>
      </c>
      <c r="D1677" s="1">
        <f t="shared" ca="1" si="122"/>
        <v>1</v>
      </c>
      <c r="E1677" s="2">
        <f t="shared" ca="1" si="123"/>
        <v>43108</v>
      </c>
      <c r="F1677" s="6">
        <f t="shared" ca="1" si="124"/>
        <v>68.642165717285664</v>
      </c>
    </row>
    <row r="1678" spans="1:6">
      <c r="A1678" s="1">
        <v>9126328</v>
      </c>
      <c r="B1678" s="1">
        <f t="shared" ca="1" si="121"/>
        <v>0.11737345852339731</v>
      </c>
      <c r="C1678" s="1">
        <f t="shared" ca="1" si="120"/>
        <v>99</v>
      </c>
      <c r="D1678" s="1">
        <f t="shared" ca="1" si="122"/>
        <v>464</v>
      </c>
      <c r="E1678" s="2">
        <f t="shared" ca="1" si="123"/>
        <v>42889</v>
      </c>
      <c r="F1678" s="6">
        <f t="shared" ca="1" si="124"/>
        <v>3.0018540946462795</v>
      </c>
    </row>
    <row r="1679" spans="1:6">
      <c r="A1679" s="1">
        <v>9126331</v>
      </c>
      <c r="B1679" s="1">
        <f t="shared" ca="1" si="121"/>
        <v>0.43830285420886661</v>
      </c>
      <c r="C1679" s="1">
        <f t="shared" ca="1" si="120"/>
        <v>85</v>
      </c>
      <c r="D1679" s="1">
        <f t="shared" ca="1" si="122"/>
        <v>81</v>
      </c>
      <c r="E1679" s="2">
        <f t="shared" ca="1" si="123"/>
        <v>42821</v>
      </c>
      <c r="F1679" s="6">
        <f t="shared" ca="1" si="124"/>
        <v>7.8434399327871738</v>
      </c>
    </row>
    <row r="1680" spans="1:6">
      <c r="A1680" s="1">
        <v>9126334</v>
      </c>
      <c r="B1680" s="1">
        <f t="shared" ca="1" si="121"/>
        <v>0.88051162001269256</v>
      </c>
      <c r="C1680" s="1">
        <f t="shared" ca="1" si="120"/>
        <v>18</v>
      </c>
      <c r="D1680" s="1">
        <f t="shared" ca="1" si="122"/>
        <v>511</v>
      </c>
      <c r="E1680" s="2">
        <f t="shared" ca="1" si="123"/>
        <v>42843</v>
      </c>
      <c r="F1680" s="6">
        <f t="shared" ca="1" si="124"/>
        <v>31.755740070481295</v>
      </c>
    </row>
    <row r="1681" spans="1:6">
      <c r="A1681" s="1">
        <v>9126337</v>
      </c>
      <c r="B1681" s="1">
        <f t="shared" ca="1" si="121"/>
        <v>0.13806699608106765</v>
      </c>
      <c r="C1681" s="1">
        <f t="shared" ca="1" si="120"/>
        <v>23</v>
      </c>
      <c r="D1681" s="1">
        <f t="shared" ca="1" si="122"/>
        <v>516</v>
      </c>
      <c r="E1681" s="2">
        <f t="shared" ca="1" si="123"/>
        <v>42883</v>
      </c>
      <c r="F1681" s="6">
        <f t="shared" ca="1" si="124"/>
        <v>157.73001966344077</v>
      </c>
    </row>
    <row r="1682" spans="1:6">
      <c r="A1682" s="1">
        <v>9126340</v>
      </c>
      <c r="B1682" s="1">
        <f t="shared" ca="1" si="121"/>
        <v>0.95294152632473839</v>
      </c>
      <c r="C1682" s="1">
        <f t="shared" ca="1" si="120"/>
        <v>146</v>
      </c>
      <c r="D1682" s="1">
        <f t="shared" ca="1" si="122"/>
        <v>216</v>
      </c>
      <c r="E1682" s="2">
        <f t="shared" ca="1" si="123"/>
        <v>42892</v>
      </c>
      <c r="F1682" s="6">
        <f t="shared" ca="1" si="124"/>
        <v>16.166823405325211</v>
      </c>
    </row>
    <row r="1683" spans="1:6">
      <c r="A1683" s="1">
        <v>9126343</v>
      </c>
      <c r="B1683" s="1">
        <f t="shared" ca="1" si="121"/>
        <v>0.71799368209627112</v>
      </c>
      <c r="C1683" s="1">
        <f t="shared" ca="1" si="120"/>
        <v>3</v>
      </c>
      <c r="D1683" s="1">
        <f t="shared" ca="1" si="122"/>
        <v>263</v>
      </c>
      <c r="E1683" s="2">
        <f t="shared" ca="1" si="123"/>
        <v>43280</v>
      </c>
      <c r="F1683" s="6">
        <f t="shared" ca="1" si="124"/>
        <v>7.8309334234406736</v>
      </c>
    </row>
    <row r="1684" spans="1:6">
      <c r="A1684" s="1">
        <v>9126346</v>
      </c>
      <c r="B1684" s="1">
        <f t="shared" ca="1" si="121"/>
        <v>0.49110587048261634</v>
      </c>
      <c r="C1684" s="1">
        <f t="shared" ca="1" si="120"/>
        <v>9</v>
      </c>
      <c r="D1684" s="1">
        <f t="shared" ca="1" si="122"/>
        <v>278</v>
      </c>
      <c r="E1684" s="2">
        <f t="shared" ca="1" si="123"/>
        <v>43364</v>
      </c>
      <c r="F1684" s="6">
        <f t="shared" ca="1" si="124"/>
        <v>5.8279656471976686</v>
      </c>
    </row>
    <row r="1685" spans="1:6">
      <c r="A1685" s="1">
        <v>9126349</v>
      </c>
      <c r="B1685" s="1">
        <f t="shared" ca="1" si="121"/>
        <v>0.74927153581753014</v>
      </c>
      <c r="C1685" s="1">
        <f t="shared" ca="1" si="120"/>
        <v>22</v>
      </c>
      <c r="D1685" s="1">
        <f t="shared" ca="1" si="122"/>
        <v>413</v>
      </c>
      <c r="E1685" s="2">
        <f t="shared" ca="1" si="123"/>
        <v>43366</v>
      </c>
      <c r="F1685" s="6">
        <f t="shared" ca="1" si="124"/>
        <v>88.615176147394507</v>
      </c>
    </row>
    <row r="1686" spans="1:6">
      <c r="A1686" s="1">
        <v>9126352</v>
      </c>
      <c r="B1686" s="1">
        <f t="shared" ca="1" si="121"/>
        <v>0.17433920778022971</v>
      </c>
      <c r="C1686" s="1">
        <f t="shared" ca="1" si="120"/>
        <v>5</v>
      </c>
      <c r="D1686" s="1">
        <f t="shared" ca="1" si="122"/>
        <v>363</v>
      </c>
      <c r="E1686" s="2">
        <f t="shared" ca="1" si="123"/>
        <v>42950</v>
      </c>
      <c r="F1686" s="6">
        <f t="shared" ca="1" si="124"/>
        <v>56.188967961246568</v>
      </c>
    </row>
    <row r="1687" spans="1:6">
      <c r="A1687" s="1">
        <v>9126355</v>
      </c>
      <c r="B1687" s="1">
        <f t="shared" ca="1" si="121"/>
        <v>0.95348003271698356</v>
      </c>
      <c r="C1687" s="1">
        <f t="shared" ca="1" si="120"/>
        <v>95</v>
      </c>
      <c r="D1687" s="1">
        <f t="shared" ca="1" si="122"/>
        <v>62</v>
      </c>
      <c r="E1687" s="2">
        <f t="shared" ca="1" si="123"/>
        <v>43003</v>
      </c>
      <c r="F1687" s="6">
        <f t="shared" ca="1" si="124"/>
        <v>14.428948191034911</v>
      </c>
    </row>
    <row r="1688" spans="1:6">
      <c r="A1688" s="1">
        <v>9126358</v>
      </c>
      <c r="B1688" s="1">
        <f t="shared" ca="1" si="121"/>
        <v>0.47096553302719613</v>
      </c>
      <c r="C1688" s="1">
        <f t="shared" ca="1" si="120"/>
        <v>54</v>
      </c>
      <c r="D1688" s="1">
        <f t="shared" ca="1" si="122"/>
        <v>168</v>
      </c>
      <c r="E1688" s="2">
        <f t="shared" ca="1" si="123"/>
        <v>43096</v>
      </c>
      <c r="F1688" s="6">
        <f t="shared" ca="1" si="124"/>
        <v>28.431095217275441</v>
      </c>
    </row>
    <row r="1689" spans="1:6">
      <c r="A1689" s="1">
        <v>9126361</v>
      </c>
      <c r="B1689" s="1">
        <f t="shared" ca="1" si="121"/>
        <v>0.89964201734530369</v>
      </c>
      <c r="C1689" s="1">
        <f t="shared" ca="1" si="120"/>
        <v>30</v>
      </c>
      <c r="D1689" s="1">
        <f t="shared" ca="1" si="122"/>
        <v>53</v>
      </c>
      <c r="E1689" s="2">
        <f t="shared" ca="1" si="123"/>
        <v>43429</v>
      </c>
      <c r="F1689" s="6">
        <f t="shared" ca="1" si="124"/>
        <v>83.596551549182379</v>
      </c>
    </row>
    <row r="1690" spans="1:6">
      <c r="A1690" s="1">
        <v>9126364</v>
      </c>
      <c r="B1690" s="1">
        <f t="shared" ca="1" si="121"/>
        <v>0.47420990654987372</v>
      </c>
      <c r="C1690" s="1">
        <f t="shared" ca="1" si="120"/>
        <v>49</v>
      </c>
      <c r="D1690" s="1">
        <f t="shared" ca="1" si="122"/>
        <v>26</v>
      </c>
      <c r="E1690" s="2">
        <f t="shared" ca="1" si="123"/>
        <v>42813</v>
      </c>
      <c r="F1690" s="6">
        <f t="shared" ca="1" si="124"/>
        <v>294.13460774843884</v>
      </c>
    </row>
    <row r="1691" spans="1:6">
      <c r="A1691" s="1">
        <v>9126367</v>
      </c>
      <c r="B1691" s="1">
        <f t="shared" ca="1" si="121"/>
        <v>0.2848920047000163</v>
      </c>
      <c r="C1691" s="1">
        <f t="shared" ref="C1691:C1754" ca="1" si="125">ROUND(_xlfn.GAMMA.INV(RAND(),$J$11,$J$12)*100,0)+1</f>
        <v>143</v>
      </c>
      <c r="D1691" s="1">
        <f t="shared" ca="1" si="122"/>
        <v>438</v>
      </c>
      <c r="E1691" s="2">
        <f t="shared" ca="1" si="123"/>
        <v>43455</v>
      </c>
      <c r="F1691" s="6">
        <f t="shared" ca="1" si="124"/>
        <v>3.5690050790948846</v>
      </c>
    </row>
    <row r="1692" spans="1:6">
      <c r="A1692" s="1">
        <v>9126370</v>
      </c>
      <c r="B1692" s="1">
        <f t="shared" ca="1" si="121"/>
        <v>0.68098097533692292</v>
      </c>
      <c r="C1692" s="1">
        <f t="shared" ca="1" si="125"/>
        <v>5</v>
      </c>
      <c r="D1692" s="1">
        <f t="shared" ca="1" si="122"/>
        <v>363</v>
      </c>
      <c r="E1692" s="2">
        <f t="shared" ca="1" si="123"/>
        <v>42887</v>
      </c>
      <c r="F1692" s="6">
        <f t="shared" ca="1" si="124"/>
        <v>3.5775337761809416</v>
      </c>
    </row>
    <row r="1693" spans="1:6">
      <c r="A1693" s="1">
        <v>9126373</v>
      </c>
      <c r="B1693" s="1">
        <f t="shared" ca="1" si="121"/>
        <v>0.43836318106064442</v>
      </c>
      <c r="C1693" s="1">
        <f t="shared" ca="1" si="125"/>
        <v>31</v>
      </c>
      <c r="D1693" s="1">
        <f t="shared" ca="1" si="122"/>
        <v>535</v>
      </c>
      <c r="E1693" s="2">
        <f t="shared" ca="1" si="123"/>
        <v>42888</v>
      </c>
      <c r="F1693" s="6">
        <f t="shared" ca="1" si="124"/>
        <v>20.814392515747308</v>
      </c>
    </row>
    <row r="1694" spans="1:6">
      <c r="A1694" s="1">
        <v>9126376</v>
      </c>
      <c r="B1694" s="1">
        <f t="shared" ca="1" si="121"/>
        <v>9.774885426224289E-2</v>
      </c>
      <c r="C1694" s="1">
        <f t="shared" ca="1" si="125"/>
        <v>8</v>
      </c>
      <c r="D1694" s="1">
        <f t="shared" ca="1" si="122"/>
        <v>456</v>
      </c>
      <c r="E1694" s="2">
        <f t="shared" ca="1" si="123"/>
        <v>42974</v>
      </c>
      <c r="F1694" s="6">
        <f t="shared" ca="1" si="124"/>
        <v>24.903774291880762</v>
      </c>
    </row>
    <row r="1695" spans="1:6">
      <c r="A1695" s="1">
        <v>9126379</v>
      </c>
      <c r="B1695" s="1">
        <f t="shared" ca="1" si="121"/>
        <v>0.19864377724669879</v>
      </c>
      <c r="C1695" s="1">
        <f t="shared" ca="1" si="125"/>
        <v>1</v>
      </c>
      <c r="D1695" s="1">
        <f t="shared" ca="1" si="122"/>
        <v>474</v>
      </c>
      <c r="E1695" s="2">
        <f t="shared" ca="1" si="123"/>
        <v>43474</v>
      </c>
      <c r="F1695" s="6">
        <f t="shared" ca="1" si="124"/>
        <v>4.9255913707607517</v>
      </c>
    </row>
    <row r="1696" spans="1:6">
      <c r="A1696" s="1">
        <v>9126382</v>
      </c>
      <c r="B1696" s="1">
        <f t="shared" ca="1" si="121"/>
        <v>0.36453289754947826</v>
      </c>
      <c r="C1696" s="1">
        <f t="shared" ca="1" si="125"/>
        <v>6</v>
      </c>
      <c r="D1696" s="1">
        <f t="shared" ca="1" si="122"/>
        <v>208</v>
      </c>
      <c r="E1696" s="2">
        <f t="shared" ca="1" si="123"/>
        <v>42816</v>
      </c>
      <c r="F1696" s="6">
        <f t="shared" ca="1" si="124"/>
        <v>184.40620778525943</v>
      </c>
    </row>
    <row r="1697" spans="1:6">
      <c r="A1697" s="1">
        <v>9126385</v>
      </c>
      <c r="B1697" s="1">
        <f t="shared" ca="1" si="121"/>
        <v>0.82665707434555913</v>
      </c>
      <c r="C1697" s="1">
        <f t="shared" ca="1" si="125"/>
        <v>22</v>
      </c>
      <c r="D1697" s="1">
        <f t="shared" ca="1" si="122"/>
        <v>413</v>
      </c>
      <c r="E1697" s="2">
        <f t="shared" ca="1" si="123"/>
        <v>43068</v>
      </c>
      <c r="F1697" s="6">
        <f t="shared" ca="1" si="124"/>
        <v>3.1273316854789766</v>
      </c>
    </row>
    <row r="1698" spans="1:6">
      <c r="A1698" s="1">
        <v>9126388</v>
      </c>
      <c r="B1698" s="1">
        <f t="shared" ca="1" si="121"/>
        <v>0.54737026098708863</v>
      </c>
      <c r="C1698" s="1">
        <f t="shared" ca="1" si="125"/>
        <v>13</v>
      </c>
      <c r="D1698" s="1">
        <f t="shared" ca="1" si="122"/>
        <v>80</v>
      </c>
      <c r="E1698" s="2">
        <f t="shared" ca="1" si="123"/>
        <v>43203</v>
      </c>
      <c r="F1698" s="6">
        <f t="shared" ca="1" si="124"/>
        <v>23.500794780194802</v>
      </c>
    </row>
    <row r="1699" spans="1:6">
      <c r="A1699" s="1">
        <v>9126391</v>
      </c>
      <c r="B1699" s="1">
        <f t="shared" ca="1" si="121"/>
        <v>0.15505025183908661</v>
      </c>
      <c r="C1699" s="1">
        <f t="shared" ca="1" si="125"/>
        <v>50</v>
      </c>
      <c r="D1699" s="1">
        <f t="shared" ca="1" si="122"/>
        <v>415</v>
      </c>
      <c r="E1699" s="2">
        <f t="shared" ca="1" si="123"/>
        <v>42896</v>
      </c>
      <c r="F1699" s="6">
        <f t="shared" ca="1" si="124"/>
        <v>20.033004580178929</v>
      </c>
    </row>
    <row r="1700" spans="1:6">
      <c r="A1700" s="1">
        <v>9126394</v>
      </c>
      <c r="B1700" s="1">
        <f t="shared" ca="1" si="121"/>
        <v>0.96160842518004874</v>
      </c>
      <c r="C1700" s="1">
        <f t="shared" ca="1" si="125"/>
        <v>59</v>
      </c>
      <c r="D1700" s="1">
        <f t="shared" ca="1" si="122"/>
        <v>95</v>
      </c>
      <c r="E1700" s="2">
        <f t="shared" ca="1" si="123"/>
        <v>42898</v>
      </c>
      <c r="F1700" s="6">
        <f t="shared" ca="1" si="124"/>
        <v>24.827363691179151</v>
      </c>
    </row>
    <row r="1701" spans="1:6">
      <c r="A1701" s="1">
        <v>9126397</v>
      </c>
      <c r="B1701" s="1">
        <f t="shared" ca="1" si="121"/>
        <v>0.17323747783741372</v>
      </c>
      <c r="C1701" s="1">
        <f t="shared" ca="1" si="125"/>
        <v>24</v>
      </c>
      <c r="D1701" s="1">
        <f t="shared" ca="1" si="122"/>
        <v>334</v>
      </c>
      <c r="E1701" s="2">
        <f t="shared" ca="1" si="123"/>
        <v>43234</v>
      </c>
      <c r="F1701" s="6">
        <f t="shared" ca="1" si="124"/>
        <v>31.147136850549941</v>
      </c>
    </row>
    <row r="1702" spans="1:6">
      <c r="A1702" s="1">
        <v>9126400</v>
      </c>
      <c r="B1702" s="1">
        <f t="shared" ca="1" si="121"/>
        <v>0.39217934106978125</v>
      </c>
      <c r="C1702" s="1">
        <f t="shared" ca="1" si="125"/>
        <v>119</v>
      </c>
      <c r="D1702" s="1">
        <f t="shared" ca="1" si="122"/>
        <v>184</v>
      </c>
      <c r="E1702" s="2">
        <f t="shared" ca="1" si="123"/>
        <v>43075</v>
      </c>
      <c r="F1702" s="6">
        <f t="shared" ca="1" si="124"/>
        <v>61.980863149170112</v>
      </c>
    </row>
    <row r="1703" spans="1:6">
      <c r="A1703" s="1">
        <v>9126403</v>
      </c>
      <c r="B1703" s="1">
        <f t="shared" ca="1" si="121"/>
        <v>0.24427638609332103</v>
      </c>
      <c r="C1703" s="1">
        <f t="shared" ca="1" si="125"/>
        <v>41</v>
      </c>
      <c r="D1703" s="1">
        <f t="shared" ca="1" si="122"/>
        <v>37</v>
      </c>
      <c r="E1703" s="2">
        <f t="shared" ca="1" si="123"/>
        <v>43463</v>
      </c>
      <c r="F1703" s="6">
        <f t="shared" ca="1" si="124"/>
        <v>216.22401105269506</v>
      </c>
    </row>
    <row r="1704" spans="1:6">
      <c r="A1704" s="1">
        <v>9126406</v>
      </c>
      <c r="B1704" s="1">
        <f t="shared" ca="1" si="121"/>
        <v>0.91321482283595057</v>
      </c>
      <c r="C1704" s="1">
        <f t="shared" ca="1" si="125"/>
        <v>1</v>
      </c>
      <c r="D1704" s="1">
        <f t="shared" ca="1" si="122"/>
        <v>474</v>
      </c>
      <c r="E1704" s="2">
        <f t="shared" ca="1" si="123"/>
        <v>43470</v>
      </c>
      <c r="F1704" s="6">
        <f t="shared" ca="1" si="124"/>
        <v>17.99322518755546</v>
      </c>
    </row>
    <row r="1705" spans="1:6">
      <c r="A1705" s="1">
        <v>9126409</v>
      </c>
      <c r="B1705" s="1">
        <f t="shared" ca="1" si="121"/>
        <v>0.45875393994532931</v>
      </c>
      <c r="C1705" s="1">
        <f t="shared" ca="1" si="125"/>
        <v>2</v>
      </c>
      <c r="D1705" s="1">
        <f t="shared" ca="1" si="122"/>
        <v>30</v>
      </c>
      <c r="E1705" s="2">
        <f t="shared" ca="1" si="123"/>
        <v>43242</v>
      </c>
      <c r="F1705" s="6">
        <f t="shared" ca="1" si="124"/>
        <v>22.694403198744833</v>
      </c>
    </row>
    <row r="1706" spans="1:6">
      <c r="A1706" s="1">
        <v>9126412</v>
      </c>
      <c r="B1706" s="1">
        <f t="shared" ca="1" si="121"/>
        <v>0.86710043053938635</v>
      </c>
      <c r="C1706" s="1">
        <f t="shared" ca="1" si="125"/>
        <v>3</v>
      </c>
      <c r="D1706" s="1">
        <f t="shared" ca="1" si="122"/>
        <v>263</v>
      </c>
      <c r="E1706" s="2">
        <f t="shared" ca="1" si="123"/>
        <v>43002</v>
      </c>
      <c r="F1706" s="6">
        <f t="shared" ca="1" si="124"/>
        <v>5.4856865829752346</v>
      </c>
    </row>
    <row r="1707" spans="1:6">
      <c r="A1707" s="1">
        <v>9126415</v>
      </c>
      <c r="B1707" s="1">
        <f t="shared" ca="1" si="121"/>
        <v>0.88078470889138938</v>
      </c>
      <c r="C1707" s="1">
        <f t="shared" ca="1" si="125"/>
        <v>269</v>
      </c>
      <c r="D1707" s="1">
        <f t="shared" ca="1" si="122"/>
        <v>247</v>
      </c>
      <c r="E1707" s="2">
        <f t="shared" ca="1" si="123"/>
        <v>42831</v>
      </c>
      <c r="F1707" s="6">
        <f t="shared" ca="1" si="124"/>
        <v>59.59602633935453</v>
      </c>
    </row>
    <row r="1708" spans="1:6">
      <c r="A1708" s="1">
        <v>9126418</v>
      </c>
      <c r="B1708" s="1">
        <f t="shared" ca="1" si="121"/>
        <v>0.4992761890645826</v>
      </c>
      <c r="C1708" s="1">
        <f t="shared" ca="1" si="125"/>
        <v>1</v>
      </c>
      <c r="D1708" s="1">
        <f t="shared" ca="1" si="122"/>
        <v>474</v>
      </c>
      <c r="E1708" s="2">
        <f t="shared" ca="1" si="123"/>
        <v>43163</v>
      </c>
      <c r="F1708" s="6">
        <f t="shared" ca="1" si="124"/>
        <v>18.388932010344785</v>
      </c>
    </row>
    <row r="1709" spans="1:6">
      <c r="A1709" s="1">
        <v>9126421</v>
      </c>
      <c r="B1709" s="1">
        <f t="shared" ca="1" si="121"/>
        <v>0.17627943497267751</v>
      </c>
      <c r="C1709" s="1">
        <f t="shared" ca="1" si="125"/>
        <v>71</v>
      </c>
      <c r="D1709" s="1">
        <f t="shared" ca="1" si="122"/>
        <v>281</v>
      </c>
      <c r="E1709" s="2">
        <f t="shared" ca="1" si="123"/>
        <v>43174</v>
      </c>
      <c r="F1709" s="6">
        <f t="shared" ca="1" si="124"/>
        <v>4.953966947412253</v>
      </c>
    </row>
    <row r="1710" spans="1:6">
      <c r="A1710" s="1">
        <v>9126424</v>
      </c>
      <c r="B1710" s="1">
        <f t="shared" ca="1" si="121"/>
        <v>0.59787337508665073</v>
      </c>
      <c r="C1710" s="1">
        <f t="shared" ca="1" si="125"/>
        <v>33</v>
      </c>
      <c r="D1710" s="1">
        <f t="shared" ca="1" si="122"/>
        <v>501</v>
      </c>
      <c r="E1710" s="2">
        <f t="shared" ca="1" si="123"/>
        <v>43196</v>
      </c>
      <c r="F1710" s="6">
        <f t="shared" ca="1" si="124"/>
        <v>96.359935119587519</v>
      </c>
    </row>
    <row r="1711" spans="1:6">
      <c r="A1711" s="1">
        <v>9126427</v>
      </c>
      <c r="B1711" s="1">
        <f t="shared" ca="1" si="121"/>
        <v>0.68250423690625683</v>
      </c>
      <c r="C1711" s="1">
        <f t="shared" ca="1" si="125"/>
        <v>5</v>
      </c>
      <c r="D1711" s="1">
        <f t="shared" ca="1" si="122"/>
        <v>363</v>
      </c>
      <c r="E1711" s="2">
        <f t="shared" ca="1" si="123"/>
        <v>43124</v>
      </c>
      <c r="F1711" s="6">
        <f t="shared" ca="1" si="124"/>
        <v>57.73229374324751</v>
      </c>
    </row>
    <row r="1712" spans="1:6">
      <c r="A1712" s="1">
        <v>9126430</v>
      </c>
      <c r="B1712" s="1">
        <f t="shared" ca="1" si="121"/>
        <v>0.11283790863511767</v>
      </c>
      <c r="C1712" s="1">
        <f t="shared" ca="1" si="125"/>
        <v>56</v>
      </c>
      <c r="D1712" s="1">
        <f t="shared" ca="1" si="122"/>
        <v>57</v>
      </c>
      <c r="E1712" s="2">
        <f t="shared" ca="1" si="123"/>
        <v>43144</v>
      </c>
      <c r="F1712" s="6">
        <f t="shared" ca="1" si="124"/>
        <v>3.0146474363960594</v>
      </c>
    </row>
    <row r="1713" spans="1:6">
      <c r="A1713" s="1">
        <v>9126433</v>
      </c>
      <c r="B1713" s="1">
        <f t="shared" ca="1" si="121"/>
        <v>0.9520028115926541</v>
      </c>
      <c r="C1713" s="1">
        <f t="shared" ca="1" si="125"/>
        <v>13</v>
      </c>
      <c r="D1713" s="1">
        <f t="shared" ca="1" si="122"/>
        <v>80</v>
      </c>
      <c r="E1713" s="2">
        <f t="shared" ca="1" si="123"/>
        <v>42939</v>
      </c>
      <c r="F1713" s="6">
        <f t="shared" ca="1" si="124"/>
        <v>3.0821506933414367</v>
      </c>
    </row>
    <row r="1714" spans="1:6">
      <c r="A1714" s="1">
        <v>9126436</v>
      </c>
      <c r="B1714" s="1">
        <f t="shared" ca="1" si="121"/>
        <v>0.66953030107970435</v>
      </c>
      <c r="C1714" s="1">
        <f t="shared" ca="1" si="125"/>
        <v>101</v>
      </c>
      <c r="D1714" s="1">
        <f t="shared" ca="1" si="122"/>
        <v>166</v>
      </c>
      <c r="E1714" s="2">
        <f t="shared" ca="1" si="123"/>
        <v>43443</v>
      </c>
      <c r="F1714" s="6">
        <f t="shared" ca="1" si="124"/>
        <v>3.045080028745399</v>
      </c>
    </row>
    <row r="1715" spans="1:6">
      <c r="A1715" s="1">
        <v>9126439</v>
      </c>
      <c r="B1715" s="1">
        <f t="shared" ca="1" si="121"/>
        <v>0.39277445466827643</v>
      </c>
      <c r="C1715" s="1">
        <f t="shared" ca="1" si="125"/>
        <v>3</v>
      </c>
      <c r="D1715" s="1">
        <f t="shared" ca="1" si="122"/>
        <v>263</v>
      </c>
      <c r="E1715" s="2">
        <f t="shared" ca="1" si="123"/>
        <v>42793</v>
      </c>
      <c r="F1715" s="6">
        <f t="shared" ca="1" si="124"/>
        <v>218.3051500025374</v>
      </c>
    </row>
    <row r="1716" spans="1:6">
      <c r="A1716" s="1">
        <v>9126442</v>
      </c>
      <c r="B1716" s="1">
        <f t="shared" ca="1" si="121"/>
        <v>0.55264317768542059</v>
      </c>
      <c r="C1716" s="1">
        <f t="shared" ca="1" si="125"/>
        <v>26</v>
      </c>
      <c r="D1716" s="1">
        <f t="shared" ca="1" si="122"/>
        <v>88</v>
      </c>
      <c r="E1716" s="2">
        <f t="shared" ca="1" si="123"/>
        <v>43156</v>
      </c>
      <c r="F1716" s="6">
        <f t="shared" ca="1" si="124"/>
        <v>140.22243104570347</v>
      </c>
    </row>
    <row r="1717" spans="1:6">
      <c r="A1717" s="1">
        <v>9126445</v>
      </c>
      <c r="B1717" s="1">
        <f t="shared" ca="1" si="121"/>
        <v>0.77130780071144889</v>
      </c>
      <c r="C1717" s="1">
        <f t="shared" ca="1" si="125"/>
        <v>13</v>
      </c>
      <c r="D1717" s="1">
        <f t="shared" ca="1" si="122"/>
        <v>80</v>
      </c>
      <c r="E1717" s="2">
        <f t="shared" ca="1" si="123"/>
        <v>43493</v>
      </c>
      <c r="F1717" s="6">
        <f t="shared" ca="1" si="124"/>
        <v>68.273695006661086</v>
      </c>
    </row>
    <row r="1718" spans="1:6">
      <c r="A1718" s="1">
        <v>9126448</v>
      </c>
      <c r="B1718" s="1">
        <f t="shared" ca="1" si="121"/>
        <v>0.23187747025520444</v>
      </c>
      <c r="C1718" s="1">
        <f t="shared" ca="1" si="125"/>
        <v>242</v>
      </c>
      <c r="D1718" s="1">
        <f t="shared" ca="1" si="122"/>
        <v>513</v>
      </c>
      <c r="E1718" s="2">
        <f t="shared" ca="1" si="123"/>
        <v>42753</v>
      </c>
      <c r="F1718" s="6">
        <f t="shared" ca="1" si="124"/>
        <v>103.95284758836267</v>
      </c>
    </row>
    <row r="1719" spans="1:6">
      <c r="A1719" s="1">
        <v>9126451</v>
      </c>
      <c r="B1719" s="1">
        <f t="shared" ca="1" si="121"/>
        <v>0.1941620720278866</v>
      </c>
      <c r="C1719" s="1">
        <f t="shared" ca="1" si="125"/>
        <v>32</v>
      </c>
      <c r="D1719" s="1">
        <f t="shared" ca="1" si="122"/>
        <v>497</v>
      </c>
      <c r="E1719" s="2">
        <f t="shared" ca="1" si="123"/>
        <v>43049</v>
      </c>
      <c r="F1719" s="6">
        <f t="shared" ca="1" si="124"/>
        <v>99.240633793387985</v>
      </c>
    </row>
    <row r="1720" spans="1:6">
      <c r="A1720" s="1">
        <v>9126454</v>
      </c>
      <c r="B1720" s="1">
        <f t="shared" ca="1" si="121"/>
        <v>0.35209831024196769</v>
      </c>
      <c r="C1720" s="1">
        <f t="shared" ca="1" si="125"/>
        <v>25</v>
      </c>
      <c r="D1720" s="1">
        <f t="shared" ca="1" si="122"/>
        <v>257</v>
      </c>
      <c r="E1720" s="2">
        <f t="shared" ca="1" si="123"/>
        <v>42952</v>
      </c>
      <c r="F1720" s="6">
        <f t="shared" ca="1" si="124"/>
        <v>4.1093015833912174</v>
      </c>
    </row>
    <row r="1721" spans="1:6">
      <c r="A1721" s="1">
        <v>9126457</v>
      </c>
      <c r="B1721" s="1">
        <f t="shared" ca="1" si="121"/>
        <v>0.99486854993261975</v>
      </c>
      <c r="C1721" s="1">
        <f t="shared" ca="1" si="125"/>
        <v>50</v>
      </c>
      <c r="D1721" s="1">
        <f t="shared" ca="1" si="122"/>
        <v>415</v>
      </c>
      <c r="E1721" s="2">
        <f t="shared" ca="1" si="123"/>
        <v>42893</v>
      </c>
      <c r="F1721" s="6">
        <f t="shared" ca="1" si="124"/>
        <v>24.40259305228232</v>
      </c>
    </row>
    <row r="1722" spans="1:6">
      <c r="A1722" s="1">
        <v>9126460</v>
      </c>
      <c r="B1722" s="1">
        <f t="shared" ca="1" si="121"/>
        <v>0.24782829275456997</v>
      </c>
      <c r="C1722" s="1">
        <f t="shared" ca="1" si="125"/>
        <v>2</v>
      </c>
      <c r="D1722" s="1">
        <f t="shared" ca="1" si="122"/>
        <v>30</v>
      </c>
      <c r="E1722" s="2">
        <f t="shared" ca="1" si="123"/>
        <v>43191</v>
      </c>
      <c r="F1722" s="6">
        <f t="shared" ca="1" si="124"/>
        <v>31.942713883480035</v>
      </c>
    </row>
    <row r="1723" spans="1:6">
      <c r="A1723" s="1">
        <v>9126463</v>
      </c>
      <c r="B1723" s="1">
        <f t="shared" ca="1" si="121"/>
        <v>0.6872435448012062</v>
      </c>
      <c r="C1723" s="1">
        <f t="shared" ca="1" si="125"/>
        <v>45</v>
      </c>
      <c r="D1723" s="1">
        <f t="shared" ca="1" si="122"/>
        <v>482</v>
      </c>
      <c r="E1723" s="2">
        <f t="shared" ca="1" si="123"/>
        <v>42944</v>
      </c>
      <c r="F1723" s="6">
        <f t="shared" ca="1" si="124"/>
        <v>135.39549995608587</v>
      </c>
    </row>
    <row r="1724" spans="1:6">
      <c r="A1724" s="1">
        <v>9126466</v>
      </c>
      <c r="B1724" s="1">
        <f t="shared" ca="1" si="121"/>
        <v>0.32819577274544109</v>
      </c>
      <c r="C1724" s="1">
        <f t="shared" ca="1" si="125"/>
        <v>29</v>
      </c>
      <c r="D1724" s="1">
        <f t="shared" ca="1" si="122"/>
        <v>514</v>
      </c>
      <c r="E1724" s="2">
        <f t="shared" ca="1" si="123"/>
        <v>43040</v>
      </c>
      <c r="F1724" s="6">
        <f t="shared" ca="1" si="124"/>
        <v>9.9817596383843465</v>
      </c>
    </row>
    <row r="1725" spans="1:6">
      <c r="A1725" s="1">
        <v>9126469</v>
      </c>
      <c r="B1725" s="1">
        <f t="shared" ca="1" si="121"/>
        <v>0.13795983193486105</v>
      </c>
      <c r="C1725" s="1">
        <f t="shared" ca="1" si="125"/>
        <v>7</v>
      </c>
      <c r="D1725" s="1">
        <f t="shared" ca="1" si="122"/>
        <v>138</v>
      </c>
      <c r="E1725" s="2">
        <f t="shared" ca="1" si="123"/>
        <v>43341</v>
      </c>
      <c r="F1725" s="6">
        <f t="shared" ca="1" si="124"/>
        <v>40.963488929898134</v>
      </c>
    </row>
    <row r="1726" spans="1:6">
      <c r="A1726" s="1">
        <v>9126472</v>
      </c>
      <c r="B1726" s="1">
        <f t="shared" ca="1" si="121"/>
        <v>0.42745477753631145</v>
      </c>
      <c r="C1726" s="1">
        <f t="shared" ca="1" si="125"/>
        <v>48</v>
      </c>
      <c r="D1726" s="1">
        <f t="shared" ca="1" si="122"/>
        <v>424</v>
      </c>
      <c r="E1726" s="2">
        <f t="shared" ca="1" si="123"/>
        <v>42829</v>
      </c>
      <c r="F1726" s="6">
        <f t="shared" ca="1" si="124"/>
        <v>72.469518566237525</v>
      </c>
    </row>
    <row r="1727" spans="1:6">
      <c r="A1727" s="1">
        <v>9126475</v>
      </c>
      <c r="B1727" s="1">
        <f t="shared" ca="1" si="121"/>
        <v>0.59750180109792983</v>
      </c>
      <c r="C1727" s="1">
        <f t="shared" ca="1" si="125"/>
        <v>101</v>
      </c>
      <c r="D1727" s="1">
        <f t="shared" ca="1" si="122"/>
        <v>166</v>
      </c>
      <c r="E1727" s="2">
        <f t="shared" ca="1" si="123"/>
        <v>43179</v>
      </c>
      <c r="F1727" s="6">
        <f t="shared" ca="1" si="124"/>
        <v>4.3894340999160768</v>
      </c>
    </row>
    <row r="1728" spans="1:6">
      <c r="A1728" s="1">
        <v>9126478</v>
      </c>
      <c r="B1728" s="1">
        <f t="shared" ca="1" si="121"/>
        <v>0.7383145274444578</v>
      </c>
      <c r="C1728" s="1">
        <f t="shared" ca="1" si="125"/>
        <v>26</v>
      </c>
      <c r="D1728" s="1">
        <f t="shared" ca="1" si="122"/>
        <v>88</v>
      </c>
      <c r="E1728" s="2">
        <f t="shared" ca="1" si="123"/>
        <v>43313</v>
      </c>
      <c r="F1728" s="6">
        <f t="shared" ca="1" si="124"/>
        <v>6.4120422346030557</v>
      </c>
    </row>
    <row r="1729" spans="1:6">
      <c r="A1729" s="1">
        <v>9126481</v>
      </c>
      <c r="B1729" s="1">
        <f t="shared" ca="1" si="121"/>
        <v>0.63770671460512174</v>
      </c>
      <c r="C1729" s="1">
        <f t="shared" ca="1" si="125"/>
        <v>8</v>
      </c>
      <c r="D1729" s="1">
        <f t="shared" ca="1" si="122"/>
        <v>456</v>
      </c>
      <c r="E1729" s="2">
        <f t="shared" ca="1" si="123"/>
        <v>43023</v>
      </c>
      <c r="F1729" s="6">
        <f t="shared" ca="1" si="124"/>
        <v>7.9355858386917468</v>
      </c>
    </row>
    <row r="1730" spans="1:6">
      <c r="A1730" s="1">
        <v>9126484</v>
      </c>
      <c r="B1730" s="1">
        <f t="shared" ref="B1730:B1793" ca="1" si="126">RAND()</f>
        <v>0.60753549701791942</v>
      </c>
      <c r="C1730" s="1">
        <f t="shared" ca="1" si="125"/>
        <v>33</v>
      </c>
      <c r="D1730" s="1">
        <f t="shared" ca="1" si="122"/>
        <v>501</v>
      </c>
      <c r="E1730" s="2">
        <f t="shared" ca="1" si="123"/>
        <v>43104</v>
      </c>
      <c r="F1730" s="6">
        <f t="shared" ca="1" si="124"/>
        <v>9.1408702690056636</v>
      </c>
    </row>
    <row r="1731" spans="1:6">
      <c r="A1731" s="1">
        <v>9126487</v>
      </c>
      <c r="B1731" s="1">
        <f t="shared" ca="1" si="126"/>
        <v>0.37676143342934099</v>
      </c>
      <c r="C1731" s="1">
        <f t="shared" ca="1" si="125"/>
        <v>29</v>
      </c>
      <c r="D1731" s="1">
        <f t="shared" ref="D1731:D1794" ca="1" si="127">VLOOKUP(SMALL($B$2:$B$601,C1731),$B$2:$C$601,2,FALSE)</f>
        <v>514</v>
      </c>
      <c r="E1731" s="2">
        <f t="shared" ref="E1731:E1794" ca="1" si="128">RANDBETWEEN("1/1/17","2/1/19")</f>
        <v>43231</v>
      </c>
      <c r="F1731" s="6">
        <f t="shared" ref="F1731:F1794" ca="1" si="129">_xlfn.GAMMA.INV(RAND(),$J$6,$J$7)*100+3</f>
        <v>35.34702072452135</v>
      </c>
    </row>
    <row r="1732" spans="1:6">
      <c r="A1732" s="1">
        <v>9126490</v>
      </c>
      <c r="B1732" s="1">
        <f t="shared" ca="1" si="126"/>
        <v>0.30206676209240735</v>
      </c>
      <c r="C1732" s="1">
        <f t="shared" ca="1" si="125"/>
        <v>1</v>
      </c>
      <c r="D1732" s="1">
        <f t="shared" ca="1" si="127"/>
        <v>474</v>
      </c>
      <c r="E1732" s="2">
        <f t="shared" ca="1" si="128"/>
        <v>43221</v>
      </c>
      <c r="F1732" s="6">
        <f t="shared" ca="1" si="129"/>
        <v>19.616890537595697</v>
      </c>
    </row>
    <row r="1733" spans="1:6">
      <c r="A1733" s="1">
        <v>9126493</v>
      </c>
      <c r="B1733" s="1">
        <f t="shared" ca="1" si="126"/>
        <v>0.46072753250695897</v>
      </c>
      <c r="C1733" s="1">
        <f t="shared" ca="1" si="125"/>
        <v>42</v>
      </c>
      <c r="D1733" s="1">
        <f t="shared" ca="1" si="127"/>
        <v>36</v>
      </c>
      <c r="E1733" s="2">
        <f t="shared" ca="1" si="128"/>
        <v>43285</v>
      </c>
      <c r="F1733" s="6">
        <f t="shared" ca="1" si="129"/>
        <v>17.28643316001483</v>
      </c>
    </row>
    <row r="1734" spans="1:6">
      <c r="A1734" s="1">
        <v>9126496</v>
      </c>
      <c r="B1734" s="1">
        <f t="shared" ca="1" si="126"/>
        <v>0.46417527662980618</v>
      </c>
      <c r="C1734" s="1">
        <f t="shared" ca="1" si="125"/>
        <v>12</v>
      </c>
      <c r="D1734" s="1">
        <f t="shared" ca="1" si="127"/>
        <v>292</v>
      </c>
      <c r="E1734" s="2">
        <f t="shared" ca="1" si="128"/>
        <v>42965</v>
      </c>
      <c r="F1734" s="6">
        <f t="shared" ca="1" si="129"/>
        <v>4.7312476431347781</v>
      </c>
    </row>
    <row r="1735" spans="1:6">
      <c r="A1735" s="1">
        <v>9126499</v>
      </c>
      <c r="B1735" s="1">
        <f t="shared" ca="1" si="126"/>
        <v>0.84419101493271176</v>
      </c>
      <c r="C1735" s="1">
        <f t="shared" ca="1" si="125"/>
        <v>169</v>
      </c>
      <c r="D1735" s="1">
        <f t="shared" ca="1" si="127"/>
        <v>276</v>
      </c>
      <c r="E1735" s="2">
        <f t="shared" ca="1" si="128"/>
        <v>43045</v>
      </c>
      <c r="F1735" s="6">
        <f t="shared" ca="1" si="129"/>
        <v>4.820995375859825</v>
      </c>
    </row>
    <row r="1736" spans="1:6">
      <c r="A1736" s="1">
        <v>9126502</v>
      </c>
      <c r="B1736" s="1">
        <f t="shared" ca="1" si="126"/>
        <v>0.6177627841082699</v>
      </c>
      <c r="C1736" s="1">
        <f t="shared" ca="1" si="125"/>
        <v>3</v>
      </c>
      <c r="D1736" s="1">
        <f t="shared" ca="1" si="127"/>
        <v>263</v>
      </c>
      <c r="E1736" s="2">
        <f t="shared" ca="1" si="128"/>
        <v>42826</v>
      </c>
      <c r="F1736" s="6">
        <f t="shared" ca="1" si="129"/>
        <v>9.1904430391185201</v>
      </c>
    </row>
    <row r="1737" spans="1:6">
      <c r="A1737" s="1">
        <v>9126505</v>
      </c>
      <c r="B1737" s="1">
        <f t="shared" ca="1" si="126"/>
        <v>0.15052984024816285</v>
      </c>
      <c r="C1737" s="1">
        <f t="shared" ca="1" si="125"/>
        <v>24</v>
      </c>
      <c r="D1737" s="1">
        <f t="shared" ca="1" si="127"/>
        <v>334</v>
      </c>
      <c r="E1737" s="2">
        <f t="shared" ca="1" si="128"/>
        <v>43446</v>
      </c>
      <c r="F1737" s="6">
        <f t="shared" ca="1" si="129"/>
        <v>24.635282432110518</v>
      </c>
    </row>
    <row r="1738" spans="1:6">
      <c r="A1738" s="1">
        <v>9126508</v>
      </c>
      <c r="B1738" s="1">
        <f t="shared" ca="1" si="126"/>
        <v>8.373561242085259E-2</v>
      </c>
      <c r="C1738" s="1">
        <f t="shared" ca="1" si="125"/>
        <v>100</v>
      </c>
      <c r="D1738" s="1">
        <f t="shared" ca="1" si="127"/>
        <v>183</v>
      </c>
      <c r="E1738" s="2">
        <f t="shared" ca="1" si="128"/>
        <v>42954</v>
      </c>
      <c r="F1738" s="6">
        <f t="shared" ca="1" si="129"/>
        <v>15.694813677592718</v>
      </c>
    </row>
    <row r="1739" spans="1:6">
      <c r="A1739" s="1">
        <v>9126511</v>
      </c>
      <c r="B1739" s="1">
        <f t="shared" ca="1" si="126"/>
        <v>0.45109780461857962</v>
      </c>
      <c r="C1739" s="1">
        <f t="shared" ca="1" si="125"/>
        <v>64</v>
      </c>
      <c r="D1739" s="1">
        <f t="shared" ca="1" si="127"/>
        <v>1</v>
      </c>
      <c r="E1739" s="2">
        <f t="shared" ca="1" si="128"/>
        <v>43082</v>
      </c>
      <c r="F1739" s="6">
        <f t="shared" ca="1" si="129"/>
        <v>80.272811899753407</v>
      </c>
    </row>
    <row r="1740" spans="1:6">
      <c r="A1740" s="1">
        <v>9126514</v>
      </c>
      <c r="B1740" s="1">
        <f t="shared" ca="1" si="126"/>
        <v>0.44937173338128056</v>
      </c>
      <c r="C1740" s="1">
        <f t="shared" ca="1" si="125"/>
        <v>3</v>
      </c>
      <c r="D1740" s="1">
        <f t="shared" ca="1" si="127"/>
        <v>263</v>
      </c>
      <c r="E1740" s="2">
        <f t="shared" ca="1" si="128"/>
        <v>43155</v>
      </c>
      <c r="F1740" s="6">
        <f t="shared" ca="1" si="129"/>
        <v>16.020392106257262</v>
      </c>
    </row>
    <row r="1741" spans="1:6">
      <c r="A1741" s="1">
        <v>9126517</v>
      </c>
      <c r="B1741" s="1">
        <f t="shared" ca="1" si="126"/>
        <v>0.82863362071425217</v>
      </c>
      <c r="C1741" s="1">
        <f t="shared" ca="1" si="125"/>
        <v>69</v>
      </c>
      <c r="D1741" s="1">
        <f t="shared" ca="1" si="127"/>
        <v>142</v>
      </c>
      <c r="E1741" s="2">
        <f t="shared" ca="1" si="128"/>
        <v>43421</v>
      </c>
      <c r="F1741" s="6">
        <f t="shared" ca="1" si="129"/>
        <v>15.394183546472057</v>
      </c>
    </row>
    <row r="1742" spans="1:6">
      <c r="A1742" s="1">
        <v>9126520</v>
      </c>
      <c r="B1742" s="1">
        <f t="shared" ca="1" si="126"/>
        <v>0.47354635538632062</v>
      </c>
      <c r="C1742" s="1">
        <f t="shared" ca="1" si="125"/>
        <v>79</v>
      </c>
      <c r="D1742" s="1">
        <f t="shared" ca="1" si="127"/>
        <v>547</v>
      </c>
      <c r="E1742" s="2">
        <f t="shared" ca="1" si="128"/>
        <v>42904</v>
      </c>
      <c r="F1742" s="6">
        <f t="shared" ca="1" si="129"/>
        <v>32.739066160599535</v>
      </c>
    </row>
    <row r="1743" spans="1:6">
      <c r="A1743" s="1">
        <v>9126523</v>
      </c>
      <c r="B1743" s="1">
        <f t="shared" ca="1" si="126"/>
        <v>1.504338503754854E-2</v>
      </c>
      <c r="C1743" s="1">
        <f t="shared" ca="1" si="125"/>
        <v>3</v>
      </c>
      <c r="D1743" s="1">
        <f t="shared" ca="1" si="127"/>
        <v>263</v>
      </c>
      <c r="E1743" s="2">
        <f t="shared" ca="1" si="128"/>
        <v>42745</v>
      </c>
      <c r="F1743" s="6">
        <f t="shared" ca="1" si="129"/>
        <v>9.6934495621390155</v>
      </c>
    </row>
    <row r="1744" spans="1:6">
      <c r="A1744" s="1">
        <v>9126526</v>
      </c>
      <c r="B1744" s="1">
        <f t="shared" ca="1" si="126"/>
        <v>0.98186451573063693</v>
      </c>
      <c r="C1744" s="1">
        <f t="shared" ca="1" si="125"/>
        <v>5</v>
      </c>
      <c r="D1744" s="1">
        <f t="shared" ca="1" si="127"/>
        <v>363</v>
      </c>
      <c r="E1744" s="2">
        <f t="shared" ca="1" si="128"/>
        <v>43430</v>
      </c>
      <c r="F1744" s="6">
        <f t="shared" ca="1" si="129"/>
        <v>4.4979918681754256</v>
      </c>
    </row>
    <row r="1745" spans="1:6">
      <c r="A1745" s="1">
        <v>9126529</v>
      </c>
      <c r="B1745" s="1">
        <f t="shared" ca="1" si="126"/>
        <v>8.5500988867570626E-4</v>
      </c>
      <c r="C1745" s="1">
        <f t="shared" ca="1" si="125"/>
        <v>72</v>
      </c>
      <c r="D1745" s="1">
        <f t="shared" ca="1" si="127"/>
        <v>267</v>
      </c>
      <c r="E1745" s="2">
        <f t="shared" ca="1" si="128"/>
        <v>42910</v>
      </c>
      <c r="F1745" s="6">
        <f t="shared" ca="1" si="129"/>
        <v>7.3553589599297622</v>
      </c>
    </row>
    <row r="1746" spans="1:6">
      <c r="A1746" s="1">
        <v>9126532</v>
      </c>
      <c r="B1746" s="1">
        <f t="shared" ca="1" si="126"/>
        <v>0.15214756120349093</v>
      </c>
      <c r="C1746" s="1">
        <f t="shared" ca="1" si="125"/>
        <v>1</v>
      </c>
      <c r="D1746" s="1">
        <f t="shared" ca="1" si="127"/>
        <v>474</v>
      </c>
      <c r="E1746" s="2">
        <f t="shared" ca="1" si="128"/>
        <v>42925</v>
      </c>
      <c r="F1746" s="6">
        <f t="shared" ca="1" si="129"/>
        <v>5.504077566610313</v>
      </c>
    </row>
    <row r="1747" spans="1:6">
      <c r="A1747" s="1">
        <v>9126535</v>
      </c>
      <c r="B1747" s="1">
        <f t="shared" ca="1" si="126"/>
        <v>0.43519607471651722</v>
      </c>
      <c r="C1747" s="1">
        <f t="shared" ca="1" si="125"/>
        <v>12</v>
      </c>
      <c r="D1747" s="1">
        <f t="shared" ca="1" si="127"/>
        <v>292</v>
      </c>
      <c r="E1747" s="2">
        <f t="shared" ca="1" si="128"/>
        <v>43076</v>
      </c>
      <c r="F1747" s="6">
        <f t="shared" ca="1" si="129"/>
        <v>16.71211804924981</v>
      </c>
    </row>
    <row r="1748" spans="1:6">
      <c r="A1748" s="1">
        <v>9126538</v>
      </c>
      <c r="B1748" s="1">
        <f t="shared" ca="1" si="126"/>
        <v>0.8215936772143263</v>
      </c>
      <c r="C1748" s="1">
        <f t="shared" ca="1" si="125"/>
        <v>26</v>
      </c>
      <c r="D1748" s="1">
        <f t="shared" ca="1" si="127"/>
        <v>88</v>
      </c>
      <c r="E1748" s="2">
        <f t="shared" ca="1" si="128"/>
        <v>43112</v>
      </c>
      <c r="F1748" s="6">
        <f t="shared" ca="1" si="129"/>
        <v>209.86411493514578</v>
      </c>
    </row>
    <row r="1749" spans="1:6">
      <c r="A1749" s="1">
        <v>9126541</v>
      </c>
      <c r="B1749" s="1">
        <f t="shared" ca="1" si="126"/>
        <v>0.17272752268266822</v>
      </c>
      <c r="C1749" s="1">
        <f t="shared" ca="1" si="125"/>
        <v>7</v>
      </c>
      <c r="D1749" s="1">
        <f t="shared" ca="1" si="127"/>
        <v>138</v>
      </c>
      <c r="E1749" s="2">
        <f t="shared" ca="1" si="128"/>
        <v>43205</v>
      </c>
      <c r="F1749" s="6">
        <f t="shared" ca="1" si="129"/>
        <v>37.734029151881941</v>
      </c>
    </row>
    <row r="1750" spans="1:6">
      <c r="A1750" s="1">
        <v>9126544</v>
      </c>
      <c r="B1750" s="1">
        <f t="shared" ca="1" si="126"/>
        <v>0.56344183748525711</v>
      </c>
      <c r="C1750" s="1">
        <f t="shared" ca="1" si="125"/>
        <v>1</v>
      </c>
      <c r="D1750" s="1">
        <f t="shared" ca="1" si="127"/>
        <v>474</v>
      </c>
      <c r="E1750" s="2">
        <f t="shared" ca="1" si="128"/>
        <v>43071</v>
      </c>
      <c r="F1750" s="6">
        <f t="shared" ca="1" si="129"/>
        <v>15.829642717131431</v>
      </c>
    </row>
    <row r="1751" spans="1:6">
      <c r="A1751" s="1">
        <v>9126547</v>
      </c>
      <c r="B1751" s="1">
        <f t="shared" ca="1" si="126"/>
        <v>0.34092283784309374</v>
      </c>
      <c r="C1751" s="1">
        <f t="shared" ca="1" si="125"/>
        <v>97</v>
      </c>
      <c r="D1751" s="1">
        <f t="shared" ca="1" si="127"/>
        <v>460</v>
      </c>
      <c r="E1751" s="2">
        <f t="shared" ca="1" si="128"/>
        <v>42986</v>
      </c>
      <c r="F1751" s="6">
        <f t="shared" ca="1" si="129"/>
        <v>6.0793103028275723</v>
      </c>
    </row>
    <row r="1752" spans="1:6">
      <c r="A1752" s="1">
        <v>9126550</v>
      </c>
      <c r="B1752" s="1">
        <f t="shared" ca="1" si="126"/>
        <v>0.79445077234251449</v>
      </c>
      <c r="C1752" s="1">
        <f t="shared" ca="1" si="125"/>
        <v>76</v>
      </c>
      <c r="D1752" s="1">
        <f t="shared" ca="1" si="127"/>
        <v>293</v>
      </c>
      <c r="E1752" s="2">
        <f t="shared" ca="1" si="128"/>
        <v>43240</v>
      </c>
      <c r="F1752" s="6">
        <f t="shared" ca="1" si="129"/>
        <v>7.3117972770719799</v>
      </c>
    </row>
    <row r="1753" spans="1:6">
      <c r="A1753" s="1">
        <v>9126553</v>
      </c>
      <c r="B1753" s="1">
        <f t="shared" ca="1" si="126"/>
        <v>0.66249097429739179</v>
      </c>
      <c r="C1753" s="1">
        <f t="shared" ca="1" si="125"/>
        <v>194</v>
      </c>
      <c r="D1753" s="1">
        <f t="shared" ca="1" si="127"/>
        <v>174</v>
      </c>
      <c r="E1753" s="2">
        <f t="shared" ca="1" si="128"/>
        <v>42937</v>
      </c>
      <c r="F1753" s="6">
        <f t="shared" ca="1" si="129"/>
        <v>22.186318494670683</v>
      </c>
    </row>
    <row r="1754" spans="1:6">
      <c r="A1754" s="1">
        <v>9126556</v>
      </c>
      <c r="B1754" s="1">
        <f t="shared" ca="1" si="126"/>
        <v>0.26540081045017327</v>
      </c>
      <c r="C1754" s="1">
        <f t="shared" ca="1" si="125"/>
        <v>1</v>
      </c>
      <c r="D1754" s="1">
        <f t="shared" ca="1" si="127"/>
        <v>474</v>
      </c>
      <c r="E1754" s="2">
        <f t="shared" ca="1" si="128"/>
        <v>42982</v>
      </c>
      <c r="F1754" s="6">
        <f t="shared" ca="1" si="129"/>
        <v>238.85106514759752</v>
      </c>
    </row>
    <row r="1755" spans="1:6">
      <c r="A1755" s="1">
        <v>9126559</v>
      </c>
      <c r="B1755" s="1">
        <f t="shared" ca="1" si="126"/>
        <v>6.4115656836328361E-2</v>
      </c>
      <c r="C1755" s="1">
        <f t="shared" ref="C1755:C1818" ca="1" si="130">ROUND(_xlfn.GAMMA.INV(RAND(),$J$11,$J$12)*100,0)+1</f>
        <v>53</v>
      </c>
      <c r="D1755" s="1">
        <f t="shared" ca="1" si="127"/>
        <v>155</v>
      </c>
      <c r="E1755" s="2">
        <f t="shared" ca="1" si="128"/>
        <v>43101</v>
      </c>
      <c r="F1755" s="6">
        <f t="shared" ca="1" si="129"/>
        <v>205.0876467130727</v>
      </c>
    </row>
    <row r="1756" spans="1:6">
      <c r="A1756" s="1">
        <v>9126562</v>
      </c>
      <c r="B1756" s="1">
        <f t="shared" ca="1" si="126"/>
        <v>0.48080252516299404</v>
      </c>
      <c r="C1756" s="1">
        <f t="shared" ca="1" si="130"/>
        <v>6</v>
      </c>
      <c r="D1756" s="1">
        <f t="shared" ca="1" si="127"/>
        <v>208</v>
      </c>
      <c r="E1756" s="2">
        <f t="shared" ca="1" si="128"/>
        <v>43412</v>
      </c>
      <c r="F1756" s="6">
        <f t="shared" ca="1" si="129"/>
        <v>88.280294303606169</v>
      </c>
    </row>
    <row r="1757" spans="1:6">
      <c r="A1757" s="1">
        <v>9126565</v>
      </c>
      <c r="B1757" s="1">
        <f t="shared" ca="1" si="126"/>
        <v>0.12163474631299342</v>
      </c>
      <c r="C1757" s="1">
        <f t="shared" ca="1" si="130"/>
        <v>10</v>
      </c>
      <c r="D1757" s="1">
        <f t="shared" ca="1" si="127"/>
        <v>236</v>
      </c>
      <c r="E1757" s="2">
        <f t="shared" ca="1" si="128"/>
        <v>42778</v>
      </c>
      <c r="F1757" s="6">
        <f t="shared" ca="1" si="129"/>
        <v>11.885798644460042</v>
      </c>
    </row>
    <row r="1758" spans="1:6">
      <c r="A1758" s="1">
        <v>9126568</v>
      </c>
      <c r="B1758" s="1">
        <f t="shared" ca="1" si="126"/>
        <v>0.72732844859759516</v>
      </c>
      <c r="C1758" s="1">
        <f t="shared" ca="1" si="130"/>
        <v>15</v>
      </c>
      <c r="D1758" s="1">
        <f t="shared" ca="1" si="127"/>
        <v>284</v>
      </c>
      <c r="E1758" s="2">
        <f t="shared" ca="1" si="128"/>
        <v>43248</v>
      </c>
      <c r="F1758" s="6">
        <f t="shared" ca="1" si="129"/>
        <v>3.0000539689873325</v>
      </c>
    </row>
    <row r="1759" spans="1:6">
      <c r="A1759" s="1">
        <v>9126571</v>
      </c>
      <c r="B1759" s="1">
        <f t="shared" ca="1" si="126"/>
        <v>0.40502042763099932</v>
      </c>
      <c r="C1759" s="1">
        <f t="shared" ca="1" si="130"/>
        <v>6</v>
      </c>
      <c r="D1759" s="1">
        <f t="shared" ca="1" si="127"/>
        <v>208</v>
      </c>
      <c r="E1759" s="2">
        <f t="shared" ca="1" si="128"/>
        <v>43457</v>
      </c>
      <c r="F1759" s="6">
        <f t="shared" ca="1" si="129"/>
        <v>351.74584513774505</v>
      </c>
    </row>
    <row r="1760" spans="1:6">
      <c r="A1760" s="1">
        <v>9126574</v>
      </c>
      <c r="B1760" s="1">
        <f t="shared" ca="1" si="126"/>
        <v>0.32067078784222558</v>
      </c>
      <c r="C1760" s="1">
        <f t="shared" ca="1" si="130"/>
        <v>6</v>
      </c>
      <c r="D1760" s="1">
        <f t="shared" ca="1" si="127"/>
        <v>208</v>
      </c>
      <c r="E1760" s="2">
        <f t="shared" ca="1" si="128"/>
        <v>43477</v>
      </c>
      <c r="F1760" s="6">
        <f t="shared" ca="1" si="129"/>
        <v>65.399182510424794</v>
      </c>
    </row>
    <row r="1761" spans="1:6">
      <c r="A1761" s="1">
        <v>9126577</v>
      </c>
      <c r="B1761" s="1">
        <f t="shared" ca="1" si="126"/>
        <v>0.40336428077893194</v>
      </c>
      <c r="C1761" s="1">
        <f t="shared" ca="1" si="130"/>
        <v>76</v>
      </c>
      <c r="D1761" s="1">
        <f t="shared" ca="1" si="127"/>
        <v>293</v>
      </c>
      <c r="E1761" s="2">
        <f t="shared" ca="1" si="128"/>
        <v>42867</v>
      </c>
      <c r="F1761" s="6">
        <f t="shared" ca="1" si="129"/>
        <v>49.971502763384265</v>
      </c>
    </row>
    <row r="1762" spans="1:6">
      <c r="A1762" s="1">
        <v>9126580</v>
      </c>
      <c r="B1762" s="1">
        <f t="shared" ca="1" si="126"/>
        <v>3.1204798963340163E-3</v>
      </c>
      <c r="C1762" s="1">
        <f t="shared" ca="1" si="130"/>
        <v>55</v>
      </c>
      <c r="D1762" s="1">
        <f t="shared" ca="1" si="127"/>
        <v>220</v>
      </c>
      <c r="E1762" s="2">
        <f t="shared" ca="1" si="128"/>
        <v>43485</v>
      </c>
      <c r="F1762" s="6">
        <f t="shared" ca="1" si="129"/>
        <v>5.1655628198715888</v>
      </c>
    </row>
    <row r="1763" spans="1:6">
      <c r="A1763" s="1">
        <v>9126583</v>
      </c>
      <c r="B1763" s="1">
        <f t="shared" ca="1" si="126"/>
        <v>3.0962968864676643E-2</v>
      </c>
      <c r="C1763" s="1">
        <f t="shared" ca="1" si="130"/>
        <v>87</v>
      </c>
      <c r="D1763" s="1">
        <f t="shared" ca="1" si="127"/>
        <v>551</v>
      </c>
      <c r="E1763" s="2">
        <f t="shared" ca="1" si="128"/>
        <v>43029</v>
      </c>
      <c r="F1763" s="6">
        <f t="shared" ca="1" si="129"/>
        <v>12.719741580896589</v>
      </c>
    </row>
    <row r="1764" spans="1:6">
      <c r="A1764" s="1">
        <v>9126586</v>
      </c>
      <c r="B1764" s="1">
        <f t="shared" ca="1" si="126"/>
        <v>0.45564751912896506</v>
      </c>
      <c r="C1764" s="1">
        <f t="shared" ca="1" si="130"/>
        <v>14</v>
      </c>
      <c r="D1764" s="1">
        <f t="shared" ca="1" si="127"/>
        <v>576</v>
      </c>
      <c r="E1764" s="2">
        <f t="shared" ca="1" si="128"/>
        <v>43458</v>
      </c>
      <c r="F1764" s="6">
        <f t="shared" ca="1" si="129"/>
        <v>19.16854028386296</v>
      </c>
    </row>
    <row r="1765" spans="1:6">
      <c r="A1765" s="1">
        <v>9126589</v>
      </c>
      <c r="B1765" s="1">
        <f t="shared" ca="1" si="126"/>
        <v>0.25801925851913865</v>
      </c>
      <c r="C1765" s="1">
        <f t="shared" ca="1" si="130"/>
        <v>1</v>
      </c>
      <c r="D1765" s="1">
        <f t="shared" ca="1" si="127"/>
        <v>474</v>
      </c>
      <c r="E1765" s="2">
        <f t="shared" ca="1" si="128"/>
        <v>42813</v>
      </c>
      <c r="F1765" s="6">
        <f t="shared" ca="1" si="129"/>
        <v>182.05949666074821</v>
      </c>
    </row>
    <row r="1766" spans="1:6">
      <c r="A1766" s="1">
        <v>9126592</v>
      </c>
      <c r="B1766" s="1">
        <f t="shared" ca="1" si="126"/>
        <v>0.41931369134721719</v>
      </c>
      <c r="C1766" s="1">
        <f t="shared" ca="1" si="130"/>
        <v>35</v>
      </c>
      <c r="D1766" s="1">
        <f t="shared" ca="1" si="127"/>
        <v>423</v>
      </c>
      <c r="E1766" s="2">
        <f t="shared" ca="1" si="128"/>
        <v>42988</v>
      </c>
      <c r="F1766" s="6">
        <f t="shared" ca="1" si="129"/>
        <v>61.800978077333987</v>
      </c>
    </row>
    <row r="1767" spans="1:6">
      <c r="A1767" s="1">
        <v>9126595</v>
      </c>
      <c r="B1767" s="1">
        <f t="shared" ca="1" si="126"/>
        <v>0.6710136786702583</v>
      </c>
      <c r="C1767" s="1">
        <f t="shared" ca="1" si="130"/>
        <v>97</v>
      </c>
      <c r="D1767" s="1">
        <f t="shared" ca="1" si="127"/>
        <v>460</v>
      </c>
      <c r="E1767" s="2">
        <f t="shared" ca="1" si="128"/>
        <v>43484</v>
      </c>
      <c r="F1767" s="6">
        <f t="shared" ca="1" si="129"/>
        <v>13.215815094181377</v>
      </c>
    </row>
    <row r="1768" spans="1:6">
      <c r="A1768" s="1">
        <v>9126598</v>
      </c>
      <c r="B1768" s="1">
        <f t="shared" ca="1" si="126"/>
        <v>0.83934485199746944</v>
      </c>
      <c r="C1768" s="1">
        <f t="shared" ca="1" si="130"/>
        <v>69</v>
      </c>
      <c r="D1768" s="1">
        <f t="shared" ca="1" si="127"/>
        <v>142</v>
      </c>
      <c r="E1768" s="2">
        <f t="shared" ca="1" si="128"/>
        <v>42799</v>
      </c>
      <c r="F1768" s="6">
        <f t="shared" ca="1" si="129"/>
        <v>6.3320503214730604</v>
      </c>
    </row>
    <row r="1769" spans="1:6">
      <c r="A1769" s="1">
        <v>9126601</v>
      </c>
      <c r="B1769" s="1">
        <f t="shared" ca="1" si="126"/>
        <v>0.27498126864384875</v>
      </c>
      <c r="C1769" s="1">
        <f t="shared" ca="1" si="130"/>
        <v>1</v>
      </c>
      <c r="D1769" s="1">
        <f t="shared" ca="1" si="127"/>
        <v>474</v>
      </c>
      <c r="E1769" s="2">
        <f t="shared" ca="1" si="128"/>
        <v>42848</v>
      </c>
      <c r="F1769" s="6">
        <f t="shared" ca="1" si="129"/>
        <v>30.596920089791766</v>
      </c>
    </row>
    <row r="1770" spans="1:6">
      <c r="A1770" s="1">
        <v>9126604</v>
      </c>
      <c r="B1770" s="1">
        <f t="shared" ca="1" si="126"/>
        <v>0.80868988402101516</v>
      </c>
      <c r="C1770" s="1">
        <f t="shared" ca="1" si="130"/>
        <v>25</v>
      </c>
      <c r="D1770" s="1">
        <f t="shared" ca="1" si="127"/>
        <v>257</v>
      </c>
      <c r="E1770" s="2">
        <f t="shared" ca="1" si="128"/>
        <v>43224</v>
      </c>
      <c r="F1770" s="6">
        <f t="shared" ca="1" si="129"/>
        <v>13.007683554754603</v>
      </c>
    </row>
    <row r="1771" spans="1:6">
      <c r="A1771" s="1">
        <v>9126607</v>
      </c>
      <c r="B1771" s="1">
        <f t="shared" ca="1" si="126"/>
        <v>0.42263876976288317</v>
      </c>
      <c r="C1771" s="1">
        <f t="shared" ca="1" si="130"/>
        <v>28</v>
      </c>
      <c r="D1771" s="1">
        <f t="shared" ca="1" si="127"/>
        <v>401</v>
      </c>
      <c r="E1771" s="2">
        <f t="shared" ca="1" si="128"/>
        <v>43105</v>
      </c>
      <c r="F1771" s="6">
        <f t="shared" ca="1" si="129"/>
        <v>10.604847330756018</v>
      </c>
    </row>
    <row r="1772" spans="1:6">
      <c r="A1772" s="1">
        <v>9126610</v>
      </c>
      <c r="B1772" s="1">
        <f t="shared" ca="1" si="126"/>
        <v>0.24424935226585864</v>
      </c>
      <c r="C1772" s="1">
        <f t="shared" ca="1" si="130"/>
        <v>57</v>
      </c>
      <c r="D1772" s="1">
        <f t="shared" ca="1" si="127"/>
        <v>24</v>
      </c>
      <c r="E1772" s="2">
        <f t="shared" ca="1" si="128"/>
        <v>43083</v>
      </c>
      <c r="F1772" s="6">
        <f t="shared" ca="1" si="129"/>
        <v>3.6547051971284001</v>
      </c>
    </row>
    <row r="1773" spans="1:6">
      <c r="A1773" s="1">
        <v>9126613</v>
      </c>
      <c r="B1773" s="1">
        <f t="shared" ca="1" si="126"/>
        <v>0.47391148334646072</v>
      </c>
      <c r="C1773" s="1">
        <f t="shared" ca="1" si="130"/>
        <v>19</v>
      </c>
      <c r="D1773" s="1">
        <f t="shared" ca="1" si="127"/>
        <v>42</v>
      </c>
      <c r="E1773" s="2">
        <f t="shared" ca="1" si="128"/>
        <v>43281</v>
      </c>
      <c r="F1773" s="6">
        <f t="shared" ca="1" si="129"/>
        <v>14.535523242591477</v>
      </c>
    </row>
    <row r="1774" spans="1:6">
      <c r="A1774" s="1">
        <v>9126616</v>
      </c>
      <c r="B1774" s="1">
        <f t="shared" ca="1" si="126"/>
        <v>0.2466277409428379</v>
      </c>
      <c r="C1774" s="1">
        <f t="shared" ca="1" si="130"/>
        <v>4</v>
      </c>
      <c r="D1774" s="1">
        <f t="shared" ca="1" si="127"/>
        <v>493</v>
      </c>
      <c r="E1774" s="2">
        <f t="shared" ca="1" si="128"/>
        <v>43460</v>
      </c>
      <c r="F1774" s="6">
        <f t="shared" ca="1" si="129"/>
        <v>12.582770629991751</v>
      </c>
    </row>
    <row r="1775" spans="1:6">
      <c r="A1775" s="1">
        <v>9126619</v>
      </c>
      <c r="B1775" s="1">
        <f t="shared" ca="1" si="126"/>
        <v>0.32636232247647579</v>
      </c>
      <c r="C1775" s="1">
        <f t="shared" ca="1" si="130"/>
        <v>51</v>
      </c>
      <c r="D1775" s="1">
        <f t="shared" ca="1" si="127"/>
        <v>93</v>
      </c>
      <c r="E1775" s="2">
        <f t="shared" ca="1" si="128"/>
        <v>43279</v>
      </c>
      <c r="F1775" s="6">
        <f t="shared" ca="1" si="129"/>
        <v>87.575393037013825</v>
      </c>
    </row>
    <row r="1776" spans="1:6">
      <c r="A1776" s="1">
        <v>9126622</v>
      </c>
      <c r="B1776" s="1">
        <f t="shared" ca="1" si="126"/>
        <v>0.84339067352918451</v>
      </c>
      <c r="C1776" s="1">
        <f t="shared" ca="1" si="130"/>
        <v>101</v>
      </c>
      <c r="D1776" s="1">
        <f t="shared" ca="1" si="127"/>
        <v>166</v>
      </c>
      <c r="E1776" s="2">
        <f t="shared" ca="1" si="128"/>
        <v>43245</v>
      </c>
      <c r="F1776" s="6">
        <f t="shared" ca="1" si="129"/>
        <v>116.49484258273171</v>
      </c>
    </row>
    <row r="1777" spans="1:6">
      <c r="A1777" s="1">
        <v>9126625</v>
      </c>
      <c r="B1777" s="1">
        <f t="shared" ca="1" si="126"/>
        <v>0.33114936849272747</v>
      </c>
      <c r="C1777" s="1">
        <f t="shared" ca="1" si="130"/>
        <v>47</v>
      </c>
      <c r="D1777" s="1">
        <f t="shared" ca="1" si="127"/>
        <v>515</v>
      </c>
      <c r="E1777" s="2">
        <f t="shared" ca="1" si="128"/>
        <v>43158</v>
      </c>
      <c r="F1777" s="6">
        <f t="shared" ca="1" si="129"/>
        <v>3.9055679016205151</v>
      </c>
    </row>
    <row r="1778" spans="1:6">
      <c r="A1778" s="1">
        <v>9126628</v>
      </c>
      <c r="B1778" s="1">
        <f t="shared" ca="1" si="126"/>
        <v>0.48907557769320065</v>
      </c>
      <c r="C1778" s="1">
        <f t="shared" ca="1" si="130"/>
        <v>4</v>
      </c>
      <c r="D1778" s="1">
        <f t="shared" ca="1" si="127"/>
        <v>493</v>
      </c>
      <c r="E1778" s="2">
        <f t="shared" ca="1" si="128"/>
        <v>43061</v>
      </c>
      <c r="F1778" s="6">
        <f t="shared" ca="1" si="129"/>
        <v>44.998934201044925</v>
      </c>
    </row>
    <row r="1779" spans="1:6">
      <c r="A1779" s="1">
        <v>9126631</v>
      </c>
      <c r="B1779" s="1">
        <f t="shared" ca="1" si="126"/>
        <v>0.61068800429825276</v>
      </c>
      <c r="C1779" s="1">
        <f t="shared" ca="1" si="130"/>
        <v>34</v>
      </c>
      <c r="D1779" s="1">
        <f t="shared" ca="1" si="127"/>
        <v>503</v>
      </c>
      <c r="E1779" s="2">
        <f t="shared" ca="1" si="128"/>
        <v>43368</v>
      </c>
      <c r="F1779" s="6">
        <f t="shared" ca="1" si="129"/>
        <v>9.7297752684157164</v>
      </c>
    </row>
    <row r="1780" spans="1:6">
      <c r="A1780" s="1">
        <v>9126634</v>
      </c>
      <c r="B1780" s="1">
        <f t="shared" ca="1" si="126"/>
        <v>0.27579901472961987</v>
      </c>
      <c r="C1780" s="1">
        <f t="shared" ca="1" si="130"/>
        <v>25</v>
      </c>
      <c r="D1780" s="1">
        <f t="shared" ca="1" si="127"/>
        <v>257</v>
      </c>
      <c r="E1780" s="2">
        <f t="shared" ca="1" si="128"/>
        <v>43145</v>
      </c>
      <c r="F1780" s="6">
        <f t="shared" ca="1" si="129"/>
        <v>139.06433649539414</v>
      </c>
    </row>
    <row r="1781" spans="1:6">
      <c r="A1781" s="1">
        <v>9126637</v>
      </c>
      <c r="B1781" s="1">
        <f t="shared" ca="1" si="126"/>
        <v>0.85369505967740589</v>
      </c>
      <c r="C1781" s="1">
        <f t="shared" ca="1" si="130"/>
        <v>181</v>
      </c>
      <c r="D1781" s="1">
        <f t="shared" ca="1" si="127"/>
        <v>470</v>
      </c>
      <c r="E1781" s="2">
        <f t="shared" ca="1" si="128"/>
        <v>42988</v>
      </c>
      <c r="F1781" s="6">
        <f t="shared" ca="1" si="129"/>
        <v>243.80203641950689</v>
      </c>
    </row>
    <row r="1782" spans="1:6">
      <c r="A1782" s="1">
        <v>9126640</v>
      </c>
      <c r="B1782" s="1">
        <f t="shared" ca="1" si="126"/>
        <v>0.4692879826991736</v>
      </c>
      <c r="C1782" s="1">
        <f t="shared" ca="1" si="130"/>
        <v>20</v>
      </c>
      <c r="D1782" s="1">
        <f t="shared" ca="1" si="127"/>
        <v>444</v>
      </c>
      <c r="E1782" s="2">
        <f t="shared" ca="1" si="128"/>
        <v>43028</v>
      </c>
      <c r="F1782" s="6">
        <f t="shared" ca="1" si="129"/>
        <v>15.178160751178545</v>
      </c>
    </row>
    <row r="1783" spans="1:6">
      <c r="A1783" s="1">
        <v>9126643</v>
      </c>
      <c r="B1783" s="1">
        <f t="shared" ca="1" si="126"/>
        <v>0.65451711946961466</v>
      </c>
      <c r="C1783" s="1">
        <f t="shared" ca="1" si="130"/>
        <v>4</v>
      </c>
      <c r="D1783" s="1">
        <f t="shared" ca="1" si="127"/>
        <v>493</v>
      </c>
      <c r="E1783" s="2">
        <f t="shared" ca="1" si="128"/>
        <v>42924</v>
      </c>
      <c r="F1783" s="6">
        <f t="shared" ca="1" si="129"/>
        <v>115.57390633955251</v>
      </c>
    </row>
    <row r="1784" spans="1:6">
      <c r="A1784" s="1">
        <v>9126646</v>
      </c>
      <c r="B1784" s="1">
        <f t="shared" ca="1" si="126"/>
        <v>0.56306225325116344</v>
      </c>
      <c r="C1784" s="1">
        <f t="shared" ca="1" si="130"/>
        <v>3</v>
      </c>
      <c r="D1784" s="1">
        <f t="shared" ca="1" si="127"/>
        <v>263</v>
      </c>
      <c r="E1784" s="2">
        <f t="shared" ca="1" si="128"/>
        <v>43020</v>
      </c>
      <c r="F1784" s="6">
        <f t="shared" ca="1" si="129"/>
        <v>17.247373924650933</v>
      </c>
    </row>
    <row r="1785" spans="1:6">
      <c r="A1785" s="1">
        <v>9126649</v>
      </c>
      <c r="B1785" s="1">
        <f t="shared" ca="1" si="126"/>
        <v>0.24571329709240164</v>
      </c>
      <c r="C1785" s="1">
        <f t="shared" ca="1" si="130"/>
        <v>1</v>
      </c>
      <c r="D1785" s="1">
        <f t="shared" ca="1" si="127"/>
        <v>474</v>
      </c>
      <c r="E1785" s="2">
        <f t="shared" ca="1" si="128"/>
        <v>43458</v>
      </c>
      <c r="F1785" s="6">
        <f t="shared" ca="1" si="129"/>
        <v>6.9520799463889738</v>
      </c>
    </row>
    <row r="1786" spans="1:6">
      <c r="A1786" s="1">
        <v>9126652</v>
      </c>
      <c r="B1786" s="1">
        <f t="shared" ca="1" si="126"/>
        <v>0.73923040934048501</v>
      </c>
      <c r="C1786" s="1">
        <f t="shared" ca="1" si="130"/>
        <v>1</v>
      </c>
      <c r="D1786" s="1">
        <f t="shared" ca="1" si="127"/>
        <v>474</v>
      </c>
      <c r="E1786" s="2">
        <f t="shared" ca="1" si="128"/>
        <v>42885</v>
      </c>
      <c r="F1786" s="6">
        <f t="shared" ca="1" si="129"/>
        <v>24.647325599150243</v>
      </c>
    </row>
    <row r="1787" spans="1:6">
      <c r="A1787" s="1">
        <v>9126655</v>
      </c>
      <c r="B1787" s="1">
        <f t="shared" ca="1" si="126"/>
        <v>0.97007557866806449</v>
      </c>
      <c r="C1787" s="1">
        <f t="shared" ca="1" si="130"/>
        <v>5</v>
      </c>
      <c r="D1787" s="1">
        <f t="shared" ca="1" si="127"/>
        <v>363</v>
      </c>
      <c r="E1787" s="2">
        <f t="shared" ca="1" si="128"/>
        <v>43487</v>
      </c>
      <c r="F1787" s="6">
        <f t="shared" ca="1" si="129"/>
        <v>12.936815942894563</v>
      </c>
    </row>
    <row r="1788" spans="1:6">
      <c r="A1788" s="1">
        <v>9126658</v>
      </c>
      <c r="B1788" s="1">
        <f t="shared" ca="1" si="126"/>
        <v>0.22396641182201349</v>
      </c>
      <c r="C1788" s="1">
        <f t="shared" ca="1" si="130"/>
        <v>39</v>
      </c>
      <c r="D1788" s="1">
        <f t="shared" ca="1" si="127"/>
        <v>402</v>
      </c>
      <c r="E1788" s="2">
        <f t="shared" ca="1" si="128"/>
        <v>43319</v>
      </c>
      <c r="F1788" s="6">
        <f t="shared" ca="1" si="129"/>
        <v>45.707183585061969</v>
      </c>
    </row>
    <row r="1789" spans="1:6">
      <c r="A1789" s="1">
        <v>9126661</v>
      </c>
      <c r="B1789" s="1">
        <f t="shared" ca="1" si="126"/>
        <v>5.5423589098085313E-2</v>
      </c>
      <c r="C1789" s="1">
        <f t="shared" ca="1" si="130"/>
        <v>188</v>
      </c>
      <c r="D1789" s="1">
        <f t="shared" ca="1" si="127"/>
        <v>25</v>
      </c>
      <c r="E1789" s="2">
        <f t="shared" ca="1" si="128"/>
        <v>43472</v>
      </c>
      <c r="F1789" s="6">
        <f t="shared" ca="1" si="129"/>
        <v>118.2332591863364</v>
      </c>
    </row>
    <row r="1790" spans="1:6">
      <c r="A1790" s="1">
        <v>9126664</v>
      </c>
      <c r="B1790" s="1">
        <f t="shared" ca="1" si="126"/>
        <v>0.42445646026184614</v>
      </c>
      <c r="C1790" s="1">
        <f t="shared" ca="1" si="130"/>
        <v>40</v>
      </c>
      <c r="D1790" s="1">
        <f t="shared" ca="1" si="127"/>
        <v>426</v>
      </c>
      <c r="E1790" s="2">
        <f t="shared" ca="1" si="128"/>
        <v>43440</v>
      </c>
      <c r="F1790" s="6">
        <f t="shared" ca="1" si="129"/>
        <v>13.9251983469186</v>
      </c>
    </row>
    <row r="1791" spans="1:6">
      <c r="A1791" s="1">
        <v>9126667</v>
      </c>
      <c r="B1791" s="1">
        <f t="shared" ca="1" si="126"/>
        <v>0.64149950887090001</v>
      </c>
      <c r="C1791" s="1">
        <f t="shared" ca="1" si="130"/>
        <v>330</v>
      </c>
      <c r="D1791" s="1">
        <f t="shared" ca="1" si="127"/>
        <v>311</v>
      </c>
      <c r="E1791" s="2">
        <f t="shared" ca="1" si="128"/>
        <v>43404</v>
      </c>
      <c r="F1791" s="6">
        <f t="shared" ca="1" si="129"/>
        <v>172.38909603393489</v>
      </c>
    </row>
    <row r="1792" spans="1:6">
      <c r="A1792" s="1">
        <v>9126670</v>
      </c>
      <c r="B1792" s="1">
        <f t="shared" ca="1" si="126"/>
        <v>0.12146290003434157</v>
      </c>
      <c r="C1792" s="1">
        <f t="shared" ca="1" si="130"/>
        <v>63</v>
      </c>
      <c r="D1792" s="1">
        <f t="shared" ca="1" si="127"/>
        <v>571</v>
      </c>
      <c r="E1792" s="2">
        <f t="shared" ca="1" si="128"/>
        <v>42861</v>
      </c>
      <c r="F1792" s="6">
        <f t="shared" ca="1" si="129"/>
        <v>3.3985181287198536</v>
      </c>
    </row>
    <row r="1793" spans="1:6">
      <c r="A1793" s="1">
        <v>9126673</v>
      </c>
      <c r="B1793" s="1">
        <f t="shared" ca="1" si="126"/>
        <v>0.50538127157028734</v>
      </c>
      <c r="C1793" s="1">
        <f t="shared" ca="1" si="130"/>
        <v>17</v>
      </c>
      <c r="D1793" s="1">
        <f t="shared" ca="1" si="127"/>
        <v>165</v>
      </c>
      <c r="E1793" s="2">
        <f t="shared" ca="1" si="128"/>
        <v>42889</v>
      </c>
      <c r="F1793" s="6">
        <f t="shared" ca="1" si="129"/>
        <v>6.8913924926043819</v>
      </c>
    </row>
    <row r="1794" spans="1:6">
      <c r="A1794" s="1">
        <v>9126676</v>
      </c>
      <c r="B1794" s="1">
        <f t="shared" ref="B1794:B1857" ca="1" si="131">RAND()</f>
        <v>0.88645751749137847</v>
      </c>
      <c r="C1794" s="1">
        <f t="shared" ca="1" si="130"/>
        <v>1</v>
      </c>
      <c r="D1794" s="1">
        <f t="shared" ca="1" si="127"/>
        <v>474</v>
      </c>
      <c r="E1794" s="2">
        <f t="shared" ca="1" si="128"/>
        <v>42890</v>
      </c>
      <c r="F1794" s="6">
        <f t="shared" ca="1" si="129"/>
        <v>7.8914874476584433</v>
      </c>
    </row>
    <row r="1795" spans="1:6">
      <c r="A1795" s="1">
        <v>9126679</v>
      </c>
      <c r="B1795" s="1">
        <f t="shared" ca="1" si="131"/>
        <v>0.6961781485912929</v>
      </c>
      <c r="C1795" s="1">
        <f t="shared" ca="1" si="130"/>
        <v>46</v>
      </c>
      <c r="D1795" s="1">
        <f t="shared" ref="D1795:D1858" ca="1" si="132">VLOOKUP(SMALL($B$2:$B$601,C1795),$B$2:$C$601,2,FALSE)</f>
        <v>192</v>
      </c>
      <c r="E1795" s="2">
        <f t="shared" ref="E1795:E1858" ca="1" si="133">RANDBETWEEN("1/1/17","2/1/19")</f>
        <v>43250</v>
      </c>
      <c r="F1795" s="6">
        <f t="shared" ref="F1795:F1858" ca="1" si="134">_xlfn.GAMMA.INV(RAND(),$J$6,$J$7)*100+3</f>
        <v>7.7936892443638905</v>
      </c>
    </row>
    <row r="1796" spans="1:6">
      <c r="A1796" s="1">
        <v>9126682</v>
      </c>
      <c r="B1796" s="1">
        <f t="shared" ca="1" si="131"/>
        <v>0.14169026114456151</v>
      </c>
      <c r="C1796" s="1">
        <f t="shared" ca="1" si="130"/>
        <v>33</v>
      </c>
      <c r="D1796" s="1">
        <f t="shared" ca="1" si="132"/>
        <v>501</v>
      </c>
      <c r="E1796" s="2">
        <f t="shared" ca="1" si="133"/>
        <v>43145</v>
      </c>
      <c r="F1796" s="6">
        <f t="shared" ca="1" si="134"/>
        <v>213.25895060164811</v>
      </c>
    </row>
    <row r="1797" spans="1:6">
      <c r="A1797" s="1">
        <v>9126685</v>
      </c>
      <c r="B1797" s="1">
        <f t="shared" ca="1" si="131"/>
        <v>0.74058508143975343</v>
      </c>
      <c r="C1797" s="1">
        <f t="shared" ca="1" si="130"/>
        <v>12</v>
      </c>
      <c r="D1797" s="1">
        <f t="shared" ca="1" si="132"/>
        <v>292</v>
      </c>
      <c r="E1797" s="2">
        <f t="shared" ca="1" si="133"/>
        <v>43259</v>
      </c>
      <c r="F1797" s="6">
        <f t="shared" ca="1" si="134"/>
        <v>7.8025430522240233</v>
      </c>
    </row>
    <row r="1798" spans="1:6">
      <c r="A1798" s="1">
        <v>9126688</v>
      </c>
      <c r="B1798" s="1">
        <f t="shared" ca="1" si="131"/>
        <v>0.3303224382896417</v>
      </c>
      <c r="C1798" s="1">
        <f t="shared" ca="1" si="130"/>
        <v>27</v>
      </c>
      <c r="D1798" s="1">
        <f t="shared" ca="1" si="132"/>
        <v>398</v>
      </c>
      <c r="E1798" s="2">
        <f t="shared" ca="1" si="133"/>
        <v>42740</v>
      </c>
      <c r="F1798" s="6">
        <f t="shared" ca="1" si="134"/>
        <v>160.05131386619374</v>
      </c>
    </row>
    <row r="1799" spans="1:6">
      <c r="A1799" s="1">
        <v>9126691</v>
      </c>
      <c r="B1799" s="1">
        <f t="shared" ca="1" si="131"/>
        <v>0.45791401491800965</v>
      </c>
      <c r="C1799" s="1">
        <f t="shared" ca="1" si="130"/>
        <v>46</v>
      </c>
      <c r="D1799" s="1">
        <f t="shared" ca="1" si="132"/>
        <v>192</v>
      </c>
      <c r="E1799" s="2">
        <f t="shared" ca="1" si="133"/>
        <v>43165</v>
      </c>
      <c r="F1799" s="6">
        <f t="shared" ca="1" si="134"/>
        <v>16.265578780228552</v>
      </c>
    </row>
    <row r="1800" spans="1:6">
      <c r="A1800" s="1">
        <v>9126694</v>
      </c>
      <c r="B1800" s="1">
        <f t="shared" ca="1" si="131"/>
        <v>0.38921520184571112</v>
      </c>
      <c r="C1800" s="1">
        <f t="shared" ca="1" si="130"/>
        <v>1</v>
      </c>
      <c r="D1800" s="1">
        <f t="shared" ca="1" si="132"/>
        <v>474</v>
      </c>
      <c r="E1800" s="2">
        <f t="shared" ca="1" si="133"/>
        <v>43241</v>
      </c>
      <c r="F1800" s="6">
        <f t="shared" ca="1" si="134"/>
        <v>6.1009205128598412</v>
      </c>
    </row>
    <row r="1801" spans="1:6">
      <c r="A1801" s="1">
        <v>9126697</v>
      </c>
      <c r="B1801" s="1">
        <f t="shared" ca="1" si="131"/>
        <v>0.12854239698802983</v>
      </c>
      <c r="C1801" s="1">
        <f t="shared" ca="1" si="130"/>
        <v>33</v>
      </c>
      <c r="D1801" s="1">
        <f t="shared" ca="1" si="132"/>
        <v>501</v>
      </c>
      <c r="E1801" s="2">
        <f t="shared" ca="1" si="133"/>
        <v>43263</v>
      </c>
      <c r="F1801" s="6">
        <f t="shared" ca="1" si="134"/>
        <v>85.820533234860633</v>
      </c>
    </row>
    <row r="1802" spans="1:6">
      <c r="A1802" s="1">
        <v>9126700</v>
      </c>
      <c r="B1802" s="1">
        <f t="shared" ca="1" si="131"/>
        <v>0.60911963879937381</v>
      </c>
      <c r="C1802" s="1">
        <f t="shared" ca="1" si="130"/>
        <v>93</v>
      </c>
      <c r="D1802" s="1">
        <f t="shared" ca="1" si="132"/>
        <v>518</v>
      </c>
      <c r="E1802" s="2">
        <f t="shared" ca="1" si="133"/>
        <v>43472</v>
      </c>
      <c r="F1802" s="6">
        <f t="shared" ca="1" si="134"/>
        <v>31.430318798422132</v>
      </c>
    </row>
    <row r="1803" spans="1:6">
      <c r="A1803" s="1">
        <v>9126703</v>
      </c>
      <c r="B1803" s="1">
        <f t="shared" ca="1" si="131"/>
        <v>4.7083402426930321E-2</v>
      </c>
      <c r="C1803" s="1">
        <f t="shared" ca="1" si="130"/>
        <v>3</v>
      </c>
      <c r="D1803" s="1">
        <f t="shared" ca="1" si="132"/>
        <v>263</v>
      </c>
      <c r="E1803" s="2">
        <f t="shared" ca="1" si="133"/>
        <v>43071</v>
      </c>
      <c r="F1803" s="6">
        <f t="shared" ca="1" si="134"/>
        <v>44.103246760518068</v>
      </c>
    </row>
    <row r="1804" spans="1:6">
      <c r="A1804" s="1">
        <v>9126706</v>
      </c>
      <c r="B1804" s="1">
        <f t="shared" ca="1" si="131"/>
        <v>0.24587234761992016</v>
      </c>
      <c r="C1804" s="1">
        <f t="shared" ca="1" si="130"/>
        <v>32</v>
      </c>
      <c r="D1804" s="1">
        <f t="shared" ca="1" si="132"/>
        <v>497</v>
      </c>
      <c r="E1804" s="2">
        <f t="shared" ca="1" si="133"/>
        <v>43129</v>
      </c>
      <c r="F1804" s="6">
        <f t="shared" ca="1" si="134"/>
        <v>41.332640111396749</v>
      </c>
    </row>
    <row r="1805" spans="1:6">
      <c r="A1805" s="1">
        <v>9126709</v>
      </c>
      <c r="B1805" s="1">
        <f t="shared" ca="1" si="131"/>
        <v>0.56101461018284793</v>
      </c>
      <c r="C1805" s="1">
        <f t="shared" ca="1" si="130"/>
        <v>132</v>
      </c>
      <c r="D1805" s="1">
        <f t="shared" ca="1" si="132"/>
        <v>32</v>
      </c>
      <c r="E1805" s="2">
        <f t="shared" ca="1" si="133"/>
        <v>42896</v>
      </c>
      <c r="F1805" s="6">
        <f t="shared" ca="1" si="134"/>
        <v>49.815705070755605</v>
      </c>
    </row>
    <row r="1806" spans="1:6">
      <c r="A1806" s="1">
        <v>9126712</v>
      </c>
      <c r="B1806" s="1">
        <f t="shared" ca="1" si="131"/>
        <v>0.71872650859324627</v>
      </c>
      <c r="C1806" s="1">
        <f t="shared" ca="1" si="130"/>
        <v>10</v>
      </c>
      <c r="D1806" s="1">
        <f t="shared" ca="1" si="132"/>
        <v>236</v>
      </c>
      <c r="E1806" s="2">
        <f t="shared" ca="1" si="133"/>
        <v>42860</v>
      </c>
      <c r="F1806" s="6">
        <f t="shared" ca="1" si="134"/>
        <v>285.07590121789173</v>
      </c>
    </row>
    <row r="1807" spans="1:6">
      <c r="A1807" s="1">
        <v>9126715</v>
      </c>
      <c r="B1807" s="1">
        <f t="shared" ca="1" si="131"/>
        <v>0.92468126910233561</v>
      </c>
      <c r="C1807" s="1">
        <f t="shared" ca="1" si="130"/>
        <v>19</v>
      </c>
      <c r="D1807" s="1">
        <f t="shared" ca="1" si="132"/>
        <v>42</v>
      </c>
      <c r="E1807" s="2">
        <f t="shared" ca="1" si="133"/>
        <v>43382</v>
      </c>
      <c r="F1807" s="6">
        <f t="shared" ca="1" si="134"/>
        <v>38.251193203785085</v>
      </c>
    </row>
    <row r="1808" spans="1:6">
      <c r="A1808" s="1">
        <v>9126718</v>
      </c>
      <c r="B1808" s="1">
        <f t="shared" ca="1" si="131"/>
        <v>0.59489455969496707</v>
      </c>
      <c r="C1808" s="1">
        <f t="shared" ca="1" si="130"/>
        <v>98</v>
      </c>
      <c r="D1808" s="1">
        <f t="shared" ca="1" si="132"/>
        <v>139</v>
      </c>
      <c r="E1808" s="2">
        <f t="shared" ca="1" si="133"/>
        <v>42736</v>
      </c>
      <c r="F1808" s="6">
        <f t="shared" ca="1" si="134"/>
        <v>222.52917745851974</v>
      </c>
    </row>
    <row r="1809" spans="1:6">
      <c r="A1809" s="1">
        <v>9126721</v>
      </c>
      <c r="B1809" s="1">
        <f t="shared" ca="1" si="131"/>
        <v>5.791554616614214E-2</v>
      </c>
      <c r="C1809" s="1">
        <f t="shared" ca="1" si="130"/>
        <v>3</v>
      </c>
      <c r="D1809" s="1">
        <f t="shared" ca="1" si="132"/>
        <v>263</v>
      </c>
      <c r="E1809" s="2">
        <f t="shared" ca="1" si="133"/>
        <v>42973</v>
      </c>
      <c r="F1809" s="6">
        <f t="shared" ca="1" si="134"/>
        <v>34.073177570111937</v>
      </c>
    </row>
    <row r="1810" spans="1:6">
      <c r="A1810" s="1">
        <v>9126724</v>
      </c>
      <c r="B1810" s="1">
        <f t="shared" ca="1" si="131"/>
        <v>0.1321252806502673</v>
      </c>
      <c r="C1810" s="1">
        <f t="shared" ca="1" si="130"/>
        <v>8</v>
      </c>
      <c r="D1810" s="1">
        <f t="shared" ca="1" si="132"/>
        <v>456</v>
      </c>
      <c r="E1810" s="2">
        <f t="shared" ca="1" si="133"/>
        <v>43119</v>
      </c>
      <c r="F1810" s="6">
        <f t="shared" ca="1" si="134"/>
        <v>89.799141116666505</v>
      </c>
    </row>
    <row r="1811" spans="1:6">
      <c r="A1811" s="1">
        <v>9126727</v>
      </c>
      <c r="B1811" s="1">
        <f t="shared" ca="1" si="131"/>
        <v>0.75481778250877563</v>
      </c>
      <c r="C1811" s="1">
        <f t="shared" ca="1" si="130"/>
        <v>222</v>
      </c>
      <c r="D1811" s="1">
        <f t="shared" ca="1" si="132"/>
        <v>111</v>
      </c>
      <c r="E1811" s="2">
        <f t="shared" ca="1" si="133"/>
        <v>43052</v>
      </c>
      <c r="F1811" s="6">
        <f t="shared" ca="1" si="134"/>
        <v>29.940400152342015</v>
      </c>
    </row>
    <row r="1812" spans="1:6">
      <c r="A1812" s="1">
        <v>9126730</v>
      </c>
      <c r="B1812" s="1">
        <f t="shared" ca="1" si="131"/>
        <v>0.35941132862029535</v>
      </c>
      <c r="C1812" s="1">
        <f t="shared" ca="1" si="130"/>
        <v>4</v>
      </c>
      <c r="D1812" s="1">
        <f t="shared" ca="1" si="132"/>
        <v>493</v>
      </c>
      <c r="E1812" s="2">
        <f t="shared" ca="1" si="133"/>
        <v>43451</v>
      </c>
      <c r="F1812" s="6">
        <f t="shared" ca="1" si="134"/>
        <v>21.652096392425342</v>
      </c>
    </row>
    <row r="1813" spans="1:6">
      <c r="A1813" s="1">
        <v>9126733</v>
      </c>
      <c r="B1813" s="1">
        <f t="shared" ca="1" si="131"/>
        <v>0.27156951797342987</v>
      </c>
      <c r="C1813" s="1">
        <f t="shared" ca="1" si="130"/>
        <v>2</v>
      </c>
      <c r="D1813" s="1">
        <f t="shared" ca="1" si="132"/>
        <v>30</v>
      </c>
      <c r="E1813" s="2">
        <f t="shared" ca="1" si="133"/>
        <v>43080</v>
      </c>
      <c r="F1813" s="6">
        <f t="shared" ca="1" si="134"/>
        <v>25.966664009305443</v>
      </c>
    </row>
    <row r="1814" spans="1:6">
      <c r="A1814" s="1">
        <v>9126736</v>
      </c>
      <c r="B1814" s="1">
        <f t="shared" ca="1" si="131"/>
        <v>0.85225137955033681</v>
      </c>
      <c r="C1814" s="1">
        <f t="shared" ca="1" si="130"/>
        <v>7</v>
      </c>
      <c r="D1814" s="1">
        <f t="shared" ca="1" si="132"/>
        <v>138</v>
      </c>
      <c r="E1814" s="2">
        <f t="shared" ca="1" si="133"/>
        <v>43497</v>
      </c>
      <c r="F1814" s="6">
        <f t="shared" ca="1" si="134"/>
        <v>3.3352470714304236</v>
      </c>
    </row>
    <row r="1815" spans="1:6">
      <c r="A1815" s="1">
        <v>9126739</v>
      </c>
      <c r="B1815" s="1">
        <f t="shared" ca="1" si="131"/>
        <v>0.23973799108805038</v>
      </c>
      <c r="C1815" s="1">
        <f t="shared" ca="1" si="130"/>
        <v>142</v>
      </c>
      <c r="D1815" s="1">
        <f t="shared" ca="1" si="132"/>
        <v>98</v>
      </c>
      <c r="E1815" s="2">
        <f t="shared" ca="1" si="133"/>
        <v>43236</v>
      </c>
      <c r="F1815" s="6">
        <f t="shared" ca="1" si="134"/>
        <v>11.020815000215373</v>
      </c>
    </row>
    <row r="1816" spans="1:6">
      <c r="A1816" s="1">
        <v>9126742</v>
      </c>
      <c r="B1816" s="1">
        <f t="shared" ca="1" si="131"/>
        <v>0.77222152975685199</v>
      </c>
      <c r="C1816" s="1">
        <f t="shared" ca="1" si="130"/>
        <v>56</v>
      </c>
      <c r="D1816" s="1">
        <f t="shared" ca="1" si="132"/>
        <v>57</v>
      </c>
      <c r="E1816" s="2">
        <f t="shared" ca="1" si="133"/>
        <v>43465</v>
      </c>
      <c r="F1816" s="6">
        <f t="shared" ca="1" si="134"/>
        <v>4.9118336829290348</v>
      </c>
    </row>
    <row r="1817" spans="1:6">
      <c r="A1817" s="1">
        <v>9126745</v>
      </c>
      <c r="B1817" s="1">
        <f t="shared" ca="1" si="131"/>
        <v>0.5044137559493973</v>
      </c>
      <c r="C1817" s="1">
        <f t="shared" ca="1" si="130"/>
        <v>16</v>
      </c>
      <c r="D1817" s="1">
        <f t="shared" ca="1" si="132"/>
        <v>465</v>
      </c>
      <c r="E1817" s="2">
        <f t="shared" ca="1" si="133"/>
        <v>42770</v>
      </c>
      <c r="F1817" s="6">
        <f t="shared" ca="1" si="134"/>
        <v>22.30867646894248</v>
      </c>
    </row>
    <row r="1818" spans="1:6">
      <c r="A1818" s="1">
        <v>9126748</v>
      </c>
      <c r="B1818" s="1">
        <f t="shared" ca="1" si="131"/>
        <v>0.24617024792137054</v>
      </c>
      <c r="C1818" s="1">
        <f t="shared" ca="1" si="130"/>
        <v>85</v>
      </c>
      <c r="D1818" s="1">
        <f t="shared" ca="1" si="132"/>
        <v>81</v>
      </c>
      <c r="E1818" s="2">
        <f t="shared" ca="1" si="133"/>
        <v>43106</v>
      </c>
      <c r="F1818" s="6">
        <f t="shared" ca="1" si="134"/>
        <v>105.44455630410056</v>
      </c>
    </row>
    <row r="1819" spans="1:6">
      <c r="A1819" s="1">
        <v>9126751</v>
      </c>
      <c r="B1819" s="1">
        <f t="shared" ca="1" si="131"/>
        <v>0.31591182720950839</v>
      </c>
      <c r="C1819" s="1">
        <f t="shared" ref="C1819:C1882" ca="1" si="135">ROUND(_xlfn.GAMMA.INV(RAND(),$J$11,$J$12)*100,0)+1</f>
        <v>22</v>
      </c>
      <c r="D1819" s="1">
        <f t="shared" ca="1" si="132"/>
        <v>413</v>
      </c>
      <c r="E1819" s="2">
        <f t="shared" ca="1" si="133"/>
        <v>43121</v>
      </c>
      <c r="F1819" s="6">
        <f t="shared" ca="1" si="134"/>
        <v>3.7988131098330675</v>
      </c>
    </row>
    <row r="1820" spans="1:6">
      <c r="A1820" s="1">
        <v>9126754</v>
      </c>
      <c r="B1820" s="1">
        <f t="shared" ca="1" si="131"/>
        <v>0.60084200873628935</v>
      </c>
      <c r="C1820" s="1">
        <f t="shared" ca="1" si="135"/>
        <v>12</v>
      </c>
      <c r="D1820" s="1">
        <f t="shared" ca="1" si="132"/>
        <v>292</v>
      </c>
      <c r="E1820" s="2">
        <f t="shared" ca="1" si="133"/>
        <v>42746</v>
      </c>
      <c r="F1820" s="6">
        <f t="shared" ca="1" si="134"/>
        <v>140.44483144825205</v>
      </c>
    </row>
    <row r="1821" spans="1:6">
      <c r="A1821" s="1">
        <v>9126757</v>
      </c>
      <c r="B1821" s="1">
        <f t="shared" ca="1" si="131"/>
        <v>0.86377167327736315</v>
      </c>
      <c r="C1821" s="1">
        <f t="shared" ca="1" si="135"/>
        <v>11</v>
      </c>
      <c r="D1821" s="1">
        <f t="shared" ca="1" si="132"/>
        <v>437</v>
      </c>
      <c r="E1821" s="2">
        <f t="shared" ca="1" si="133"/>
        <v>42805</v>
      </c>
      <c r="F1821" s="6">
        <f t="shared" ca="1" si="134"/>
        <v>20.954127920522119</v>
      </c>
    </row>
    <row r="1822" spans="1:6">
      <c r="A1822" s="1">
        <v>9126760</v>
      </c>
      <c r="B1822" s="1">
        <f t="shared" ca="1" si="131"/>
        <v>0.83989968844825869</v>
      </c>
      <c r="C1822" s="1">
        <f t="shared" ca="1" si="135"/>
        <v>72</v>
      </c>
      <c r="D1822" s="1">
        <f t="shared" ca="1" si="132"/>
        <v>267</v>
      </c>
      <c r="E1822" s="2">
        <f t="shared" ca="1" si="133"/>
        <v>42984</v>
      </c>
      <c r="F1822" s="6">
        <f t="shared" ca="1" si="134"/>
        <v>30.867163723995077</v>
      </c>
    </row>
    <row r="1823" spans="1:6">
      <c r="A1823" s="1">
        <v>9126763</v>
      </c>
      <c r="B1823" s="1">
        <f t="shared" ca="1" si="131"/>
        <v>1.7868692505198736E-2</v>
      </c>
      <c r="C1823" s="1">
        <f t="shared" ca="1" si="135"/>
        <v>83</v>
      </c>
      <c r="D1823" s="1">
        <f t="shared" ca="1" si="132"/>
        <v>47</v>
      </c>
      <c r="E1823" s="2">
        <f t="shared" ca="1" si="133"/>
        <v>43105</v>
      </c>
      <c r="F1823" s="6">
        <f t="shared" ca="1" si="134"/>
        <v>63.627480655081797</v>
      </c>
    </row>
    <row r="1824" spans="1:6">
      <c r="A1824" s="1">
        <v>9126766</v>
      </c>
      <c r="B1824" s="1">
        <f t="shared" ca="1" si="131"/>
        <v>0.3926765227503638</v>
      </c>
      <c r="C1824" s="1">
        <f t="shared" ca="1" si="135"/>
        <v>3</v>
      </c>
      <c r="D1824" s="1">
        <f t="shared" ca="1" si="132"/>
        <v>263</v>
      </c>
      <c r="E1824" s="2">
        <f t="shared" ca="1" si="133"/>
        <v>43161</v>
      </c>
      <c r="F1824" s="6">
        <f t="shared" ca="1" si="134"/>
        <v>7.3299610546871516</v>
      </c>
    </row>
    <row r="1825" spans="1:6">
      <c r="A1825" s="1">
        <v>9126769</v>
      </c>
      <c r="B1825" s="1">
        <f t="shared" ca="1" si="131"/>
        <v>0.72210093720941537</v>
      </c>
      <c r="C1825" s="1">
        <f t="shared" ca="1" si="135"/>
        <v>1</v>
      </c>
      <c r="D1825" s="1">
        <f t="shared" ca="1" si="132"/>
        <v>474</v>
      </c>
      <c r="E1825" s="2">
        <f t="shared" ca="1" si="133"/>
        <v>42882</v>
      </c>
      <c r="F1825" s="6">
        <f t="shared" ca="1" si="134"/>
        <v>100.77441667244882</v>
      </c>
    </row>
    <row r="1826" spans="1:6">
      <c r="A1826" s="1">
        <v>9126772</v>
      </c>
      <c r="B1826" s="1">
        <f t="shared" ca="1" si="131"/>
        <v>0.9125633663872772</v>
      </c>
      <c r="C1826" s="1">
        <f t="shared" ca="1" si="135"/>
        <v>7</v>
      </c>
      <c r="D1826" s="1">
        <f t="shared" ca="1" si="132"/>
        <v>138</v>
      </c>
      <c r="E1826" s="2">
        <f t="shared" ca="1" si="133"/>
        <v>43422</v>
      </c>
      <c r="F1826" s="6">
        <f t="shared" ca="1" si="134"/>
        <v>49.726032825401198</v>
      </c>
    </row>
    <row r="1827" spans="1:6">
      <c r="A1827" s="1">
        <v>9126775</v>
      </c>
      <c r="B1827" s="1">
        <f t="shared" ca="1" si="131"/>
        <v>0.25151642226469151</v>
      </c>
      <c r="C1827" s="1">
        <f t="shared" ca="1" si="135"/>
        <v>53</v>
      </c>
      <c r="D1827" s="1">
        <f t="shared" ca="1" si="132"/>
        <v>155</v>
      </c>
      <c r="E1827" s="2">
        <f t="shared" ca="1" si="133"/>
        <v>43132</v>
      </c>
      <c r="F1827" s="6">
        <f t="shared" ca="1" si="134"/>
        <v>12.047744877945133</v>
      </c>
    </row>
    <row r="1828" spans="1:6">
      <c r="A1828" s="1">
        <v>9126778</v>
      </c>
      <c r="B1828" s="1">
        <f t="shared" ca="1" si="131"/>
        <v>0.26032940267014115</v>
      </c>
      <c r="C1828" s="1">
        <f t="shared" ca="1" si="135"/>
        <v>10</v>
      </c>
      <c r="D1828" s="1">
        <f t="shared" ca="1" si="132"/>
        <v>236</v>
      </c>
      <c r="E1828" s="2">
        <f t="shared" ca="1" si="133"/>
        <v>43074</v>
      </c>
      <c r="F1828" s="6">
        <f t="shared" ca="1" si="134"/>
        <v>3.5792956291569551</v>
      </c>
    </row>
    <row r="1829" spans="1:6">
      <c r="A1829" s="1">
        <v>9126781</v>
      </c>
      <c r="B1829" s="1">
        <f t="shared" ca="1" si="131"/>
        <v>0.42543326213115107</v>
      </c>
      <c r="C1829" s="1">
        <f t="shared" ca="1" si="135"/>
        <v>38</v>
      </c>
      <c r="D1829" s="1">
        <f t="shared" ca="1" si="132"/>
        <v>400</v>
      </c>
      <c r="E1829" s="2">
        <f t="shared" ca="1" si="133"/>
        <v>42796</v>
      </c>
      <c r="F1829" s="6">
        <f t="shared" ca="1" si="134"/>
        <v>56.44753802708486</v>
      </c>
    </row>
    <row r="1830" spans="1:6">
      <c r="A1830" s="1">
        <v>9126784</v>
      </c>
      <c r="B1830" s="1">
        <f t="shared" ca="1" si="131"/>
        <v>5.6065564330758377E-3</v>
      </c>
      <c r="C1830" s="1">
        <f t="shared" ca="1" si="135"/>
        <v>1</v>
      </c>
      <c r="D1830" s="1">
        <f t="shared" ca="1" si="132"/>
        <v>474</v>
      </c>
      <c r="E1830" s="2">
        <f t="shared" ca="1" si="133"/>
        <v>43452</v>
      </c>
      <c r="F1830" s="6">
        <f t="shared" ca="1" si="134"/>
        <v>111.70772914351687</v>
      </c>
    </row>
    <row r="1831" spans="1:6">
      <c r="A1831" s="1">
        <v>9126787</v>
      </c>
      <c r="B1831" s="1">
        <f t="shared" ca="1" si="131"/>
        <v>0.29938268230964349</v>
      </c>
      <c r="C1831" s="1">
        <f t="shared" ca="1" si="135"/>
        <v>12</v>
      </c>
      <c r="D1831" s="1">
        <f t="shared" ca="1" si="132"/>
        <v>292</v>
      </c>
      <c r="E1831" s="2">
        <f t="shared" ca="1" si="133"/>
        <v>42942</v>
      </c>
      <c r="F1831" s="6">
        <f t="shared" ca="1" si="134"/>
        <v>80.082044692095877</v>
      </c>
    </row>
    <row r="1832" spans="1:6">
      <c r="A1832" s="1">
        <v>9126790</v>
      </c>
      <c r="B1832" s="1">
        <f t="shared" ca="1" si="131"/>
        <v>0.85866971992418728</v>
      </c>
      <c r="C1832" s="1">
        <f t="shared" ca="1" si="135"/>
        <v>186</v>
      </c>
      <c r="D1832" s="1">
        <f t="shared" ca="1" si="132"/>
        <v>102</v>
      </c>
      <c r="E1832" s="2">
        <f t="shared" ca="1" si="133"/>
        <v>43301</v>
      </c>
      <c r="F1832" s="6">
        <f t="shared" ca="1" si="134"/>
        <v>340.87082174029388</v>
      </c>
    </row>
    <row r="1833" spans="1:6">
      <c r="A1833" s="1">
        <v>9126793</v>
      </c>
      <c r="B1833" s="1">
        <f t="shared" ca="1" si="131"/>
        <v>0.84608753125280034</v>
      </c>
      <c r="C1833" s="1">
        <f t="shared" ca="1" si="135"/>
        <v>120</v>
      </c>
      <c r="D1833" s="1">
        <f t="shared" ca="1" si="132"/>
        <v>543</v>
      </c>
      <c r="E1833" s="2">
        <f t="shared" ca="1" si="133"/>
        <v>42992</v>
      </c>
      <c r="F1833" s="6">
        <f t="shared" ca="1" si="134"/>
        <v>219.11310958247802</v>
      </c>
    </row>
    <row r="1834" spans="1:6">
      <c r="A1834" s="1">
        <v>9126796</v>
      </c>
      <c r="B1834" s="1">
        <f t="shared" ca="1" si="131"/>
        <v>0.79958188051351886</v>
      </c>
      <c r="C1834" s="1">
        <f t="shared" ca="1" si="135"/>
        <v>174</v>
      </c>
      <c r="D1834" s="1">
        <f t="shared" ca="1" si="132"/>
        <v>309</v>
      </c>
      <c r="E1834" s="2">
        <f t="shared" ca="1" si="133"/>
        <v>43231</v>
      </c>
      <c r="F1834" s="6">
        <f t="shared" ca="1" si="134"/>
        <v>16.308347664835626</v>
      </c>
    </row>
    <row r="1835" spans="1:6">
      <c r="A1835" s="1">
        <v>9126799</v>
      </c>
      <c r="B1835" s="1">
        <f t="shared" ca="1" si="131"/>
        <v>0.11650851200229917</v>
      </c>
      <c r="C1835" s="1">
        <f t="shared" ca="1" si="135"/>
        <v>6</v>
      </c>
      <c r="D1835" s="1">
        <f t="shared" ca="1" si="132"/>
        <v>208</v>
      </c>
      <c r="E1835" s="2">
        <f t="shared" ca="1" si="133"/>
        <v>42931</v>
      </c>
      <c r="F1835" s="6">
        <f t="shared" ca="1" si="134"/>
        <v>54.555246058197987</v>
      </c>
    </row>
    <row r="1836" spans="1:6">
      <c r="A1836" s="1">
        <v>9126802</v>
      </c>
      <c r="B1836" s="1">
        <f t="shared" ca="1" si="131"/>
        <v>0.14834554998423999</v>
      </c>
      <c r="C1836" s="1">
        <f t="shared" ca="1" si="135"/>
        <v>55</v>
      </c>
      <c r="D1836" s="1">
        <f t="shared" ca="1" si="132"/>
        <v>220</v>
      </c>
      <c r="E1836" s="2">
        <f t="shared" ca="1" si="133"/>
        <v>43019</v>
      </c>
      <c r="F1836" s="6">
        <f t="shared" ca="1" si="134"/>
        <v>35.203331064812417</v>
      </c>
    </row>
    <row r="1837" spans="1:6">
      <c r="A1837" s="1">
        <v>9126805</v>
      </c>
      <c r="B1837" s="1">
        <f t="shared" ca="1" si="131"/>
        <v>1.2885440436554596E-2</v>
      </c>
      <c r="C1837" s="1">
        <f t="shared" ca="1" si="135"/>
        <v>66</v>
      </c>
      <c r="D1837" s="1">
        <f t="shared" ca="1" si="132"/>
        <v>128</v>
      </c>
      <c r="E1837" s="2">
        <f t="shared" ca="1" si="133"/>
        <v>43319</v>
      </c>
      <c r="F1837" s="6">
        <f t="shared" ca="1" si="134"/>
        <v>17.676994115688913</v>
      </c>
    </row>
    <row r="1838" spans="1:6">
      <c r="A1838" s="1">
        <v>9126808</v>
      </c>
      <c r="B1838" s="1">
        <f t="shared" ca="1" si="131"/>
        <v>0.95068266246190491</v>
      </c>
      <c r="C1838" s="1">
        <f t="shared" ca="1" si="135"/>
        <v>86</v>
      </c>
      <c r="D1838" s="1">
        <f t="shared" ca="1" si="132"/>
        <v>526</v>
      </c>
      <c r="E1838" s="2">
        <f t="shared" ca="1" si="133"/>
        <v>42782</v>
      </c>
      <c r="F1838" s="6">
        <f t="shared" ca="1" si="134"/>
        <v>10.21270130747908</v>
      </c>
    </row>
    <row r="1839" spans="1:6">
      <c r="A1839" s="1">
        <v>9126811</v>
      </c>
      <c r="B1839" s="1">
        <f t="shared" ca="1" si="131"/>
        <v>0.36201846702838214</v>
      </c>
      <c r="C1839" s="1">
        <f t="shared" ca="1" si="135"/>
        <v>1</v>
      </c>
      <c r="D1839" s="1">
        <f t="shared" ca="1" si="132"/>
        <v>474</v>
      </c>
      <c r="E1839" s="2">
        <f t="shared" ca="1" si="133"/>
        <v>43382</v>
      </c>
      <c r="F1839" s="6">
        <f t="shared" ca="1" si="134"/>
        <v>148.48159588217163</v>
      </c>
    </row>
    <row r="1840" spans="1:6">
      <c r="A1840" s="1">
        <v>9126814</v>
      </c>
      <c r="B1840" s="1">
        <f t="shared" ca="1" si="131"/>
        <v>9.5686547274826617E-2</v>
      </c>
      <c r="C1840" s="1">
        <f t="shared" ca="1" si="135"/>
        <v>2</v>
      </c>
      <c r="D1840" s="1">
        <f t="shared" ca="1" si="132"/>
        <v>30</v>
      </c>
      <c r="E1840" s="2">
        <f t="shared" ca="1" si="133"/>
        <v>43487</v>
      </c>
      <c r="F1840" s="6">
        <f t="shared" ca="1" si="134"/>
        <v>3.0736782303368169</v>
      </c>
    </row>
    <row r="1841" spans="1:6">
      <c r="A1841" s="1">
        <v>9126817</v>
      </c>
      <c r="B1841" s="1">
        <f t="shared" ca="1" si="131"/>
        <v>0.86139911281356107</v>
      </c>
      <c r="C1841" s="1">
        <f t="shared" ca="1" si="135"/>
        <v>131</v>
      </c>
      <c r="D1841" s="1">
        <f t="shared" ca="1" si="132"/>
        <v>99</v>
      </c>
      <c r="E1841" s="2">
        <f t="shared" ca="1" si="133"/>
        <v>43407</v>
      </c>
      <c r="F1841" s="6">
        <f t="shared" ca="1" si="134"/>
        <v>13.060174340658028</v>
      </c>
    </row>
    <row r="1842" spans="1:6">
      <c r="A1842" s="1">
        <v>9126820</v>
      </c>
      <c r="B1842" s="1">
        <f t="shared" ca="1" si="131"/>
        <v>0.78851052585863135</v>
      </c>
      <c r="C1842" s="1">
        <f t="shared" ca="1" si="135"/>
        <v>21</v>
      </c>
      <c r="D1842" s="1">
        <f t="shared" ca="1" si="132"/>
        <v>566</v>
      </c>
      <c r="E1842" s="2">
        <f t="shared" ca="1" si="133"/>
        <v>43188</v>
      </c>
      <c r="F1842" s="6">
        <f t="shared" ca="1" si="134"/>
        <v>60.450071338389172</v>
      </c>
    </row>
    <row r="1843" spans="1:6">
      <c r="A1843" s="1">
        <v>9126823</v>
      </c>
      <c r="B1843" s="1">
        <f t="shared" ca="1" si="131"/>
        <v>0.32590538865979479</v>
      </c>
      <c r="C1843" s="1">
        <f t="shared" ca="1" si="135"/>
        <v>5</v>
      </c>
      <c r="D1843" s="1">
        <f t="shared" ca="1" si="132"/>
        <v>363</v>
      </c>
      <c r="E1843" s="2">
        <f t="shared" ca="1" si="133"/>
        <v>43147</v>
      </c>
      <c r="F1843" s="6">
        <f t="shared" ca="1" si="134"/>
        <v>61.430663765229674</v>
      </c>
    </row>
    <row r="1844" spans="1:6">
      <c r="A1844" s="1">
        <v>9126826</v>
      </c>
      <c r="B1844" s="1">
        <f t="shared" ca="1" si="131"/>
        <v>0.64951951210424552</v>
      </c>
      <c r="C1844" s="1">
        <f t="shared" ca="1" si="135"/>
        <v>32</v>
      </c>
      <c r="D1844" s="1">
        <f t="shared" ca="1" si="132"/>
        <v>497</v>
      </c>
      <c r="E1844" s="2">
        <f t="shared" ca="1" si="133"/>
        <v>43125</v>
      </c>
      <c r="F1844" s="6">
        <f t="shared" ca="1" si="134"/>
        <v>45.308818136509771</v>
      </c>
    </row>
    <row r="1845" spans="1:6">
      <c r="A1845" s="1">
        <v>9126829</v>
      </c>
      <c r="B1845" s="1">
        <f t="shared" ca="1" si="131"/>
        <v>0.69669651049700088</v>
      </c>
      <c r="C1845" s="1">
        <f t="shared" ca="1" si="135"/>
        <v>115</v>
      </c>
      <c r="D1845" s="1">
        <f t="shared" ca="1" si="132"/>
        <v>508</v>
      </c>
      <c r="E1845" s="2">
        <f t="shared" ca="1" si="133"/>
        <v>42825</v>
      </c>
      <c r="F1845" s="6">
        <f t="shared" ca="1" si="134"/>
        <v>43.38890063640283</v>
      </c>
    </row>
    <row r="1846" spans="1:6">
      <c r="A1846" s="1">
        <v>9126832</v>
      </c>
      <c r="B1846" s="1">
        <f t="shared" ca="1" si="131"/>
        <v>0.28994475039604362</v>
      </c>
      <c r="C1846" s="1">
        <f t="shared" ca="1" si="135"/>
        <v>1</v>
      </c>
      <c r="D1846" s="1">
        <f t="shared" ca="1" si="132"/>
        <v>474</v>
      </c>
      <c r="E1846" s="2">
        <f t="shared" ca="1" si="133"/>
        <v>43328</v>
      </c>
      <c r="F1846" s="6">
        <f t="shared" ca="1" si="134"/>
        <v>6.7389891093719312</v>
      </c>
    </row>
    <row r="1847" spans="1:6">
      <c r="A1847" s="1">
        <v>9126835</v>
      </c>
      <c r="B1847" s="1">
        <f t="shared" ca="1" si="131"/>
        <v>0.91635603841508051</v>
      </c>
      <c r="C1847" s="1">
        <f t="shared" ca="1" si="135"/>
        <v>42</v>
      </c>
      <c r="D1847" s="1">
        <f t="shared" ca="1" si="132"/>
        <v>36</v>
      </c>
      <c r="E1847" s="2">
        <f t="shared" ca="1" si="133"/>
        <v>43220</v>
      </c>
      <c r="F1847" s="6">
        <f t="shared" ca="1" si="134"/>
        <v>23.391393950091221</v>
      </c>
    </row>
    <row r="1848" spans="1:6">
      <c r="A1848" s="1">
        <v>9126838</v>
      </c>
      <c r="B1848" s="1">
        <f t="shared" ca="1" si="131"/>
        <v>0.84260532143744105</v>
      </c>
      <c r="C1848" s="1">
        <f t="shared" ca="1" si="135"/>
        <v>63</v>
      </c>
      <c r="D1848" s="1">
        <f t="shared" ca="1" si="132"/>
        <v>571</v>
      </c>
      <c r="E1848" s="2">
        <f t="shared" ca="1" si="133"/>
        <v>43001</v>
      </c>
      <c r="F1848" s="6">
        <f t="shared" ca="1" si="134"/>
        <v>95.284219601320771</v>
      </c>
    </row>
    <row r="1849" spans="1:6">
      <c r="A1849" s="1">
        <v>9126841</v>
      </c>
      <c r="B1849" s="1">
        <f t="shared" ca="1" si="131"/>
        <v>0.67699618421737984</v>
      </c>
      <c r="C1849" s="1">
        <f t="shared" ca="1" si="135"/>
        <v>1</v>
      </c>
      <c r="D1849" s="1">
        <f t="shared" ca="1" si="132"/>
        <v>474</v>
      </c>
      <c r="E1849" s="2">
        <f t="shared" ca="1" si="133"/>
        <v>42895</v>
      </c>
      <c r="F1849" s="6">
        <f t="shared" ca="1" si="134"/>
        <v>75.974531429629735</v>
      </c>
    </row>
    <row r="1850" spans="1:6">
      <c r="A1850" s="1">
        <v>9126844</v>
      </c>
      <c r="B1850" s="1">
        <f t="shared" ca="1" si="131"/>
        <v>0.78511728117168411</v>
      </c>
      <c r="C1850" s="1">
        <f t="shared" ca="1" si="135"/>
        <v>27</v>
      </c>
      <c r="D1850" s="1">
        <f t="shared" ca="1" si="132"/>
        <v>398</v>
      </c>
      <c r="E1850" s="2">
        <f t="shared" ca="1" si="133"/>
        <v>43382</v>
      </c>
      <c r="F1850" s="6">
        <f t="shared" ca="1" si="134"/>
        <v>24.141943606770308</v>
      </c>
    </row>
    <row r="1851" spans="1:6">
      <c r="A1851" s="1">
        <v>9126847</v>
      </c>
      <c r="B1851" s="1">
        <f t="shared" ca="1" si="131"/>
        <v>8.6222868544112652E-2</v>
      </c>
      <c r="C1851" s="1">
        <f t="shared" ca="1" si="135"/>
        <v>7</v>
      </c>
      <c r="D1851" s="1">
        <f t="shared" ca="1" si="132"/>
        <v>138</v>
      </c>
      <c r="E1851" s="2">
        <f t="shared" ca="1" si="133"/>
        <v>42890</v>
      </c>
      <c r="F1851" s="6">
        <f t="shared" ca="1" si="134"/>
        <v>93.959677607129237</v>
      </c>
    </row>
    <row r="1852" spans="1:6">
      <c r="A1852" s="1">
        <v>9126850</v>
      </c>
      <c r="B1852" s="1">
        <f t="shared" ca="1" si="131"/>
        <v>0.58552441248740361</v>
      </c>
      <c r="C1852" s="1">
        <f t="shared" ca="1" si="135"/>
        <v>4</v>
      </c>
      <c r="D1852" s="1">
        <f t="shared" ca="1" si="132"/>
        <v>493</v>
      </c>
      <c r="E1852" s="2">
        <f t="shared" ca="1" si="133"/>
        <v>43133</v>
      </c>
      <c r="F1852" s="6">
        <f t="shared" ca="1" si="134"/>
        <v>3.2379547613492963</v>
      </c>
    </row>
    <row r="1853" spans="1:6">
      <c r="A1853" s="1">
        <v>9126853</v>
      </c>
      <c r="B1853" s="1">
        <f t="shared" ca="1" si="131"/>
        <v>0.1999367605807133</v>
      </c>
      <c r="C1853" s="1">
        <f t="shared" ca="1" si="135"/>
        <v>5</v>
      </c>
      <c r="D1853" s="1">
        <f t="shared" ca="1" si="132"/>
        <v>363</v>
      </c>
      <c r="E1853" s="2">
        <f t="shared" ca="1" si="133"/>
        <v>43037</v>
      </c>
      <c r="F1853" s="6">
        <f t="shared" ca="1" si="134"/>
        <v>3.2017908160306052</v>
      </c>
    </row>
    <row r="1854" spans="1:6">
      <c r="A1854" s="1">
        <v>9126856</v>
      </c>
      <c r="B1854" s="1">
        <f t="shared" ca="1" si="131"/>
        <v>0.16220474797104467</v>
      </c>
      <c r="C1854" s="1">
        <f t="shared" ca="1" si="135"/>
        <v>65</v>
      </c>
      <c r="D1854" s="1">
        <f t="shared" ca="1" si="132"/>
        <v>463</v>
      </c>
      <c r="E1854" s="2">
        <f t="shared" ca="1" si="133"/>
        <v>42944</v>
      </c>
      <c r="F1854" s="6">
        <f t="shared" ca="1" si="134"/>
        <v>3.1538793987573732</v>
      </c>
    </row>
    <row r="1855" spans="1:6">
      <c r="A1855" s="1">
        <v>9126859</v>
      </c>
      <c r="B1855" s="1">
        <f t="shared" ca="1" si="131"/>
        <v>0.81986138228286776</v>
      </c>
      <c r="C1855" s="1">
        <f t="shared" ca="1" si="135"/>
        <v>65</v>
      </c>
      <c r="D1855" s="1">
        <f t="shared" ca="1" si="132"/>
        <v>463</v>
      </c>
      <c r="E1855" s="2">
        <f t="shared" ca="1" si="133"/>
        <v>43074</v>
      </c>
      <c r="F1855" s="6">
        <f t="shared" ca="1" si="134"/>
        <v>297.53499230418163</v>
      </c>
    </row>
    <row r="1856" spans="1:6">
      <c r="A1856" s="1">
        <v>9126862</v>
      </c>
      <c r="B1856" s="1">
        <f t="shared" ca="1" si="131"/>
        <v>0.9022737976062557</v>
      </c>
      <c r="C1856" s="1">
        <f t="shared" ca="1" si="135"/>
        <v>24</v>
      </c>
      <c r="D1856" s="1">
        <f t="shared" ca="1" si="132"/>
        <v>334</v>
      </c>
      <c r="E1856" s="2">
        <f t="shared" ca="1" si="133"/>
        <v>43450</v>
      </c>
      <c r="F1856" s="6">
        <f t="shared" ca="1" si="134"/>
        <v>10.891272109376374</v>
      </c>
    </row>
    <row r="1857" spans="1:6">
      <c r="A1857" s="1">
        <v>9126865</v>
      </c>
      <c r="B1857" s="1">
        <f t="shared" ca="1" si="131"/>
        <v>0.57074848116601795</v>
      </c>
      <c r="C1857" s="1">
        <f t="shared" ca="1" si="135"/>
        <v>3</v>
      </c>
      <c r="D1857" s="1">
        <f t="shared" ca="1" si="132"/>
        <v>263</v>
      </c>
      <c r="E1857" s="2">
        <f t="shared" ca="1" si="133"/>
        <v>43249</v>
      </c>
      <c r="F1857" s="6">
        <f t="shared" ca="1" si="134"/>
        <v>30.532327150963042</v>
      </c>
    </row>
    <row r="1858" spans="1:6">
      <c r="A1858" s="1">
        <v>9126868</v>
      </c>
      <c r="B1858" s="1">
        <f t="shared" ref="B1858:B1921" ca="1" si="136">RAND()</f>
        <v>0.155560172460394</v>
      </c>
      <c r="C1858" s="1">
        <f t="shared" ca="1" si="135"/>
        <v>1</v>
      </c>
      <c r="D1858" s="1">
        <f t="shared" ca="1" si="132"/>
        <v>474</v>
      </c>
      <c r="E1858" s="2">
        <f t="shared" ca="1" si="133"/>
        <v>43388</v>
      </c>
      <c r="F1858" s="6">
        <f t="shared" ca="1" si="134"/>
        <v>26.215779577102214</v>
      </c>
    </row>
    <row r="1859" spans="1:6">
      <c r="A1859" s="1">
        <v>9126871</v>
      </c>
      <c r="B1859" s="1">
        <f t="shared" ca="1" si="136"/>
        <v>0.12496856674791412</v>
      </c>
      <c r="C1859" s="1">
        <f t="shared" ca="1" si="135"/>
        <v>6</v>
      </c>
      <c r="D1859" s="1">
        <f t="shared" ref="D1859:D1922" ca="1" si="137">VLOOKUP(SMALL($B$2:$B$601,C1859),$B$2:$C$601,2,FALSE)</f>
        <v>208</v>
      </c>
      <c r="E1859" s="2">
        <f t="shared" ref="E1859:E1922" ca="1" si="138">RANDBETWEEN("1/1/17","2/1/19")</f>
        <v>43380</v>
      </c>
      <c r="F1859" s="6">
        <f t="shared" ref="F1859:F1922" ca="1" si="139">_xlfn.GAMMA.INV(RAND(),$J$6,$J$7)*100+3</f>
        <v>16.562805894062461</v>
      </c>
    </row>
    <row r="1860" spans="1:6">
      <c r="A1860" s="1">
        <v>9126874</v>
      </c>
      <c r="B1860" s="1">
        <f t="shared" ca="1" si="136"/>
        <v>0.5564154665131934</v>
      </c>
      <c r="C1860" s="1">
        <f t="shared" ca="1" si="135"/>
        <v>128</v>
      </c>
      <c r="D1860" s="1">
        <f t="shared" ca="1" si="137"/>
        <v>317</v>
      </c>
      <c r="E1860" s="2">
        <f t="shared" ca="1" si="138"/>
        <v>43014</v>
      </c>
      <c r="F1860" s="6">
        <f t="shared" ca="1" si="139"/>
        <v>123.81324344239744</v>
      </c>
    </row>
    <row r="1861" spans="1:6">
      <c r="A1861" s="1">
        <v>9126877</v>
      </c>
      <c r="B1861" s="1">
        <f t="shared" ca="1" si="136"/>
        <v>0.15381475573820369</v>
      </c>
      <c r="C1861" s="1">
        <f t="shared" ca="1" si="135"/>
        <v>7</v>
      </c>
      <c r="D1861" s="1">
        <f t="shared" ca="1" si="137"/>
        <v>138</v>
      </c>
      <c r="E1861" s="2">
        <f t="shared" ca="1" si="138"/>
        <v>42750</v>
      </c>
      <c r="F1861" s="6">
        <f t="shared" ca="1" si="139"/>
        <v>15.222380914051961</v>
      </c>
    </row>
    <row r="1862" spans="1:6">
      <c r="A1862" s="1">
        <v>9126880</v>
      </c>
      <c r="B1862" s="1">
        <f t="shared" ca="1" si="136"/>
        <v>0.90359452585013644</v>
      </c>
      <c r="C1862" s="1">
        <f t="shared" ca="1" si="135"/>
        <v>3</v>
      </c>
      <c r="D1862" s="1">
        <f t="shared" ca="1" si="137"/>
        <v>263</v>
      </c>
      <c r="E1862" s="2">
        <f t="shared" ca="1" si="138"/>
        <v>43385</v>
      </c>
      <c r="F1862" s="6">
        <f t="shared" ca="1" si="139"/>
        <v>46.377618912164529</v>
      </c>
    </row>
    <row r="1863" spans="1:6">
      <c r="A1863" s="1">
        <v>9126883</v>
      </c>
      <c r="B1863" s="1">
        <f t="shared" ca="1" si="136"/>
        <v>0.75919287274717717</v>
      </c>
      <c r="C1863" s="1">
        <f t="shared" ca="1" si="135"/>
        <v>1</v>
      </c>
      <c r="D1863" s="1">
        <f t="shared" ca="1" si="137"/>
        <v>474</v>
      </c>
      <c r="E1863" s="2">
        <f t="shared" ca="1" si="138"/>
        <v>43191</v>
      </c>
      <c r="F1863" s="6">
        <f t="shared" ca="1" si="139"/>
        <v>3.5343831750916483</v>
      </c>
    </row>
    <row r="1864" spans="1:6">
      <c r="A1864" s="1">
        <v>9126886</v>
      </c>
      <c r="B1864" s="1">
        <f t="shared" ca="1" si="136"/>
        <v>0.87793047462728069</v>
      </c>
      <c r="C1864" s="1">
        <f t="shared" ca="1" si="135"/>
        <v>11</v>
      </c>
      <c r="D1864" s="1">
        <f t="shared" ca="1" si="137"/>
        <v>437</v>
      </c>
      <c r="E1864" s="2">
        <f t="shared" ca="1" si="138"/>
        <v>43168</v>
      </c>
      <c r="F1864" s="6">
        <f t="shared" ca="1" si="139"/>
        <v>67.05280809914845</v>
      </c>
    </row>
    <row r="1865" spans="1:6">
      <c r="A1865" s="1">
        <v>9126889</v>
      </c>
      <c r="B1865" s="1">
        <f t="shared" ca="1" si="136"/>
        <v>0.84456452302066509</v>
      </c>
      <c r="C1865" s="1">
        <f t="shared" ca="1" si="135"/>
        <v>1</v>
      </c>
      <c r="D1865" s="1">
        <f t="shared" ca="1" si="137"/>
        <v>474</v>
      </c>
      <c r="E1865" s="2">
        <f t="shared" ca="1" si="138"/>
        <v>43368</v>
      </c>
      <c r="F1865" s="6">
        <f t="shared" ca="1" si="139"/>
        <v>63.377450185174993</v>
      </c>
    </row>
    <row r="1866" spans="1:6">
      <c r="A1866" s="1">
        <v>9126892</v>
      </c>
      <c r="B1866" s="1">
        <f t="shared" ca="1" si="136"/>
        <v>0.94237019893508078</v>
      </c>
      <c r="C1866" s="1">
        <f t="shared" ca="1" si="135"/>
        <v>242</v>
      </c>
      <c r="D1866" s="1">
        <f t="shared" ca="1" si="137"/>
        <v>513</v>
      </c>
      <c r="E1866" s="2">
        <f t="shared" ca="1" si="138"/>
        <v>43142</v>
      </c>
      <c r="F1866" s="6">
        <f t="shared" ca="1" si="139"/>
        <v>75.995146584513108</v>
      </c>
    </row>
    <row r="1867" spans="1:6">
      <c r="A1867" s="1">
        <v>9126895</v>
      </c>
      <c r="B1867" s="1">
        <f t="shared" ca="1" si="136"/>
        <v>0.43959581512420631</v>
      </c>
      <c r="C1867" s="1">
        <f t="shared" ca="1" si="135"/>
        <v>86</v>
      </c>
      <c r="D1867" s="1">
        <f t="shared" ca="1" si="137"/>
        <v>526</v>
      </c>
      <c r="E1867" s="2">
        <f t="shared" ca="1" si="138"/>
        <v>42875</v>
      </c>
      <c r="F1867" s="6">
        <f t="shared" ca="1" si="139"/>
        <v>104.73980206986957</v>
      </c>
    </row>
    <row r="1868" spans="1:6">
      <c r="A1868" s="1">
        <v>9126898</v>
      </c>
      <c r="B1868" s="1">
        <f t="shared" ca="1" si="136"/>
        <v>0.22056117394445118</v>
      </c>
      <c r="C1868" s="1">
        <f t="shared" ca="1" si="135"/>
        <v>1</v>
      </c>
      <c r="D1868" s="1">
        <f t="shared" ca="1" si="137"/>
        <v>474</v>
      </c>
      <c r="E1868" s="2">
        <f t="shared" ca="1" si="138"/>
        <v>43091</v>
      </c>
      <c r="F1868" s="6">
        <f t="shared" ca="1" si="139"/>
        <v>36.165277243849566</v>
      </c>
    </row>
    <row r="1869" spans="1:6">
      <c r="A1869" s="1">
        <v>9126901</v>
      </c>
      <c r="B1869" s="1">
        <f t="shared" ca="1" si="136"/>
        <v>0.38523746583696872</v>
      </c>
      <c r="C1869" s="1">
        <f t="shared" ca="1" si="135"/>
        <v>50</v>
      </c>
      <c r="D1869" s="1">
        <f t="shared" ca="1" si="137"/>
        <v>415</v>
      </c>
      <c r="E1869" s="2">
        <f t="shared" ca="1" si="138"/>
        <v>42854</v>
      </c>
      <c r="F1869" s="6">
        <f t="shared" ca="1" si="139"/>
        <v>57.717392211023494</v>
      </c>
    </row>
    <row r="1870" spans="1:6">
      <c r="A1870" s="1">
        <v>9126904</v>
      </c>
      <c r="B1870" s="1">
        <f t="shared" ca="1" si="136"/>
        <v>0.46574654821652939</v>
      </c>
      <c r="C1870" s="1">
        <f t="shared" ca="1" si="135"/>
        <v>47</v>
      </c>
      <c r="D1870" s="1">
        <f t="shared" ca="1" si="137"/>
        <v>515</v>
      </c>
      <c r="E1870" s="2">
        <f t="shared" ca="1" si="138"/>
        <v>43266</v>
      </c>
      <c r="F1870" s="6">
        <f t="shared" ca="1" si="139"/>
        <v>46.621758895271505</v>
      </c>
    </row>
    <row r="1871" spans="1:6">
      <c r="A1871" s="1">
        <v>9126907</v>
      </c>
      <c r="B1871" s="1">
        <f t="shared" ca="1" si="136"/>
        <v>0.8071975298395081</v>
      </c>
      <c r="C1871" s="1">
        <f t="shared" ca="1" si="135"/>
        <v>65</v>
      </c>
      <c r="D1871" s="1">
        <f t="shared" ca="1" si="137"/>
        <v>463</v>
      </c>
      <c r="E1871" s="2">
        <f t="shared" ca="1" si="138"/>
        <v>43303</v>
      </c>
      <c r="F1871" s="6">
        <f t="shared" ca="1" si="139"/>
        <v>26.930591100001248</v>
      </c>
    </row>
    <row r="1872" spans="1:6">
      <c r="A1872" s="1">
        <v>9126910</v>
      </c>
      <c r="B1872" s="1">
        <f t="shared" ca="1" si="136"/>
        <v>3.8686966207192586E-2</v>
      </c>
      <c r="C1872" s="1">
        <f t="shared" ca="1" si="135"/>
        <v>29</v>
      </c>
      <c r="D1872" s="1">
        <f t="shared" ca="1" si="137"/>
        <v>514</v>
      </c>
      <c r="E1872" s="2">
        <f t="shared" ca="1" si="138"/>
        <v>43263</v>
      </c>
      <c r="F1872" s="6">
        <f t="shared" ca="1" si="139"/>
        <v>3.0718052443311059</v>
      </c>
    </row>
    <row r="1873" spans="1:6">
      <c r="A1873" s="1">
        <v>9126913</v>
      </c>
      <c r="B1873" s="1">
        <f t="shared" ca="1" si="136"/>
        <v>9.5642738862092513E-2</v>
      </c>
      <c r="C1873" s="1">
        <f t="shared" ca="1" si="135"/>
        <v>30</v>
      </c>
      <c r="D1873" s="1">
        <f t="shared" ca="1" si="137"/>
        <v>53</v>
      </c>
      <c r="E1873" s="2">
        <f t="shared" ca="1" si="138"/>
        <v>43399</v>
      </c>
      <c r="F1873" s="6">
        <f t="shared" ca="1" si="139"/>
        <v>10.372046850623498</v>
      </c>
    </row>
    <row r="1874" spans="1:6">
      <c r="A1874" s="1">
        <v>9126916</v>
      </c>
      <c r="B1874" s="1">
        <f t="shared" ca="1" si="136"/>
        <v>0.56825877115137935</v>
      </c>
      <c r="C1874" s="1">
        <f t="shared" ca="1" si="135"/>
        <v>27</v>
      </c>
      <c r="D1874" s="1">
        <f t="shared" ca="1" si="137"/>
        <v>398</v>
      </c>
      <c r="E1874" s="2">
        <f t="shared" ca="1" si="138"/>
        <v>43100</v>
      </c>
      <c r="F1874" s="6">
        <f t="shared" ca="1" si="139"/>
        <v>15.636596264804698</v>
      </c>
    </row>
    <row r="1875" spans="1:6">
      <c r="A1875" s="1">
        <v>9126919</v>
      </c>
      <c r="B1875" s="1">
        <f t="shared" ca="1" si="136"/>
        <v>0.98386415272935301</v>
      </c>
      <c r="C1875" s="1">
        <f t="shared" ca="1" si="135"/>
        <v>1</v>
      </c>
      <c r="D1875" s="1">
        <f t="shared" ca="1" si="137"/>
        <v>474</v>
      </c>
      <c r="E1875" s="2">
        <f t="shared" ca="1" si="138"/>
        <v>43441</v>
      </c>
      <c r="F1875" s="6">
        <f t="shared" ca="1" si="139"/>
        <v>134.85384873102791</v>
      </c>
    </row>
    <row r="1876" spans="1:6">
      <c r="A1876" s="1">
        <v>9126922</v>
      </c>
      <c r="B1876" s="1">
        <f t="shared" ca="1" si="136"/>
        <v>0.89752198886798884</v>
      </c>
      <c r="C1876" s="1">
        <f t="shared" ca="1" si="135"/>
        <v>3</v>
      </c>
      <c r="D1876" s="1">
        <f t="shared" ca="1" si="137"/>
        <v>263</v>
      </c>
      <c r="E1876" s="2">
        <f t="shared" ca="1" si="138"/>
        <v>43349</v>
      </c>
      <c r="F1876" s="6">
        <f t="shared" ca="1" si="139"/>
        <v>3.5861959497179097</v>
      </c>
    </row>
    <row r="1877" spans="1:6">
      <c r="A1877" s="1">
        <v>9126925</v>
      </c>
      <c r="B1877" s="1">
        <f t="shared" ca="1" si="136"/>
        <v>0.36856626399965187</v>
      </c>
      <c r="C1877" s="1">
        <f t="shared" ca="1" si="135"/>
        <v>23</v>
      </c>
      <c r="D1877" s="1">
        <f t="shared" ca="1" si="137"/>
        <v>516</v>
      </c>
      <c r="E1877" s="2">
        <f t="shared" ca="1" si="138"/>
        <v>43306</v>
      </c>
      <c r="F1877" s="6">
        <f t="shared" ca="1" si="139"/>
        <v>4.3955144415278653</v>
      </c>
    </row>
    <row r="1878" spans="1:6">
      <c r="A1878" s="1">
        <v>9126928</v>
      </c>
      <c r="B1878" s="1">
        <f t="shared" ca="1" si="136"/>
        <v>0.92063219728708567</v>
      </c>
      <c r="C1878" s="1">
        <f t="shared" ca="1" si="135"/>
        <v>8</v>
      </c>
      <c r="D1878" s="1">
        <f t="shared" ca="1" si="137"/>
        <v>456</v>
      </c>
      <c r="E1878" s="2">
        <f t="shared" ca="1" si="138"/>
        <v>43021</v>
      </c>
      <c r="F1878" s="6">
        <f t="shared" ca="1" si="139"/>
        <v>6.3244342659829691</v>
      </c>
    </row>
    <row r="1879" spans="1:6">
      <c r="A1879" s="1">
        <v>9126931</v>
      </c>
      <c r="B1879" s="1">
        <f t="shared" ca="1" si="136"/>
        <v>0.11054299341270224</v>
      </c>
      <c r="C1879" s="1">
        <f t="shared" ca="1" si="135"/>
        <v>54</v>
      </c>
      <c r="D1879" s="1">
        <f t="shared" ca="1" si="137"/>
        <v>168</v>
      </c>
      <c r="E1879" s="2">
        <f t="shared" ca="1" si="138"/>
        <v>42859</v>
      </c>
      <c r="F1879" s="6">
        <f t="shared" ca="1" si="139"/>
        <v>120.79484833729566</v>
      </c>
    </row>
    <row r="1880" spans="1:6">
      <c r="A1880" s="1">
        <v>9126934</v>
      </c>
      <c r="B1880" s="1">
        <f t="shared" ca="1" si="136"/>
        <v>0.35097050923444717</v>
      </c>
      <c r="C1880" s="1">
        <f t="shared" ca="1" si="135"/>
        <v>9</v>
      </c>
      <c r="D1880" s="1">
        <f t="shared" ca="1" si="137"/>
        <v>278</v>
      </c>
      <c r="E1880" s="2">
        <f t="shared" ca="1" si="138"/>
        <v>42826</v>
      </c>
      <c r="F1880" s="6">
        <f t="shared" ca="1" si="139"/>
        <v>20.258412036509853</v>
      </c>
    </row>
    <row r="1881" spans="1:6">
      <c r="A1881" s="1">
        <v>9126937</v>
      </c>
      <c r="B1881" s="1">
        <f t="shared" ca="1" si="136"/>
        <v>0.11798279556076596</v>
      </c>
      <c r="C1881" s="1">
        <f t="shared" ca="1" si="135"/>
        <v>159</v>
      </c>
      <c r="D1881" s="1">
        <f t="shared" ca="1" si="137"/>
        <v>58</v>
      </c>
      <c r="E1881" s="2">
        <f t="shared" ca="1" si="138"/>
        <v>42764</v>
      </c>
      <c r="F1881" s="6">
        <f t="shared" ca="1" si="139"/>
        <v>101.57776801859427</v>
      </c>
    </row>
    <row r="1882" spans="1:6">
      <c r="A1882" s="1">
        <v>9126940</v>
      </c>
      <c r="B1882" s="1">
        <f t="shared" ca="1" si="136"/>
        <v>0.80084451586060945</v>
      </c>
      <c r="C1882" s="1">
        <f t="shared" ca="1" si="135"/>
        <v>26</v>
      </c>
      <c r="D1882" s="1">
        <f t="shared" ca="1" si="137"/>
        <v>88</v>
      </c>
      <c r="E1882" s="2">
        <f t="shared" ca="1" si="138"/>
        <v>42908</v>
      </c>
      <c r="F1882" s="6">
        <f t="shared" ca="1" si="139"/>
        <v>79.545037820409462</v>
      </c>
    </row>
    <row r="1883" spans="1:6">
      <c r="A1883" s="1">
        <v>9126943</v>
      </c>
      <c r="B1883" s="1">
        <f t="shared" ca="1" si="136"/>
        <v>0.84762438281723806</v>
      </c>
      <c r="C1883" s="1">
        <f t="shared" ref="C1883:C1946" ca="1" si="140">ROUND(_xlfn.GAMMA.INV(RAND(),$J$11,$J$12)*100,0)+1</f>
        <v>80</v>
      </c>
      <c r="D1883" s="1">
        <f t="shared" ca="1" si="137"/>
        <v>163</v>
      </c>
      <c r="E1883" s="2">
        <f t="shared" ca="1" si="138"/>
        <v>43429</v>
      </c>
      <c r="F1883" s="6">
        <f t="shared" ca="1" si="139"/>
        <v>228.54259057312055</v>
      </c>
    </row>
    <row r="1884" spans="1:6">
      <c r="A1884" s="1">
        <v>9126946</v>
      </c>
      <c r="B1884" s="1">
        <f t="shared" ca="1" si="136"/>
        <v>0.67275630059697122</v>
      </c>
      <c r="C1884" s="1">
        <f t="shared" ca="1" si="140"/>
        <v>6</v>
      </c>
      <c r="D1884" s="1">
        <f t="shared" ca="1" si="137"/>
        <v>208</v>
      </c>
      <c r="E1884" s="2">
        <f t="shared" ca="1" si="138"/>
        <v>43375</v>
      </c>
      <c r="F1884" s="6">
        <f t="shared" ca="1" si="139"/>
        <v>12.513110334657812</v>
      </c>
    </row>
    <row r="1885" spans="1:6">
      <c r="A1885" s="1">
        <v>9126949</v>
      </c>
      <c r="B1885" s="1">
        <f t="shared" ca="1" si="136"/>
        <v>0.18003491608591438</v>
      </c>
      <c r="C1885" s="1">
        <f t="shared" ca="1" si="140"/>
        <v>31</v>
      </c>
      <c r="D1885" s="1">
        <f t="shared" ca="1" si="137"/>
        <v>535</v>
      </c>
      <c r="E1885" s="2">
        <f t="shared" ca="1" si="138"/>
        <v>43156</v>
      </c>
      <c r="F1885" s="6">
        <f t="shared" ca="1" si="139"/>
        <v>215.83047288688036</v>
      </c>
    </row>
    <row r="1886" spans="1:6">
      <c r="A1886" s="1">
        <v>9126952</v>
      </c>
      <c r="B1886" s="1">
        <f t="shared" ca="1" si="136"/>
        <v>0.82090415884409251</v>
      </c>
      <c r="C1886" s="1">
        <f t="shared" ca="1" si="140"/>
        <v>40</v>
      </c>
      <c r="D1886" s="1">
        <f t="shared" ca="1" si="137"/>
        <v>426</v>
      </c>
      <c r="E1886" s="2">
        <f t="shared" ca="1" si="138"/>
        <v>43019</v>
      </c>
      <c r="F1886" s="6">
        <f t="shared" ca="1" si="139"/>
        <v>6.797322157493852</v>
      </c>
    </row>
    <row r="1887" spans="1:6">
      <c r="A1887" s="1">
        <v>9126955</v>
      </c>
      <c r="B1887" s="1">
        <f t="shared" ca="1" si="136"/>
        <v>0.30737896148350774</v>
      </c>
      <c r="C1887" s="1">
        <f t="shared" ca="1" si="140"/>
        <v>8</v>
      </c>
      <c r="D1887" s="1">
        <f t="shared" ca="1" si="137"/>
        <v>456</v>
      </c>
      <c r="E1887" s="2">
        <f t="shared" ca="1" si="138"/>
        <v>43354</v>
      </c>
      <c r="F1887" s="6">
        <f t="shared" ca="1" si="139"/>
        <v>107.31291966066252</v>
      </c>
    </row>
    <row r="1888" spans="1:6">
      <c r="A1888" s="1">
        <v>9126958</v>
      </c>
      <c r="B1888" s="1">
        <f t="shared" ca="1" si="136"/>
        <v>0.78092890664417969</v>
      </c>
      <c r="C1888" s="1">
        <f t="shared" ca="1" si="140"/>
        <v>13</v>
      </c>
      <c r="D1888" s="1">
        <f t="shared" ca="1" si="137"/>
        <v>80</v>
      </c>
      <c r="E1888" s="2">
        <f t="shared" ca="1" si="138"/>
        <v>43214</v>
      </c>
      <c r="F1888" s="6">
        <f t="shared" ca="1" si="139"/>
        <v>8.5367563025010007</v>
      </c>
    </row>
    <row r="1889" spans="1:6">
      <c r="A1889" s="1">
        <v>9126961</v>
      </c>
      <c r="B1889" s="1">
        <f t="shared" ca="1" si="136"/>
        <v>0.16614894091594024</v>
      </c>
      <c r="C1889" s="1">
        <f t="shared" ca="1" si="140"/>
        <v>27</v>
      </c>
      <c r="D1889" s="1">
        <f t="shared" ca="1" si="137"/>
        <v>398</v>
      </c>
      <c r="E1889" s="2">
        <f t="shared" ca="1" si="138"/>
        <v>42793</v>
      </c>
      <c r="F1889" s="6">
        <f t="shared" ca="1" si="139"/>
        <v>24.12639627822708</v>
      </c>
    </row>
    <row r="1890" spans="1:6">
      <c r="A1890" s="1">
        <v>9126964</v>
      </c>
      <c r="B1890" s="1">
        <f t="shared" ca="1" si="136"/>
        <v>0.28557449026669091</v>
      </c>
      <c r="C1890" s="1">
        <f t="shared" ca="1" si="140"/>
        <v>81</v>
      </c>
      <c r="D1890" s="1">
        <f t="shared" ca="1" si="137"/>
        <v>119</v>
      </c>
      <c r="E1890" s="2">
        <f t="shared" ca="1" si="138"/>
        <v>43404</v>
      </c>
      <c r="F1890" s="6">
        <f t="shared" ca="1" si="139"/>
        <v>4.6909649163737024</v>
      </c>
    </row>
    <row r="1891" spans="1:6">
      <c r="A1891" s="1">
        <v>9126967</v>
      </c>
      <c r="B1891" s="1">
        <f t="shared" ca="1" si="136"/>
        <v>0.81962090029686541</v>
      </c>
      <c r="C1891" s="1">
        <f t="shared" ca="1" si="140"/>
        <v>16</v>
      </c>
      <c r="D1891" s="1">
        <f t="shared" ca="1" si="137"/>
        <v>465</v>
      </c>
      <c r="E1891" s="2">
        <f t="shared" ca="1" si="138"/>
        <v>43263</v>
      </c>
      <c r="F1891" s="6">
        <f t="shared" ca="1" si="139"/>
        <v>102.08854248426596</v>
      </c>
    </row>
    <row r="1892" spans="1:6">
      <c r="A1892" s="1">
        <v>9126970</v>
      </c>
      <c r="B1892" s="1">
        <f t="shared" ca="1" si="136"/>
        <v>9.1601705596775163E-2</v>
      </c>
      <c r="C1892" s="1">
        <f t="shared" ca="1" si="140"/>
        <v>343</v>
      </c>
      <c r="D1892" s="1">
        <f t="shared" ca="1" si="137"/>
        <v>489</v>
      </c>
      <c r="E1892" s="2">
        <f t="shared" ca="1" si="138"/>
        <v>43062</v>
      </c>
      <c r="F1892" s="6">
        <f t="shared" ca="1" si="139"/>
        <v>7.2039676661539485</v>
      </c>
    </row>
    <row r="1893" spans="1:6">
      <c r="A1893" s="1">
        <v>9126973</v>
      </c>
      <c r="B1893" s="1">
        <f t="shared" ca="1" si="136"/>
        <v>0.46772742244458809</v>
      </c>
      <c r="C1893" s="1">
        <f t="shared" ca="1" si="140"/>
        <v>40</v>
      </c>
      <c r="D1893" s="1">
        <f t="shared" ca="1" si="137"/>
        <v>426</v>
      </c>
      <c r="E1893" s="2">
        <f t="shared" ca="1" si="138"/>
        <v>43436</v>
      </c>
      <c r="F1893" s="6">
        <f t="shared" ca="1" si="139"/>
        <v>13.814870068811473</v>
      </c>
    </row>
    <row r="1894" spans="1:6">
      <c r="A1894" s="1">
        <v>9126976</v>
      </c>
      <c r="B1894" s="1">
        <f t="shared" ca="1" si="136"/>
        <v>0.30237094224824856</v>
      </c>
      <c r="C1894" s="1">
        <f t="shared" ca="1" si="140"/>
        <v>148</v>
      </c>
      <c r="D1894" s="1">
        <f t="shared" ca="1" si="137"/>
        <v>541</v>
      </c>
      <c r="E1894" s="2">
        <f t="shared" ca="1" si="138"/>
        <v>43122</v>
      </c>
      <c r="F1894" s="6">
        <f t="shared" ca="1" si="139"/>
        <v>71.669055066150321</v>
      </c>
    </row>
    <row r="1895" spans="1:6">
      <c r="A1895" s="1">
        <v>9126979</v>
      </c>
      <c r="B1895" s="1">
        <f t="shared" ca="1" si="136"/>
        <v>0.87361960873327327</v>
      </c>
      <c r="C1895" s="1">
        <f t="shared" ca="1" si="140"/>
        <v>19</v>
      </c>
      <c r="D1895" s="1">
        <f t="shared" ca="1" si="137"/>
        <v>42</v>
      </c>
      <c r="E1895" s="2">
        <f t="shared" ca="1" si="138"/>
        <v>42902</v>
      </c>
      <c r="F1895" s="6">
        <f t="shared" ca="1" si="139"/>
        <v>15.476633253062509</v>
      </c>
    </row>
    <row r="1896" spans="1:6">
      <c r="A1896" s="1">
        <v>9126982</v>
      </c>
      <c r="B1896" s="1">
        <f t="shared" ca="1" si="136"/>
        <v>0.40843844940169005</v>
      </c>
      <c r="C1896" s="1">
        <f t="shared" ca="1" si="140"/>
        <v>46</v>
      </c>
      <c r="D1896" s="1">
        <f t="shared" ca="1" si="137"/>
        <v>192</v>
      </c>
      <c r="E1896" s="2">
        <f t="shared" ca="1" si="138"/>
        <v>43281</v>
      </c>
      <c r="F1896" s="6">
        <f t="shared" ca="1" si="139"/>
        <v>5.0696302978122612</v>
      </c>
    </row>
    <row r="1897" spans="1:6">
      <c r="A1897" s="1">
        <v>9126985</v>
      </c>
      <c r="B1897" s="1">
        <f t="shared" ca="1" si="136"/>
        <v>0.79131694716993939</v>
      </c>
      <c r="C1897" s="1">
        <f t="shared" ca="1" si="140"/>
        <v>99</v>
      </c>
      <c r="D1897" s="1">
        <f t="shared" ca="1" si="137"/>
        <v>464</v>
      </c>
      <c r="E1897" s="2">
        <f t="shared" ca="1" si="138"/>
        <v>43016</v>
      </c>
      <c r="F1897" s="6">
        <f t="shared" ca="1" si="139"/>
        <v>104.21481104491421</v>
      </c>
    </row>
    <row r="1898" spans="1:6">
      <c r="A1898" s="1">
        <v>9126988</v>
      </c>
      <c r="B1898" s="1">
        <f t="shared" ca="1" si="136"/>
        <v>0.46987716753178754</v>
      </c>
      <c r="C1898" s="1">
        <f t="shared" ca="1" si="140"/>
        <v>42</v>
      </c>
      <c r="D1898" s="1">
        <f t="shared" ca="1" si="137"/>
        <v>36</v>
      </c>
      <c r="E1898" s="2">
        <f t="shared" ca="1" si="138"/>
        <v>43441</v>
      </c>
      <c r="F1898" s="6">
        <f t="shared" ca="1" si="139"/>
        <v>28.335096046152923</v>
      </c>
    </row>
    <row r="1899" spans="1:6">
      <c r="A1899" s="1">
        <v>9126991</v>
      </c>
      <c r="B1899" s="1">
        <f t="shared" ca="1" si="136"/>
        <v>0.95684707620336273</v>
      </c>
      <c r="C1899" s="1">
        <f t="shared" ca="1" si="140"/>
        <v>6</v>
      </c>
      <c r="D1899" s="1">
        <f t="shared" ca="1" si="137"/>
        <v>208</v>
      </c>
      <c r="E1899" s="2">
        <f t="shared" ca="1" si="138"/>
        <v>42848</v>
      </c>
      <c r="F1899" s="6">
        <f t="shared" ca="1" si="139"/>
        <v>6.1766731297645165</v>
      </c>
    </row>
    <row r="1900" spans="1:6">
      <c r="A1900" s="1">
        <v>9126994</v>
      </c>
      <c r="B1900" s="1">
        <f t="shared" ca="1" si="136"/>
        <v>1.142070855572086E-2</v>
      </c>
      <c r="C1900" s="1">
        <f t="shared" ca="1" si="140"/>
        <v>114</v>
      </c>
      <c r="D1900" s="1">
        <f t="shared" ca="1" si="137"/>
        <v>581</v>
      </c>
      <c r="E1900" s="2">
        <f t="shared" ca="1" si="138"/>
        <v>43126</v>
      </c>
      <c r="F1900" s="6">
        <f t="shared" ca="1" si="139"/>
        <v>77.383336834206531</v>
      </c>
    </row>
    <row r="1901" spans="1:6">
      <c r="A1901" s="1">
        <v>9126997</v>
      </c>
      <c r="B1901" s="1">
        <f t="shared" ca="1" si="136"/>
        <v>0.87555760300390528</v>
      </c>
      <c r="C1901" s="1">
        <f t="shared" ca="1" si="140"/>
        <v>3</v>
      </c>
      <c r="D1901" s="1">
        <f t="shared" ca="1" si="137"/>
        <v>263</v>
      </c>
      <c r="E1901" s="2">
        <f t="shared" ca="1" si="138"/>
        <v>42914</v>
      </c>
      <c r="F1901" s="6">
        <f t="shared" ca="1" si="139"/>
        <v>34.947960107633705</v>
      </c>
    </row>
    <row r="1902" spans="1:6">
      <c r="A1902" s="1">
        <v>9127000</v>
      </c>
      <c r="B1902" s="1">
        <f t="shared" ca="1" si="136"/>
        <v>0.89572990998418522</v>
      </c>
      <c r="C1902" s="1">
        <f t="shared" ca="1" si="140"/>
        <v>119</v>
      </c>
      <c r="D1902" s="1">
        <f t="shared" ca="1" si="137"/>
        <v>184</v>
      </c>
      <c r="E1902" s="2">
        <f t="shared" ca="1" si="138"/>
        <v>42896</v>
      </c>
      <c r="F1902" s="6">
        <f t="shared" ca="1" si="139"/>
        <v>16.374623832381154</v>
      </c>
    </row>
    <row r="1903" spans="1:6">
      <c r="A1903" s="1">
        <v>9127003</v>
      </c>
      <c r="B1903" s="1">
        <f t="shared" ca="1" si="136"/>
        <v>0.37244415544789489</v>
      </c>
      <c r="C1903" s="1">
        <f t="shared" ca="1" si="140"/>
        <v>3</v>
      </c>
      <c r="D1903" s="1">
        <f t="shared" ca="1" si="137"/>
        <v>263</v>
      </c>
      <c r="E1903" s="2">
        <f t="shared" ca="1" si="138"/>
        <v>43292</v>
      </c>
      <c r="F1903" s="6">
        <f t="shared" ca="1" si="139"/>
        <v>192.99415247366423</v>
      </c>
    </row>
    <row r="1904" spans="1:6">
      <c r="A1904" s="1">
        <v>9127006</v>
      </c>
      <c r="B1904" s="1">
        <f t="shared" ca="1" si="136"/>
        <v>5.4024266913726748E-2</v>
      </c>
      <c r="C1904" s="1">
        <f t="shared" ca="1" si="140"/>
        <v>5</v>
      </c>
      <c r="D1904" s="1">
        <f t="shared" ca="1" si="137"/>
        <v>363</v>
      </c>
      <c r="E1904" s="2">
        <f t="shared" ca="1" si="138"/>
        <v>43035</v>
      </c>
      <c r="F1904" s="6">
        <f t="shared" ca="1" si="139"/>
        <v>205.8680909156048</v>
      </c>
    </row>
    <row r="1905" spans="1:6">
      <c r="A1905" s="1">
        <v>9127009</v>
      </c>
      <c r="B1905" s="1">
        <f t="shared" ca="1" si="136"/>
        <v>0.81390347150410813</v>
      </c>
      <c r="C1905" s="1">
        <f t="shared" ca="1" si="140"/>
        <v>1</v>
      </c>
      <c r="D1905" s="1">
        <f t="shared" ca="1" si="137"/>
        <v>474</v>
      </c>
      <c r="E1905" s="2">
        <f t="shared" ca="1" si="138"/>
        <v>43497</v>
      </c>
      <c r="F1905" s="6">
        <f t="shared" ca="1" si="139"/>
        <v>42.001947170104692</v>
      </c>
    </row>
    <row r="1906" spans="1:6">
      <c r="A1906" s="1">
        <v>9127012</v>
      </c>
      <c r="B1906" s="1">
        <f t="shared" ca="1" si="136"/>
        <v>3.5862512002734936E-2</v>
      </c>
      <c r="C1906" s="1">
        <f t="shared" ca="1" si="140"/>
        <v>2</v>
      </c>
      <c r="D1906" s="1">
        <f t="shared" ca="1" si="137"/>
        <v>30</v>
      </c>
      <c r="E1906" s="2">
        <f t="shared" ca="1" si="138"/>
        <v>43331</v>
      </c>
      <c r="F1906" s="6">
        <f t="shared" ca="1" si="139"/>
        <v>35.584852218112232</v>
      </c>
    </row>
    <row r="1907" spans="1:6">
      <c r="A1907" s="1">
        <v>9127015</v>
      </c>
      <c r="B1907" s="1">
        <f t="shared" ca="1" si="136"/>
        <v>0.21064736530894879</v>
      </c>
      <c r="C1907" s="1">
        <f t="shared" ca="1" si="140"/>
        <v>279</v>
      </c>
      <c r="D1907" s="1">
        <f t="shared" ca="1" si="137"/>
        <v>375</v>
      </c>
      <c r="E1907" s="2">
        <f t="shared" ca="1" si="138"/>
        <v>43021</v>
      </c>
      <c r="F1907" s="6">
        <f t="shared" ca="1" si="139"/>
        <v>15.390311023022225</v>
      </c>
    </row>
    <row r="1908" spans="1:6">
      <c r="A1908" s="1">
        <v>9127018</v>
      </c>
      <c r="B1908" s="1">
        <f t="shared" ca="1" si="136"/>
        <v>0.36095460364701415</v>
      </c>
      <c r="C1908" s="1">
        <f t="shared" ca="1" si="140"/>
        <v>155</v>
      </c>
      <c r="D1908" s="1">
        <f t="shared" ca="1" si="137"/>
        <v>12</v>
      </c>
      <c r="E1908" s="2">
        <f t="shared" ca="1" si="138"/>
        <v>43004</v>
      </c>
      <c r="F1908" s="6">
        <f t="shared" ca="1" si="139"/>
        <v>7.8046190673018643</v>
      </c>
    </row>
    <row r="1909" spans="1:6">
      <c r="A1909" s="1">
        <v>9127021</v>
      </c>
      <c r="B1909" s="1">
        <f t="shared" ca="1" si="136"/>
        <v>0.77857238554065666</v>
      </c>
      <c r="C1909" s="1">
        <f t="shared" ca="1" si="140"/>
        <v>11</v>
      </c>
      <c r="D1909" s="1">
        <f t="shared" ca="1" si="137"/>
        <v>437</v>
      </c>
      <c r="E1909" s="2">
        <f t="shared" ca="1" si="138"/>
        <v>43384</v>
      </c>
      <c r="F1909" s="6">
        <f t="shared" ca="1" si="139"/>
        <v>3.0604305530790059</v>
      </c>
    </row>
    <row r="1910" spans="1:6">
      <c r="A1910" s="1">
        <v>9127024</v>
      </c>
      <c r="B1910" s="1">
        <f t="shared" ca="1" si="136"/>
        <v>0.36720419463590392</v>
      </c>
      <c r="C1910" s="1">
        <f t="shared" ca="1" si="140"/>
        <v>55</v>
      </c>
      <c r="D1910" s="1">
        <f t="shared" ca="1" si="137"/>
        <v>220</v>
      </c>
      <c r="E1910" s="2">
        <f t="shared" ca="1" si="138"/>
        <v>42768</v>
      </c>
      <c r="F1910" s="6">
        <f t="shared" ca="1" si="139"/>
        <v>31.928754819300927</v>
      </c>
    </row>
    <row r="1911" spans="1:6">
      <c r="A1911" s="1">
        <v>9127027</v>
      </c>
      <c r="B1911" s="1">
        <f t="shared" ca="1" si="136"/>
        <v>0.69014743275156187</v>
      </c>
      <c r="C1911" s="1">
        <f t="shared" ca="1" si="140"/>
        <v>12</v>
      </c>
      <c r="D1911" s="1">
        <f t="shared" ca="1" si="137"/>
        <v>292</v>
      </c>
      <c r="E1911" s="2">
        <f t="shared" ca="1" si="138"/>
        <v>43166</v>
      </c>
      <c r="F1911" s="6">
        <f t="shared" ca="1" si="139"/>
        <v>57.921989849057404</v>
      </c>
    </row>
    <row r="1912" spans="1:6">
      <c r="A1912" s="1">
        <v>9127030</v>
      </c>
      <c r="B1912" s="1">
        <f t="shared" ca="1" si="136"/>
        <v>0.42026942657170019</v>
      </c>
      <c r="C1912" s="1">
        <f t="shared" ca="1" si="140"/>
        <v>17</v>
      </c>
      <c r="D1912" s="1">
        <f t="shared" ca="1" si="137"/>
        <v>165</v>
      </c>
      <c r="E1912" s="2">
        <f t="shared" ca="1" si="138"/>
        <v>43463</v>
      </c>
      <c r="F1912" s="6">
        <f t="shared" ca="1" si="139"/>
        <v>4.137041462658253</v>
      </c>
    </row>
    <row r="1913" spans="1:6">
      <c r="A1913" s="1">
        <v>9127033</v>
      </c>
      <c r="B1913" s="1">
        <f t="shared" ca="1" si="136"/>
        <v>0.26620249337968838</v>
      </c>
      <c r="C1913" s="1">
        <f t="shared" ca="1" si="140"/>
        <v>45</v>
      </c>
      <c r="D1913" s="1">
        <f t="shared" ca="1" si="137"/>
        <v>482</v>
      </c>
      <c r="E1913" s="2">
        <f t="shared" ca="1" si="138"/>
        <v>43377</v>
      </c>
      <c r="F1913" s="6">
        <f t="shared" ca="1" si="139"/>
        <v>30.196289685452861</v>
      </c>
    </row>
    <row r="1914" spans="1:6">
      <c r="A1914" s="1">
        <v>9127036</v>
      </c>
      <c r="B1914" s="1">
        <f t="shared" ca="1" si="136"/>
        <v>0.16845127911998725</v>
      </c>
      <c r="C1914" s="1">
        <f t="shared" ca="1" si="140"/>
        <v>12</v>
      </c>
      <c r="D1914" s="1">
        <f t="shared" ca="1" si="137"/>
        <v>292</v>
      </c>
      <c r="E1914" s="2">
        <f t="shared" ca="1" si="138"/>
        <v>42959</v>
      </c>
      <c r="F1914" s="6">
        <f t="shared" ca="1" si="139"/>
        <v>285.64049025654407</v>
      </c>
    </row>
    <row r="1915" spans="1:6">
      <c r="A1915" s="1">
        <v>9127039</v>
      </c>
      <c r="B1915" s="1">
        <f t="shared" ca="1" si="136"/>
        <v>0.74207396417433902</v>
      </c>
      <c r="C1915" s="1">
        <f t="shared" ca="1" si="140"/>
        <v>7</v>
      </c>
      <c r="D1915" s="1">
        <f t="shared" ca="1" si="137"/>
        <v>138</v>
      </c>
      <c r="E1915" s="2">
        <f t="shared" ca="1" si="138"/>
        <v>43232</v>
      </c>
      <c r="F1915" s="6">
        <f t="shared" ca="1" si="139"/>
        <v>11.513725413893951</v>
      </c>
    </row>
    <row r="1916" spans="1:6">
      <c r="A1916" s="1">
        <v>9127042</v>
      </c>
      <c r="B1916" s="1">
        <f t="shared" ca="1" si="136"/>
        <v>0.13874820290338097</v>
      </c>
      <c r="C1916" s="1">
        <f t="shared" ca="1" si="140"/>
        <v>42</v>
      </c>
      <c r="D1916" s="1">
        <f t="shared" ca="1" si="137"/>
        <v>36</v>
      </c>
      <c r="E1916" s="2">
        <f t="shared" ca="1" si="138"/>
        <v>43373</v>
      </c>
      <c r="F1916" s="6">
        <f t="shared" ca="1" si="139"/>
        <v>3.8121814017587168</v>
      </c>
    </row>
    <row r="1917" spans="1:6">
      <c r="A1917" s="1">
        <v>9127045</v>
      </c>
      <c r="B1917" s="1">
        <f t="shared" ca="1" si="136"/>
        <v>0.92750519089652395</v>
      </c>
      <c r="C1917" s="1">
        <f t="shared" ca="1" si="140"/>
        <v>8</v>
      </c>
      <c r="D1917" s="1">
        <f t="shared" ca="1" si="137"/>
        <v>456</v>
      </c>
      <c r="E1917" s="2">
        <f t="shared" ca="1" si="138"/>
        <v>43296</v>
      </c>
      <c r="F1917" s="6">
        <f t="shared" ca="1" si="139"/>
        <v>5.3531839934065379</v>
      </c>
    </row>
    <row r="1918" spans="1:6">
      <c r="A1918" s="1">
        <v>9127048</v>
      </c>
      <c r="B1918" s="1">
        <f t="shared" ca="1" si="136"/>
        <v>4.8793881469888833E-2</v>
      </c>
      <c r="C1918" s="1">
        <f t="shared" ca="1" si="140"/>
        <v>8</v>
      </c>
      <c r="D1918" s="1">
        <f t="shared" ca="1" si="137"/>
        <v>456</v>
      </c>
      <c r="E1918" s="2">
        <f t="shared" ca="1" si="138"/>
        <v>42821</v>
      </c>
      <c r="F1918" s="6">
        <f t="shared" ca="1" si="139"/>
        <v>17.280135512204161</v>
      </c>
    </row>
    <row r="1919" spans="1:6">
      <c r="A1919" s="1">
        <v>9127051</v>
      </c>
      <c r="B1919" s="1">
        <f t="shared" ca="1" si="136"/>
        <v>0.22099205760070528</v>
      </c>
      <c r="C1919" s="1">
        <f t="shared" ca="1" si="140"/>
        <v>2</v>
      </c>
      <c r="D1919" s="1">
        <f t="shared" ca="1" si="137"/>
        <v>30</v>
      </c>
      <c r="E1919" s="2">
        <f t="shared" ca="1" si="138"/>
        <v>43375</v>
      </c>
      <c r="F1919" s="6">
        <f t="shared" ca="1" si="139"/>
        <v>14.595315335257371</v>
      </c>
    </row>
    <row r="1920" spans="1:6">
      <c r="A1920" s="1">
        <v>9127054</v>
      </c>
      <c r="B1920" s="1">
        <f t="shared" ca="1" si="136"/>
        <v>0.9118304617186318</v>
      </c>
      <c r="C1920" s="1">
        <f t="shared" ca="1" si="140"/>
        <v>134</v>
      </c>
      <c r="D1920" s="1">
        <f t="shared" ca="1" si="137"/>
        <v>374</v>
      </c>
      <c r="E1920" s="2">
        <f t="shared" ca="1" si="138"/>
        <v>43027</v>
      </c>
      <c r="F1920" s="6">
        <f t="shared" ca="1" si="139"/>
        <v>16.629283948169615</v>
      </c>
    </row>
    <row r="1921" spans="1:6">
      <c r="A1921" s="1">
        <v>9127057</v>
      </c>
      <c r="B1921" s="1">
        <f t="shared" ca="1" si="136"/>
        <v>0.44328163702158263</v>
      </c>
      <c r="C1921" s="1">
        <f t="shared" ca="1" si="140"/>
        <v>16</v>
      </c>
      <c r="D1921" s="1">
        <f t="shared" ca="1" si="137"/>
        <v>465</v>
      </c>
      <c r="E1921" s="2">
        <f t="shared" ca="1" si="138"/>
        <v>42960</v>
      </c>
      <c r="F1921" s="6">
        <f t="shared" ca="1" si="139"/>
        <v>17.319665617922539</v>
      </c>
    </row>
    <row r="1922" spans="1:6">
      <c r="A1922" s="1">
        <v>9127060</v>
      </c>
      <c r="B1922" s="1">
        <f t="shared" ref="B1922:B1985" ca="1" si="141">RAND()</f>
        <v>0.93331021949754167</v>
      </c>
      <c r="C1922" s="1">
        <f t="shared" ca="1" si="140"/>
        <v>96</v>
      </c>
      <c r="D1922" s="1">
        <f t="shared" ca="1" si="137"/>
        <v>486</v>
      </c>
      <c r="E1922" s="2">
        <f t="shared" ca="1" si="138"/>
        <v>43336</v>
      </c>
      <c r="F1922" s="6">
        <f t="shared" ca="1" si="139"/>
        <v>66.499201190851721</v>
      </c>
    </row>
    <row r="1923" spans="1:6">
      <c r="A1923" s="1">
        <v>9127063</v>
      </c>
      <c r="B1923" s="1">
        <f t="shared" ca="1" si="141"/>
        <v>0.65499471217817862</v>
      </c>
      <c r="C1923" s="1">
        <f t="shared" ca="1" si="140"/>
        <v>56</v>
      </c>
      <c r="D1923" s="1">
        <f t="shared" ref="D1923:D1986" ca="1" si="142">VLOOKUP(SMALL($B$2:$B$601,C1923),$B$2:$C$601,2,FALSE)</f>
        <v>57</v>
      </c>
      <c r="E1923" s="2">
        <f t="shared" ref="E1923:E1986" ca="1" si="143">RANDBETWEEN("1/1/17","2/1/19")</f>
        <v>43246</v>
      </c>
      <c r="F1923" s="6">
        <f t="shared" ref="F1923:F1986" ca="1" si="144">_xlfn.GAMMA.INV(RAND(),$J$6,$J$7)*100+3</f>
        <v>14.453158930100651</v>
      </c>
    </row>
    <row r="1924" spans="1:6">
      <c r="A1924" s="1">
        <v>9127066</v>
      </c>
      <c r="B1924" s="1">
        <f t="shared" ca="1" si="141"/>
        <v>0.89479041774040968</v>
      </c>
      <c r="C1924" s="1">
        <f t="shared" ca="1" si="140"/>
        <v>211</v>
      </c>
      <c r="D1924" s="1">
        <f t="shared" ca="1" si="142"/>
        <v>490</v>
      </c>
      <c r="E1924" s="2">
        <f t="shared" ca="1" si="143"/>
        <v>43120</v>
      </c>
      <c r="F1924" s="6">
        <f t="shared" ca="1" si="144"/>
        <v>26.237335205985257</v>
      </c>
    </row>
    <row r="1925" spans="1:6">
      <c r="A1925" s="1">
        <v>9127069</v>
      </c>
      <c r="B1925" s="1">
        <f t="shared" ca="1" si="141"/>
        <v>0.74580251888945437</v>
      </c>
      <c r="C1925" s="1">
        <f t="shared" ca="1" si="140"/>
        <v>21</v>
      </c>
      <c r="D1925" s="1">
        <f t="shared" ca="1" si="142"/>
        <v>566</v>
      </c>
      <c r="E1925" s="2">
        <f t="shared" ca="1" si="143"/>
        <v>43178</v>
      </c>
      <c r="F1925" s="6">
        <f t="shared" ca="1" si="144"/>
        <v>38.780277153797037</v>
      </c>
    </row>
    <row r="1926" spans="1:6">
      <c r="A1926" s="1">
        <v>9127072</v>
      </c>
      <c r="B1926" s="1">
        <f t="shared" ca="1" si="141"/>
        <v>0.15496757970199793</v>
      </c>
      <c r="C1926" s="1">
        <f t="shared" ca="1" si="140"/>
        <v>7</v>
      </c>
      <c r="D1926" s="1">
        <f t="shared" ca="1" si="142"/>
        <v>138</v>
      </c>
      <c r="E1926" s="2">
        <f t="shared" ca="1" si="143"/>
        <v>43078</v>
      </c>
      <c r="F1926" s="6">
        <f t="shared" ca="1" si="144"/>
        <v>112.95970937232525</v>
      </c>
    </row>
    <row r="1927" spans="1:6">
      <c r="A1927" s="1">
        <v>9127075</v>
      </c>
      <c r="B1927" s="1">
        <f t="shared" ca="1" si="141"/>
        <v>0.7162779030370815</v>
      </c>
      <c r="C1927" s="1">
        <f t="shared" ca="1" si="140"/>
        <v>129</v>
      </c>
      <c r="D1927" s="1">
        <f t="shared" ca="1" si="142"/>
        <v>393</v>
      </c>
      <c r="E1927" s="2">
        <f t="shared" ca="1" si="143"/>
        <v>43268</v>
      </c>
      <c r="F1927" s="6">
        <f t="shared" ca="1" si="144"/>
        <v>6.4606422614820236</v>
      </c>
    </row>
    <row r="1928" spans="1:6">
      <c r="A1928" s="1">
        <v>9127078</v>
      </c>
      <c r="B1928" s="1">
        <f t="shared" ca="1" si="141"/>
        <v>0.66566212403127167</v>
      </c>
      <c r="C1928" s="1">
        <f t="shared" ca="1" si="140"/>
        <v>4</v>
      </c>
      <c r="D1928" s="1">
        <f t="shared" ca="1" si="142"/>
        <v>493</v>
      </c>
      <c r="E1928" s="2">
        <f t="shared" ca="1" si="143"/>
        <v>42891</v>
      </c>
      <c r="F1928" s="6">
        <f t="shared" ca="1" si="144"/>
        <v>3.5904810490687358</v>
      </c>
    </row>
    <row r="1929" spans="1:6">
      <c r="A1929" s="1">
        <v>9127081</v>
      </c>
      <c r="B1929" s="1">
        <f t="shared" ca="1" si="141"/>
        <v>0.21568428940039719</v>
      </c>
      <c r="C1929" s="1">
        <f t="shared" ca="1" si="140"/>
        <v>4</v>
      </c>
      <c r="D1929" s="1">
        <f t="shared" ca="1" si="142"/>
        <v>493</v>
      </c>
      <c r="E1929" s="2">
        <f t="shared" ca="1" si="143"/>
        <v>43440</v>
      </c>
      <c r="F1929" s="6">
        <f t="shared" ca="1" si="144"/>
        <v>6.892947187766902</v>
      </c>
    </row>
    <row r="1930" spans="1:6">
      <c r="A1930" s="1">
        <v>9127084</v>
      </c>
      <c r="B1930" s="1">
        <f t="shared" ca="1" si="141"/>
        <v>0.31977219414339941</v>
      </c>
      <c r="C1930" s="1">
        <f t="shared" ca="1" si="140"/>
        <v>31</v>
      </c>
      <c r="D1930" s="1">
        <f t="shared" ca="1" si="142"/>
        <v>535</v>
      </c>
      <c r="E1930" s="2">
        <f t="shared" ca="1" si="143"/>
        <v>42880</v>
      </c>
      <c r="F1930" s="6">
        <f t="shared" ca="1" si="144"/>
        <v>3.2533386078454813</v>
      </c>
    </row>
    <row r="1931" spans="1:6">
      <c r="A1931" s="1">
        <v>9127087</v>
      </c>
      <c r="B1931" s="1">
        <f t="shared" ca="1" si="141"/>
        <v>0.52939483321376746</v>
      </c>
      <c r="C1931" s="1">
        <f t="shared" ca="1" si="140"/>
        <v>6</v>
      </c>
      <c r="D1931" s="1">
        <f t="shared" ca="1" si="142"/>
        <v>208</v>
      </c>
      <c r="E1931" s="2">
        <f t="shared" ca="1" si="143"/>
        <v>42958</v>
      </c>
      <c r="F1931" s="6">
        <f t="shared" ca="1" si="144"/>
        <v>67.013424953519788</v>
      </c>
    </row>
    <row r="1932" spans="1:6">
      <c r="A1932" s="1">
        <v>9127090</v>
      </c>
      <c r="B1932" s="1">
        <f t="shared" ca="1" si="141"/>
        <v>0.22513721054756597</v>
      </c>
      <c r="C1932" s="1">
        <f t="shared" ca="1" si="140"/>
        <v>2</v>
      </c>
      <c r="D1932" s="1">
        <f t="shared" ca="1" si="142"/>
        <v>30</v>
      </c>
      <c r="E1932" s="2">
        <f t="shared" ca="1" si="143"/>
        <v>43398</v>
      </c>
      <c r="F1932" s="6">
        <f t="shared" ca="1" si="144"/>
        <v>3.0624877718474863</v>
      </c>
    </row>
    <row r="1933" spans="1:6">
      <c r="A1933" s="1">
        <v>9127093</v>
      </c>
      <c r="B1933" s="1">
        <f t="shared" ca="1" si="141"/>
        <v>0.63943192105379953</v>
      </c>
      <c r="C1933" s="1">
        <f t="shared" ca="1" si="140"/>
        <v>28</v>
      </c>
      <c r="D1933" s="1">
        <f t="shared" ca="1" si="142"/>
        <v>401</v>
      </c>
      <c r="E1933" s="2">
        <f t="shared" ca="1" si="143"/>
        <v>43097</v>
      </c>
      <c r="F1933" s="6">
        <f t="shared" ca="1" si="144"/>
        <v>3.2724085527023314</v>
      </c>
    </row>
    <row r="1934" spans="1:6">
      <c r="A1934" s="1">
        <v>9127096</v>
      </c>
      <c r="B1934" s="1">
        <f t="shared" ca="1" si="141"/>
        <v>5.6499365135026514E-3</v>
      </c>
      <c r="C1934" s="1">
        <f t="shared" ca="1" si="140"/>
        <v>6</v>
      </c>
      <c r="D1934" s="1">
        <f t="shared" ca="1" si="142"/>
        <v>208</v>
      </c>
      <c r="E1934" s="2">
        <f t="shared" ca="1" si="143"/>
        <v>43382</v>
      </c>
      <c r="F1934" s="6">
        <f t="shared" ca="1" si="144"/>
        <v>197.43532788071769</v>
      </c>
    </row>
    <row r="1935" spans="1:6">
      <c r="A1935" s="1">
        <v>9127099</v>
      </c>
      <c r="B1935" s="1">
        <f t="shared" ca="1" si="141"/>
        <v>9.2456750228706142E-2</v>
      </c>
      <c r="C1935" s="1">
        <f t="shared" ca="1" si="140"/>
        <v>3</v>
      </c>
      <c r="D1935" s="1">
        <f t="shared" ca="1" si="142"/>
        <v>263</v>
      </c>
      <c r="E1935" s="2">
        <f t="shared" ca="1" si="143"/>
        <v>43331</v>
      </c>
      <c r="F1935" s="6">
        <f t="shared" ca="1" si="144"/>
        <v>11.039383708916223</v>
      </c>
    </row>
    <row r="1936" spans="1:6">
      <c r="A1936" s="1">
        <v>9127102</v>
      </c>
      <c r="B1936" s="1">
        <f t="shared" ca="1" si="141"/>
        <v>0.38346470577813241</v>
      </c>
      <c r="C1936" s="1">
        <f t="shared" ca="1" si="140"/>
        <v>66</v>
      </c>
      <c r="D1936" s="1">
        <f t="shared" ca="1" si="142"/>
        <v>128</v>
      </c>
      <c r="E1936" s="2">
        <f t="shared" ca="1" si="143"/>
        <v>43217</v>
      </c>
      <c r="F1936" s="6">
        <f t="shared" ca="1" si="144"/>
        <v>26.541865003729644</v>
      </c>
    </row>
    <row r="1937" spans="1:6">
      <c r="A1937" s="1">
        <v>9127105</v>
      </c>
      <c r="B1937" s="1">
        <f t="shared" ca="1" si="141"/>
        <v>0.66517638808177537</v>
      </c>
      <c r="C1937" s="1">
        <f t="shared" ca="1" si="140"/>
        <v>28</v>
      </c>
      <c r="D1937" s="1">
        <f t="shared" ca="1" si="142"/>
        <v>401</v>
      </c>
      <c r="E1937" s="2">
        <f t="shared" ca="1" si="143"/>
        <v>43318</v>
      </c>
      <c r="F1937" s="6">
        <f t="shared" ca="1" si="144"/>
        <v>3.9671654149484086</v>
      </c>
    </row>
    <row r="1938" spans="1:6">
      <c r="A1938" s="1">
        <v>9127108</v>
      </c>
      <c r="B1938" s="1">
        <f t="shared" ca="1" si="141"/>
        <v>0.9221161932400167</v>
      </c>
      <c r="C1938" s="1">
        <f t="shared" ca="1" si="140"/>
        <v>4</v>
      </c>
      <c r="D1938" s="1">
        <f t="shared" ca="1" si="142"/>
        <v>493</v>
      </c>
      <c r="E1938" s="2">
        <f t="shared" ca="1" si="143"/>
        <v>43422</v>
      </c>
      <c r="F1938" s="6">
        <f t="shared" ca="1" si="144"/>
        <v>70.491746916007131</v>
      </c>
    </row>
    <row r="1939" spans="1:6">
      <c r="A1939" s="1">
        <v>9127111</v>
      </c>
      <c r="B1939" s="1">
        <f t="shared" ca="1" si="141"/>
        <v>0.86201858355063876</v>
      </c>
      <c r="C1939" s="1">
        <f t="shared" ca="1" si="140"/>
        <v>41</v>
      </c>
      <c r="D1939" s="1">
        <f t="shared" ca="1" si="142"/>
        <v>37</v>
      </c>
      <c r="E1939" s="2">
        <f t="shared" ca="1" si="143"/>
        <v>43162</v>
      </c>
      <c r="F1939" s="6">
        <f t="shared" ca="1" si="144"/>
        <v>3.1153311420872107</v>
      </c>
    </row>
    <row r="1940" spans="1:6">
      <c r="A1940" s="1">
        <v>9127114</v>
      </c>
      <c r="B1940" s="1">
        <f t="shared" ca="1" si="141"/>
        <v>0.86944705728723903</v>
      </c>
      <c r="C1940" s="1">
        <f t="shared" ca="1" si="140"/>
        <v>3</v>
      </c>
      <c r="D1940" s="1">
        <f t="shared" ca="1" si="142"/>
        <v>263</v>
      </c>
      <c r="E1940" s="2">
        <f t="shared" ca="1" si="143"/>
        <v>43270</v>
      </c>
      <c r="F1940" s="6">
        <f t="shared" ca="1" si="144"/>
        <v>84.989889677182219</v>
      </c>
    </row>
    <row r="1941" spans="1:6">
      <c r="A1941" s="1">
        <v>9127117</v>
      </c>
      <c r="B1941" s="1">
        <f t="shared" ca="1" si="141"/>
        <v>0.41462103303514752</v>
      </c>
      <c r="C1941" s="1">
        <f t="shared" ca="1" si="140"/>
        <v>2</v>
      </c>
      <c r="D1941" s="1">
        <f t="shared" ca="1" si="142"/>
        <v>30</v>
      </c>
      <c r="E1941" s="2">
        <f t="shared" ca="1" si="143"/>
        <v>42783</v>
      </c>
      <c r="F1941" s="6">
        <f t="shared" ca="1" si="144"/>
        <v>5.4917669139121035</v>
      </c>
    </row>
    <row r="1942" spans="1:6">
      <c r="A1942" s="1">
        <v>9127120</v>
      </c>
      <c r="B1942" s="1">
        <f t="shared" ca="1" si="141"/>
        <v>0.87197231929266761</v>
      </c>
      <c r="C1942" s="1">
        <f t="shared" ca="1" si="140"/>
        <v>57</v>
      </c>
      <c r="D1942" s="1">
        <f t="shared" ca="1" si="142"/>
        <v>24</v>
      </c>
      <c r="E1942" s="2">
        <f t="shared" ca="1" si="143"/>
        <v>43098</v>
      </c>
      <c r="F1942" s="6">
        <f t="shared" ca="1" si="144"/>
        <v>9.7408159525079903</v>
      </c>
    </row>
    <row r="1943" spans="1:6">
      <c r="A1943" s="1">
        <v>9127123</v>
      </c>
      <c r="B1943" s="1">
        <f t="shared" ca="1" si="141"/>
        <v>0.19710564472017145</v>
      </c>
      <c r="C1943" s="1">
        <f t="shared" ca="1" si="140"/>
        <v>116</v>
      </c>
      <c r="D1943" s="1">
        <f t="shared" ca="1" si="142"/>
        <v>153</v>
      </c>
      <c r="E1943" s="2">
        <f t="shared" ca="1" si="143"/>
        <v>42738</v>
      </c>
      <c r="F1943" s="6">
        <f t="shared" ca="1" si="144"/>
        <v>34.561498649925447</v>
      </c>
    </row>
    <row r="1944" spans="1:6">
      <c r="A1944" s="1">
        <v>9127126</v>
      </c>
      <c r="B1944" s="1">
        <f t="shared" ca="1" si="141"/>
        <v>0.41846536659507916</v>
      </c>
      <c r="C1944" s="1">
        <f t="shared" ca="1" si="140"/>
        <v>15</v>
      </c>
      <c r="D1944" s="1">
        <f t="shared" ca="1" si="142"/>
        <v>284</v>
      </c>
      <c r="E1944" s="2">
        <f t="shared" ca="1" si="143"/>
        <v>43033</v>
      </c>
      <c r="F1944" s="6">
        <f t="shared" ca="1" si="144"/>
        <v>15.132964984312075</v>
      </c>
    </row>
    <row r="1945" spans="1:6">
      <c r="A1945" s="1">
        <v>9127129</v>
      </c>
      <c r="B1945" s="1">
        <f t="shared" ca="1" si="141"/>
        <v>0.86885407260445413</v>
      </c>
      <c r="C1945" s="1">
        <f t="shared" ca="1" si="140"/>
        <v>78</v>
      </c>
      <c r="D1945" s="1">
        <f t="shared" ca="1" si="142"/>
        <v>224</v>
      </c>
      <c r="E1945" s="2">
        <f t="shared" ca="1" si="143"/>
        <v>42864</v>
      </c>
      <c r="F1945" s="6">
        <f t="shared" ca="1" si="144"/>
        <v>70.492381670353481</v>
      </c>
    </row>
    <row r="1946" spans="1:6">
      <c r="A1946" s="1">
        <v>9127132</v>
      </c>
      <c r="B1946" s="1">
        <f t="shared" ca="1" si="141"/>
        <v>0.87665007079040014</v>
      </c>
      <c r="C1946" s="1">
        <f t="shared" ca="1" si="140"/>
        <v>21</v>
      </c>
      <c r="D1946" s="1">
        <f t="shared" ca="1" si="142"/>
        <v>566</v>
      </c>
      <c r="E1946" s="2">
        <f t="shared" ca="1" si="143"/>
        <v>42908</v>
      </c>
      <c r="F1946" s="6">
        <f t="shared" ca="1" si="144"/>
        <v>5.1198640119158281</v>
      </c>
    </row>
    <row r="1947" spans="1:6">
      <c r="A1947" s="1">
        <v>9127135</v>
      </c>
      <c r="B1947" s="1">
        <f t="shared" ca="1" si="141"/>
        <v>0.50331522465485623</v>
      </c>
      <c r="C1947" s="1">
        <f t="shared" ref="C1947:C2010" ca="1" si="145">ROUND(_xlfn.GAMMA.INV(RAND(),$J$11,$J$12)*100,0)+1</f>
        <v>29</v>
      </c>
      <c r="D1947" s="1">
        <f t="shared" ca="1" si="142"/>
        <v>514</v>
      </c>
      <c r="E1947" s="2">
        <f t="shared" ca="1" si="143"/>
        <v>43404</v>
      </c>
      <c r="F1947" s="6">
        <f t="shared" ca="1" si="144"/>
        <v>77.363286339369679</v>
      </c>
    </row>
    <row r="1948" spans="1:6">
      <c r="A1948" s="1">
        <v>9127138</v>
      </c>
      <c r="B1948" s="1">
        <f t="shared" ca="1" si="141"/>
        <v>0.31353290219791541</v>
      </c>
      <c r="C1948" s="1">
        <f t="shared" ca="1" si="145"/>
        <v>9</v>
      </c>
      <c r="D1948" s="1">
        <f t="shared" ca="1" si="142"/>
        <v>278</v>
      </c>
      <c r="E1948" s="2">
        <f t="shared" ca="1" si="143"/>
        <v>42961</v>
      </c>
      <c r="F1948" s="6">
        <f t="shared" ca="1" si="144"/>
        <v>53.188627493543457</v>
      </c>
    </row>
    <row r="1949" spans="1:6">
      <c r="A1949" s="1">
        <v>9127141</v>
      </c>
      <c r="B1949" s="1">
        <f t="shared" ca="1" si="141"/>
        <v>0.15078400223766164</v>
      </c>
      <c r="C1949" s="1">
        <f t="shared" ca="1" si="145"/>
        <v>11</v>
      </c>
      <c r="D1949" s="1">
        <f t="shared" ca="1" si="142"/>
        <v>437</v>
      </c>
      <c r="E1949" s="2">
        <f t="shared" ca="1" si="143"/>
        <v>43133</v>
      </c>
      <c r="F1949" s="6">
        <f t="shared" ca="1" si="144"/>
        <v>253.24652049171667</v>
      </c>
    </row>
    <row r="1950" spans="1:6">
      <c r="A1950" s="1">
        <v>9127144</v>
      </c>
      <c r="B1950" s="1">
        <f t="shared" ca="1" si="141"/>
        <v>0.160324773838741</v>
      </c>
      <c r="C1950" s="1">
        <f t="shared" ca="1" si="145"/>
        <v>14</v>
      </c>
      <c r="D1950" s="1">
        <f t="shared" ca="1" si="142"/>
        <v>576</v>
      </c>
      <c r="E1950" s="2">
        <f t="shared" ca="1" si="143"/>
        <v>43026</v>
      </c>
      <c r="F1950" s="6">
        <f t="shared" ca="1" si="144"/>
        <v>24.814974648324586</v>
      </c>
    </row>
    <row r="1951" spans="1:6">
      <c r="A1951" s="1">
        <v>9127147</v>
      </c>
      <c r="B1951" s="1">
        <f t="shared" ca="1" si="141"/>
        <v>0.67694151124911384</v>
      </c>
      <c r="C1951" s="1">
        <f t="shared" ca="1" si="145"/>
        <v>4</v>
      </c>
      <c r="D1951" s="1">
        <f t="shared" ca="1" si="142"/>
        <v>493</v>
      </c>
      <c r="E1951" s="2">
        <f t="shared" ca="1" si="143"/>
        <v>43106</v>
      </c>
      <c r="F1951" s="6">
        <f t="shared" ca="1" si="144"/>
        <v>19.161929343684406</v>
      </c>
    </row>
    <row r="1952" spans="1:6">
      <c r="A1952" s="1">
        <v>9127150</v>
      </c>
      <c r="B1952" s="1">
        <f t="shared" ca="1" si="141"/>
        <v>7.041873774099694E-2</v>
      </c>
      <c r="C1952" s="1">
        <f t="shared" ca="1" si="145"/>
        <v>21</v>
      </c>
      <c r="D1952" s="1">
        <f t="shared" ca="1" si="142"/>
        <v>566</v>
      </c>
      <c r="E1952" s="2">
        <f t="shared" ca="1" si="143"/>
        <v>42963</v>
      </c>
      <c r="F1952" s="6">
        <f t="shared" ca="1" si="144"/>
        <v>98.221479588124112</v>
      </c>
    </row>
    <row r="1953" spans="1:6">
      <c r="A1953" s="1">
        <v>9127153</v>
      </c>
      <c r="B1953" s="1">
        <f t="shared" ca="1" si="141"/>
        <v>0.81449012352255645</v>
      </c>
      <c r="C1953" s="1">
        <f t="shared" ca="1" si="145"/>
        <v>115</v>
      </c>
      <c r="D1953" s="1">
        <f t="shared" ca="1" si="142"/>
        <v>508</v>
      </c>
      <c r="E1953" s="2">
        <f t="shared" ca="1" si="143"/>
        <v>43246</v>
      </c>
      <c r="F1953" s="6">
        <f t="shared" ca="1" si="144"/>
        <v>11.839556047520453</v>
      </c>
    </row>
    <row r="1954" spans="1:6">
      <c r="A1954" s="1">
        <v>9127156</v>
      </c>
      <c r="B1954" s="1">
        <f t="shared" ca="1" si="141"/>
        <v>0.73187082685496496</v>
      </c>
      <c r="C1954" s="1">
        <f t="shared" ca="1" si="145"/>
        <v>34</v>
      </c>
      <c r="D1954" s="1">
        <f t="shared" ca="1" si="142"/>
        <v>503</v>
      </c>
      <c r="E1954" s="2">
        <f t="shared" ca="1" si="143"/>
        <v>43294</v>
      </c>
      <c r="F1954" s="6">
        <f t="shared" ca="1" si="144"/>
        <v>17.121932193570309</v>
      </c>
    </row>
    <row r="1955" spans="1:6">
      <c r="A1955" s="1">
        <v>9127159</v>
      </c>
      <c r="B1955" s="1">
        <f t="shared" ca="1" si="141"/>
        <v>0.7060110971055944</v>
      </c>
      <c r="C1955" s="1">
        <f t="shared" ca="1" si="145"/>
        <v>212</v>
      </c>
      <c r="D1955" s="1">
        <f t="shared" ca="1" si="142"/>
        <v>94</v>
      </c>
      <c r="E1955" s="2">
        <f t="shared" ca="1" si="143"/>
        <v>43121</v>
      </c>
      <c r="F1955" s="6">
        <f t="shared" ca="1" si="144"/>
        <v>3.1350313655787461</v>
      </c>
    </row>
    <row r="1956" spans="1:6">
      <c r="A1956" s="1">
        <v>9127162</v>
      </c>
      <c r="B1956" s="1">
        <f t="shared" ca="1" si="141"/>
        <v>0.36894671338385343</v>
      </c>
      <c r="C1956" s="1">
        <f t="shared" ca="1" si="145"/>
        <v>143</v>
      </c>
      <c r="D1956" s="1">
        <f t="shared" ca="1" si="142"/>
        <v>438</v>
      </c>
      <c r="E1956" s="2">
        <f t="shared" ca="1" si="143"/>
        <v>43148</v>
      </c>
      <c r="F1956" s="6">
        <f t="shared" ca="1" si="144"/>
        <v>17.745871234078201</v>
      </c>
    </row>
    <row r="1957" spans="1:6">
      <c r="A1957" s="1">
        <v>9127165</v>
      </c>
      <c r="B1957" s="1">
        <f t="shared" ca="1" si="141"/>
        <v>0.13183064830042501</v>
      </c>
      <c r="C1957" s="1">
        <f t="shared" ca="1" si="145"/>
        <v>6</v>
      </c>
      <c r="D1957" s="1">
        <f t="shared" ca="1" si="142"/>
        <v>208</v>
      </c>
      <c r="E1957" s="2">
        <f t="shared" ca="1" si="143"/>
        <v>43426</v>
      </c>
      <c r="F1957" s="6">
        <f t="shared" ca="1" si="144"/>
        <v>59.856720887656145</v>
      </c>
    </row>
    <row r="1958" spans="1:6">
      <c r="A1958" s="1">
        <v>9127168</v>
      </c>
      <c r="B1958" s="1">
        <f t="shared" ca="1" si="141"/>
        <v>0.19093495326919974</v>
      </c>
      <c r="C1958" s="1">
        <f t="shared" ca="1" si="145"/>
        <v>53</v>
      </c>
      <c r="D1958" s="1">
        <f t="shared" ca="1" si="142"/>
        <v>155</v>
      </c>
      <c r="E1958" s="2">
        <f t="shared" ca="1" si="143"/>
        <v>43267</v>
      </c>
      <c r="F1958" s="6">
        <f t="shared" ca="1" si="144"/>
        <v>140.16829640189567</v>
      </c>
    </row>
    <row r="1959" spans="1:6">
      <c r="A1959" s="1">
        <v>9127171</v>
      </c>
      <c r="B1959" s="1">
        <f t="shared" ca="1" si="141"/>
        <v>0.18910606796817986</v>
      </c>
      <c r="C1959" s="1">
        <f t="shared" ca="1" si="145"/>
        <v>118</v>
      </c>
      <c r="D1959" s="1">
        <f t="shared" ca="1" si="142"/>
        <v>172</v>
      </c>
      <c r="E1959" s="2">
        <f t="shared" ca="1" si="143"/>
        <v>43017</v>
      </c>
      <c r="F1959" s="6">
        <f t="shared" ca="1" si="144"/>
        <v>31.111278197195766</v>
      </c>
    </row>
    <row r="1960" spans="1:6">
      <c r="A1960" s="1">
        <v>9127174</v>
      </c>
      <c r="B1960" s="1">
        <f t="shared" ca="1" si="141"/>
        <v>0.42880500070618988</v>
      </c>
      <c r="C1960" s="1">
        <f t="shared" ca="1" si="145"/>
        <v>29</v>
      </c>
      <c r="D1960" s="1">
        <f t="shared" ca="1" si="142"/>
        <v>514</v>
      </c>
      <c r="E1960" s="2">
        <f t="shared" ca="1" si="143"/>
        <v>43232</v>
      </c>
      <c r="F1960" s="6">
        <f t="shared" ca="1" si="144"/>
        <v>34.297443536663387</v>
      </c>
    </row>
    <row r="1961" spans="1:6">
      <c r="A1961" s="1">
        <v>9127177</v>
      </c>
      <c r="B1961" s="1">
        <f t="shared" ca="1" si="141"/>
        <v>0.95154722217851162</v>
      </c>
      <c r="C1961" s="1">
        <f t="shared" ca="1" si="145"/>
        <v>89</v>
      </c>
      <c r="D1961" s="1">
        <f t="shared" ca="1" si="142"/>
        <v>340</v>
      </c>
      <c r="E1961" s="2">
        <f t="shared" ca="1" si="143"/>
        <v>43102</v>
      </c>
      <c r="F1961" s="6">
        <f t="shared" ca="1" si="144"/>
        <v>70.291478969202487</v>
      </c>
    </row>
    <row r="1962" spans="1:6">
      <c r="A1962" s="1">
        <v>9127180</v>
      </c>
      <c r="B1962" s="1">
        <f t="shared" ca="1" si="141"/>
        <v>0.37845237517663266</v>
      </c>
      <c r="C1962" s="1">
        <f t="shared" ca="1" si="145"/>
        <v>7</v>
      </c>
      <c r="D1962" s="1">
        <f t="shared" ca="1" si="142"/>
        <v>138</v>
      </c>
      <c r="E1962" s="2">
        <f t="shared" ca="1" si="143"/>
        <v>43010</v>
      </c>
      <c r="F1962" s="6">
        <f t="shared" ca="1" si="144"/>
        <v>64.758322109691193</v>
      </c>
    </row>
    <row r="1963" spans="1:6">
      <c r="A1963" s="1">
        <v>9127183</v>
      </c>
      <c r="B1963" s="1">
        <f t="shared" ca="1" si="141"/>
        <v>0.95663337789456415</v>
      </c>
      <c r="C1963" s="1">
        <f t="shared" ca="1" si="145"/>
        <v>28</v>
      </c>
      <c r="D1963" s="1">
        <f t="shared" ca="1" si="142"/>
        <v>401</v>
      </c>
      <c r="E1963" s="2">
        <f t="shared" ca="1" si="143"/>
        <v>43012</v>
      </c>
      <c r="F1963" s="6">
        <f t="shared" ca="1" si="144"/>
        <v>15.019156993290506</v>
      </c>
    </row>
    <row r="1964" spans="1:6">
      <c r="A1964" s="1">
        <v>9127186</v>
      </c>
      <c r="B1964" s="1">
        <f t="shared" ca="1" si="141"/>
        <v>0.809313790219642</v>
      </c>
      <c r="C1964" s="1">
        <f t="shared" ca="1" si="145"/>
        <v>52</v>
      </c>
      <c r="D1964" s="1">
        <f t="shared" ca="1" si="142"/>
        <v>574</v>
      </c>
      <c r="E1964" s="2">
        <f t="shared" ca="1" si="143"/>
        <v>43156</v>
      </c>
      <c r="F1964" s="6">
        <f t="shared" ca="1" si="144"/>
        <v>21.48938098619746</v>
      </c>
    </row>
    <row r="1965" spans="1:6">
      <c r="A1965" s="1">
        <v>9127189</v>
      </c>
      <c r="B1965" s="1">
        <f t="shared" ca="1" si="141"/>
        <v>0.60480803868891675</v>
      </c>
      <c r="C1965" s="1">
        <f t="shared" ca="1" si="145"/>
        <v>27</v>
      </c>
      <c r="D1965" s="1">
        <f t="shared" ca="1" si="142"/>
        <v>398</v>
      </c>
      <c r="E1965" s="2">
        <f t="shared" ca="1" si="143"/>
        <v>43150</v>
      </c>
      <c r="F1965" s="6">
        <f t="shared" ca="1" si="144"/>
        <v>42.938940212854703</v>
      </c>
    </row>
    <row r="1966" spans="1:6">
      <c r="A1966" s="1">
        <v>9127192</v>
      </c>
      <c r="B1966" s="1">
        <f t="shared" ca="1" si="141"/>
        <v>0.91133974691636421</v>
      </c>
      <c r="C1966" s="1">
        <f t="shared" ca="1" si="145"/>
        <v>3</v>
      </c>
      <c r="D1966" s="1">
        <f t="shared" ca="1" si="142"/>
        <v>263</v>
      </c>
      <c r="E1966" s="2">
        <f t="shared" ca="1" si="143"/>
        <v>43151</v>
      </c>
      <c r="F1966" s="6">
        <f t="shared" ca="1" si="144"/>
        <v>215.91284655243894</v>
      </c>
    </row>
    <row r="1967" spans="1:6">
      <c r="A1967" s="1">
        <v>9127195</v>
      </c>
      <c r="B1967" s="1">
        <f t="shared" ca="1" si="141"/>
        <v>0.11474324834812266</v>
      </c>
      <c r="C1967" s="1">
        <f t="shared" ca="1" si="145"/>
        <v>38</v>
      </c>
      <c r="D1967" s="1">
        <f t="shared" ca="1" si="142"/>
        <v>400</v>
      </c>
      <c r="E1967" s="2">
        <f t="shared" ca="1" si="143"/>
        <v>42925</v>
      </c>
      <c r="F1967" s="6">
        <f t="shared" ca="1" si="144"/>
        <v>39.588825159264189</v>
      </c>
    </row>
    <row r="1968" spans="1:6">
      <c r="A1968" s="1">
        <v>9127198</v>
      </c>
      <c r="B1968" s="1">
        <f t="shared" ca="1" si="141"/>
        <v>0.80362106873026995</v>
      </c>
      <c r="C1968" s="1">
        <f t="shared" ca="1" si="145"/>
        <v>76</v>
      </c>
      <c r="D1968" s="1">
        <f t="shared" ca="1" si="142"/>
        <v>293</v>
      </c>
      <c r="E1968" s="2">
        <f t="shared" ca="1" si="143"/>
        <v>43054</v>
      </c>
      <c r="F1968" s="6">
        <f t="shared" ca="1" si="144"/>
        <v>13.809409497045595</v>
      </c>
    </row>
    <row r="1969" spans="1:6">
      <c r="A1969" s="1">
        <v>9127201</v>
      </c>
      <c r="B1969" s="1">
        <f t="shared" ca="1" si="141"/>
        <v>0.24309551078813052</v>
      </c>
      <c r="C1969" s="1">
        <f t="shared" ca="1" si="145"/>
        <v>1</v>
      </c>
      <c r="D1969" s="1">
        <f t="shared" ca="1" si="142"/>
        <v>474</v>
      </c>
      <c r="E1969" s="2">
        <f t="shared" ca="1" si="143"/>
        <v>42938</v>
      </c>
      <c r="F1969" s="6">
        <f t="shared" ca="1" si="144"/>
        <v>11.672519982103335</v>
      </c>
    </row>
    <row r="1970" spans="1:6">
      <c r="A1970" s="1">
        <v>9127204</v>
      </c>
      <c r="B1970" s="1">
        <f t="shared" ca="1" si="141"/>
        <v>0.50367985390149206</v>
      </c>
      <c r="C1970" s="1">
        <f t="shared" ca="1" si="145"/>
        <v>1</v>
      </c>
      <c r="D1970" s="1">
        <f t="shared" ca="1" si="142"/>
        <v>474</v>
      </c>
      <c r="E1970" s="2">
        <f t="shared" ca="1" si="143"/>
        <v>42759</v>
      </c>
      <c r="F1970" s="6">
        <f t="shared" ca="1" si="144"/>
        <v>14.593772807877139</v>
      </c>
    </row>
    <row r="1971" spans="1:6">
      <c r="A1971" s="1">
        <v>9127207</v>
      </c>
      <c r="B1971" s="1">
        <f t="shared" ca="1" si="141"/>
        <v>0.48762009076044988</v>
      </c>
      <c r="C1971" s="1">
        <f t="shared" ca="1" si="145"/>
        <v>9</v>
      </c>
      <c r="D1971" s="1">
        <f t="shared" ca="1" si="142"/>
        <v>278</v>
      </c>
      <c r="E1971" s="2">
        <f t="shared" ca="1" si="143"/>
        <v>43190</v>
      </c>
      <c r="F1971" s="6">
        <f t="shared" ca="1" si="144"/>
        <v>45.537585899069953</v>
      </c>
    </row>
    <row r="1972" spans="1:6">
      <c r="A1972" s="1">
        <v>9127210</v>
      </c>
      <c r="B1972" s="1">
        <f t="shared" ca="1" si="141"/>
        <v>0.65203652665448586</v>
      </c>
      <c r="C1972" s="1">
        <f t="shared" ca="1" si="145"/>
        <v>112</v>
      </c>
      <c r="D1972" s="1">
        <f t="shared" ca="1" si="142"/>
        <v>582</v>
      </c>
      <c r="E1972" s="2">
        <f t="shared" ca="1" si="143"/>
        <v>43265</v>
      </c>
      <c r="F1972" s="6">
        <f t="shared" ca="1" si="144"/>
        <v>57.904554882809144</v>
      </c>
    </row>
    <row r="1973" spans="1:6">
      <c r="A1973" s="1">
        <v>9127213</v>
      </c>
      <c r="B1973" s="1">
        <f t="shared" ca="1" si="141"/>
        <v>0.46619269283209086</v>
      </c>
      <c r="C1973" s="1">
        <f t="shared" ca="1" si="145"/>
        <v>62</v>
      </c>
      <c r="D1973" s="1">
        <f t="shared" ca="1" si="142"/>
        <v>235</v>
      </c>
      <c r="E1973" s="2">
        <f t="shared" ca="1" si="143"/>
        <v>42863</v>
      </c>
      <c r="F1973" s="6">
        <f t="shared" ca="1" si="144"/>
        <v>63.122080839926028</v>
      </c>
    </row>
    <row r="1974" spans="1:6">
      <c r="A1974" s="1">
        <v>9127216</v>
      </c>
      <c r="B1974" s="1">
        <f t="shared" ca="1" si="141"/>
        <v>0.17670570063049917</v>
      </c>
      <c r="C1974" s="1">
        <f t="shared" ca="1" si="145"/>
        <v>1</v>
      </c>
      <c r="D1974" s="1">
        <f t="shared" ca="1" si="142"/>
        <v>474</v>
      </c>
      <c r="E1974" s="2">
        <f t="shared" ca="1" si="143"/>
        <v>43044</v>
      </c>
      <c r="F1974" s="6">
        <f t="shared" ca="1" si="144"/>
        <v>3.0910112581090381</v>
      </c>
    </row>
    <row r="1975" spans="1:6">
      <c r="A1975" s="1">
        <v>9127219</v>
      </c>
      <c r="B1975" s="1">
        <f t="shared" ca="1" si="141"/>
        <v>0.57335173759348723</v>
      </c>
      <c r="C1975" s="1">
        <f t="shared" ca="1" si="145"/>
        <v>11</v>
      </c>
      <c r="D1975" s="1">
        <f t="shared" ca="1" si="142"/>
        <v>437</v>
      </c>
      <c r="E1975" s="2">
        <f t="shared" ca="1" si="143"/>
        <v>42897</v>
      </c>
      <c r="F1975" s="6">
        <f t="shared" ca="1" si="144"/>
        <v>48.159854299393572</v>
      </c>
    </row>
    <row r="1976" spans="1:6">
      <c r="A1976" s="1">
        <v>9127222</v>
      </c>
      <c r="B1976" s="1">
        <f t="shared" ca="1" si="141"/>
        <v>0.69091661560309614</v>
      </c>
      <c r="C1976" s="1">
        <f t="shared" ca="1" si="145"/>
        <v>423</v>
      </c>
      <c r="D1976" s="1">
        <f t="shared" ca="1" si="142"/>
        <v>525</v>
      </c>
      <c r="E1976" s="2">
        <f t="shared" ca="1" si="143"/>
        <v>43400</v>
      </c>
      <c r="F1976" s="6">
        <f t="shared" ca="1" si="144"/>
        <v>31.967550108012723</v>
      </c>
    </row>
    <row r="1977" spans="1:6">
      <c r="A1977" s="1">
        <v>9127225</v>
      </c>
      <c r="B1977" s="1">
        <f t="shared" ca="1" si="141"/>
        <v>9.2334946533573325E-2</v>
      </c>
      <c r="C1977" s="1">
        <f t="shared" ca="1" si="145"/>
        <v>4</v>
      </c>
      <c r="D1977" s="1">
        <f t="shared" ca="1" si="142"/>
        <v>493</v>
      </c>
      <c r="E1977" s="2">
        <f t="shared" ca="1" si="143"/>
        <v>43000</v>
      </c>
      <c r="F1977" s="6">
        <f t="shared" ca="1" si="144"/>
        <v>28.791943341465419</v>
      </c>
    </row>
    <row r="1978" spans="1:6">
      <c r="A1978" s="1">
        <v>9127228</v>
      </c>
      <c r="B1978" s="1">
        <f t="shared" ca="1" si="141"/>
        <v>0.66463510322020802</v>
      </c>
      <c r="C1978" s="1">
        <f t="shared" ca="1" si="145"/>
        <v>11</v>
      </c>
      <c r="D1978" s="1">
        <f t="shared" ca="1" si="142"/>
        <v>437</v>
      </c>
      <c r="E1978" s="2">
        <f t="shared" ca="1" si="143"/>
        <v>42758</v>
      </c>
      <c r="F1978" s="6">
        <f t="shared" ca="1" si="144"/>
        <v>90.014037908417592</v>
      </c>
    </row>
    <row r="1979" spans="1:6">
      <c r="A1979" s="1">
        <v>9127231</v>
      </c>
      <c r="B1979" s="1">
        <f t="shared" ca="1" si="141"/>
        <v>3.5275118064444722E-2</v>
      </c>
      <c r="C1979" s="1">
        <f t="shared" ca="1" si="145"/>
        <v>19</v>
      </c>
      <c r="D1979" s="1">
        <f t="shared" ca="1" si="142"/>
        <v>42</v>
      </c>
      <c r="E1979" s="2">
        <f t="shared" ca="1" si="143"/>
        <v>43335</v>
      </c>
      <c r="F1979" s="6">
        <f t="shared" ca="1" si="144"/>
        <v>12.912708059018387</v>
      </c>
    </row>
    <row r="1980" spans="1:6">
      <c r="A1980" s="1">
        <v>9127234</v>
      </c>
      <c r="B1980" s="1">
        <f t="shared" ca="1" si="141"/>
        <v>0.51469189644847246</v>
      </c>
      <c r="C1980" s="1">
        <f t="shared" ca="1" si="145"/>
        <v>23</v>
      </c>
      <c r="D1980" s="1">
        <f t="shared" ca="1" si="142"/>
        <v>516</v>
      </c>
      <c r="E1980" s="2">
        <f t="shared" ca="1" si="143"/>
        <v>43251</v>
      </c>
      <c r="F1980" s="6">
        <f t="shared" ca="1" si="144"/>
        <v>202.3216204274589</v>
      </c>
    </row>
    <row r="1981" spans="1:6">
      <c r="A1981" s="1">
        <v>9127237</v>
      </c>
      <c r="B1981" s="1">
        <f t="shared" ca="1" si="141"/>
        <v>0.24251511720734042</v>
      </c>
      <c r="C1981" s="1">
        <f t="shared" ca="1" si="145"/>
        <v>50</v>
      </c>
      <c r="D1981" s="1">
        <f t="shared" ca="1" si="142"/>
        <v>415</v>
      </c>
      <c r="E1981" s="2">
        <f t="shared" ca="1" si="143"/>
        <v>42846</v>
      </c>
      <c r="F1981" s="6">
        <f t="shared" ca="1" si="144"/>
        <v>60.413467288735156</v>
      </c>
    </row>
    <row r="1982" spans="1:6">
      <c r="A1982" s="1">
        <v>9127240</v>
      </c>
      <c r="B1982" s="1">
        <f t="shared" ca="1" si="141"/>
        <v>0.10869819537436642</v>
      </c>
      <c r="C1982" s="1">
        <f t="shared" ca="1" si="145"/>
        <v>1</v>
      </c>
      <c r="D1982" s="1">
        <f t="shared" ca="1" si="142"/>
        <v>474</v>
      </c>
      <c r="E1982" s="2">
        <f t="shared" ca="1" si="143"/>
        <v>43269</v>
      </c>
      <c r="F1982" s="6">
        <f t="shared" ca="1" si="144"/>
        <v>11.364261271155501</v>
      </c>
    </row>
    <row r="1983" spans="1:6">
      <c r="A1983" s="1">
        <v>9127243</v>
      </c>
      <c r="B1983" s="1">
        <f t="shared" ca="1" si="141"/>
        <v>0.30135118646764603</v>
      </c>
      <c r="C1983" s="1">
        <f t="shared" ca="1" si="145"/>
        <v>11</v>
      </c>
      <c r="D1983" s="1">
        <f t="shared" ca="1" si="142"/>
        <v>437</v>
      </c>
      <c r="E1983" s="2">
        <f t="shared" ca="1" si="143"/>
        <v>42986</v>
      </c>
      <c r="F1983" s="6">
        <f t="shared" ca="1" si="144"/>
        <v>7.9825425365366751</v>
      </c>
    </row>
    <row r="1984" spans="1:6">
      <c r="A1984" s="1">
        <v>9127246</v>
      </c>
      <c r="B1984" s="1">
        <f t="shared" ca="1" si="141"/>
        <v>0.68203019978667356</v>
      </c>
      <c r="C1984" s="1">
        <f t="shared" ca="1" si="145"/>
        <v>6</v>
      </c>
      <c r="D1984" s="1">
        <f t="shared" ca="1" si="142"/>
        <v>208</v>
      </c>
      <c r="E1984" s="2">
        <f t="shared" ca="1" si="143"/>
        <v>43072</v>
      </c>
      <c r="F1984" s="6">
        <f t="shared" ca="1" si="144"/>
        <v>3.9858452589779896</v>
      </c>
    </row>
    <row r="1985" spans="1:6">
      <c r="A1985" s="1">
        <v>9127249</v>
      </c>
      <c r="B1985" s="1">
        <f t="shared" ca="1" si="141"/>
        <v>0.75086160776344202</v>
      </c>
      <c r="C1985" s="1">
        <f t="shared" ca="1" si="145"/>
        <v>106</v>
      </c>
      <c r="D1985" s="1">
        <f t="shared" ca="1" si="142"/>
        <v>238</v>
      </c>
      <c r="E1985" s="2">
        <f t="shared" ca="1" si="143"/>
        <v>42777</v>
      </c>
      <c r="F1985" s="6">
        <f t="shared" ca="1" si="144"/>
        <v>356.01121428841248</v>
      </c>
    </row>
    <row r="1986" spans="1:6">
      <c r="A1986" s="1">
        <v>9127252</v>
      </c>
      <c r="B1986" s="1">
        <f t="shared" ref="B1986:B2049" ca="1" si="146">RAND()</f>
        <v>0.33505418688036026</v>
      </c>
      <c r="C1986" s="1">
        <f t="shared" ca="1" si="145"/>
        <v>10</v>
      </c>
      <c r="D1986" s="1">
        <f t="shared" ca="1" si="142"/>
        <v>236</v>
      </c>
      <c r="E1986" s="2">
        <f t="shared" ca="1" si="143"/>
        <v>43180</v>
      </c>
      <c r="F1986" s="6">
        <f t="shared" ca="1" si="144"/>
        <v>135.63844001023</v>
      </c>
    </row>
    <row r="1987" spans="1:6">
      <c r="A1987" s="1">
        <v>9127255</v>
      </c>
      <c r="B1987" s="1">
        <f t="shared" ca="1" si="146"/>
        <v>0.57115080846781008</v>
      </c>
      <c r="C1987" s="1">
        <f t="shared" ca="1" si="145"/>
        <v>1</v>
      </c>
      <c r="D1987" s="1">
        <f t="shared" ref="D1987:D2050" ca="1" si="147">VLOOKUP(SMALL($B$2:$B$601,C1987),$B$2:$C$601,2,FALSE)</f>
        <v>474</v>
      </c>
      <c r="E1987" s="2">
        <f t="shared" ref="E1987:E2050" ca="1" si="148">RANDBETWEEN("1/1/17","2/1/19")</f>
        <v>43110</v>
      </c>
      <c r="F1987" s="6">
        <f t="shared" ref="F1987:F2050" ca="1" si="149">_xlfn.GAMMA.INV(RAND(),$J$6,$J$7)*100+3</f>
        <v>21.529421446217022</v>
      </c>
    </row>
    <row r="1988" spans="1:6">
      <c r="A1988" s="1">
        <v>9127258</v>
      </c>
      <c r="B1988" s="1">
        <f t="shared" ca="1" si="146"/>
        <v>0.2399492730318239</v>
      </c>
      <c r="C1988" s="1">
        <f t="shared" ca="1" si="145"/>
        <v>136</v>
      </c>
      <c r="D1988" s="1">
        <f t="shared" ca="1" si="147"/>
        <v>416</v>
      </c>
      <c r="E1988" s="2">
        <f t="shared" ca="1" si="148"/>
        <v>43425</v>
      </c>
      <c r="F1988" s="6">
        <f t="shared" ca="1" si="149"/>
        <v>43.084453059146938</v>
      </c>
    </row>
    <row r="1989" spans="1:6">
      <c r="A1989" s="1">
        <v>9127261</v>
      </c>
      <c r="B1989" s="1">
        <f t="shared" ca="1" si="146"/>
        <v>0.38270063818091349</v>
      </c>
      <c r="C1989" s="1">
        <f t="shared" ca="1" si="145"/>
        <v>2</v>
      </c>
      <c r="D1989" s="1">
        <f t="shared" ca="1" si="147"/>
        <v>30</v>
      </c>
      <c r="E1989" s="2">
        <f t="shared" ca="1" si="148"/>
        <v>43461</v>
      </c>
      <c r="F1989" s="6">
        <f t="shared" ca="1" si="149"/>
        <v>6.3689757133398333</v>
      </c>
    </row>
    <row r="1990" spans="1:6">
      <c r="A1990" s="1">
        <v>9127264</v>
      </c>
      <c r="B1990" s="1">
        <f t="shared" ca="1" si="146"/>
        <v>0.28374849672502633</v>
      </c>
      <c r="C1990" s="1">
        <f t="shared" ca="1" si="145"/>
        <v>31</v>
      </c>
      <c r="D1990" s="1">
        <f t="shared" ca="1" si="147"/>
        <v>535</v>
      </c>
      <c r="E1990" s="2">
        <f t="shared" ca="1" si="148"/>
        <v>42961</v>
      </c>
      <c r="F1990" s="6">
        <f t="shared" ca="1" si="149"/>
        <v>21.497580941231909</v>
      </c>
    </row>
    <row r="1991" spans="1:6">
      <c r="A1991" s="1">
        <v>9127267</v>
      </c>
      <c r="B1991" s="1">
        <f t="shared" ca="1" si="146"/>
        <v>0.75792742767637589</v>
      </c>
      <c r="C1991" s="1">
        <f t="shared" ca="1" si="145"/>
        <v>122</v>
      </c>
      <c r="D1991" s="1">
        <f t="shared" ca="1" si="147"/>
        <v>33</v>
      </c>
      <c r="E1991" s="2">
        <f t="shared" ca="1" si="148"/>
        <v>43402</v>
      </c>
      <c r="F1991" s="6">
        <f t="shared" ca="1" si="149"/>
        <v>3.6946827801699413</v>
      </c>
    </row>
    <row r="1992" spans="1:6">
      <c r="A1992" s="1">
        <v>9127270</v>
      </c>
      <c r="B1992" s="1">
        <f t="shared" ca="1" si="146"/>
        <v>0.30166210473088129</v>
      </c>
      <c r="C1992" s="1">
        <f t="shared" ca="1" si="145"/>
        <v>30</v>
      </c>
      <c r="D1992" s="1">
        <f t="shared" ca="1" si="147"/>
        <v>53</v>
      </c>
      <c r="E1992" s="2">
        <f t="shared" ca="1" si="148"/>
        <v>43306</v>
      </c>
      <c r="F1992" s="6">
        <f t="shared" ca="1" si="149"/>
        <v>20.956978955819565</v>
      </c>
    </row>
    <row r="1993" spans="1:6">
      <c r="A1993" s="1">
        <v>9127273</v>
      </c>
      <c r="B1993" s="1">
        <f t="shared" ca="1" si="146"/>
        <v>0.15604281319442848</v>
      </c>
      <c r="C1993" s="1">
        <f t="shared" ca="1" si="145"/>
        <v>36</v>
      </c>
      <c r="D1993" s="1">
        <f t="shared" ca="1" si="147"/>
        <v>529</v>
      </c>
      <c r="E1993" s="2">
        <f t="shared" ca="1" si="148"/>
        <v>42791</v>
      </c>
      <c r="F1993" s="6">
        <f t="shared" ca="1" si="149"/>
        <v>3.8871735796540925</v>
      </c>
    </row>
    <row r="1994" spans="1:6">
      <c r="A1994" s="1">
        <v>9127276</v>
      </c>
      <c r="B1994" s="1">
        <f t="shared" ca="1" si="146"/>
        <v>0.63887465871712434</v>
      </c>
      <c r="C1994" s="1">
        <f t="shared" ca="1" si="145"/>
        <v>5</v>
      </c>
      <c r="D1994" s="1">
        <f t="shared" ca="1" si="147"/>
        <v>363</v>
      </c>
      <c r="E1994" s="2">
        <f t="shared" ca="1" si="148"/>
        <v>42985</v>
      </c>
      <c r="F1994" s="6">
        <f t="shared" ca="1" si="149"/>
        <v>3.4761445211770088</v>
      </c>
    </row>
    <row r="1995" spans="1:6">
      <c r="A1995" s="1">
        <v>9127279</v>
      </c>
      <c r="B1995" s="1">
        <f t="shared" ca="1" si="146"/>
        <v>0.37766184889103682</v>
      </c>
      <c r="C1995" s="1">
        <f t="shared" ca="1" si="145"/>
        <v>13</v>
      </c>
      <c r="D1995" s="1">
        <f t="shared" ca="1" si="147"/>
        <v>80</v>
      </c>
      <c r="E1995" s="2">
        <f t="shared" ca="1" si="148"/>
        <v>43463</v>
      </c>
      <c r="F1995" s="6">
        <f t="shared" ca="1" si="149"/>
        <v>185.56448313201918</v>
      </c>
    </row>
    <row r="1996" spans="1:6">
      <c r="A1996" s="1">
        <v>9127282</v>
      </c>
      <c r="B1996" s="1">
        <f t="shared" ca="1" si="146"/>
        <v>0.64646717916013707</v>
      </c>
      <c r="C1996" s="1">
        <f t="shared" ca="1" si="145"/>
        <v>29</v>
      </c>
      <c r="D1996" s="1">
        <f t="shared" ca="1" si="147"/>
        <v>514</v>
      </c>
      <c r="E1996" s="2">
        <f t="shared" ca="1" si="148"/>
        <v>43086</v>
      </c>
      <c r="F1996" s="6">
        <f t="shared" ca="1" si="149"/>
        <v>45.48405012127737</v>
      </c>
    </row>
    <row r="1997" spans="1:6">
      <c r="A1997" s="1">
        <v>9127285</v>
      </c>
      <c r="B1997" s="1">
        <f t="shared" ca="1" si="146"/>
        <v>0.47386888207282707</v>
      </c>
      <c r="C1997" s="1">
        <f t="shared" ca="1" si="145"/>
        <v>11</v>
      </c>
      <c r="D1997" s="1">
        <f t="shared" ca="1" si="147"/>
        <v>437</v>
      </c>
      <c r="E1997" s="2">
        <f t="shared" ca="1" si="148"/>
        <v>42799</v>
      </c>
      <c r="F1997" s="6">
        <f t="shared" ca="1" si="149"/>
        <v>64.016681237308887</v>
      </c>
    </row>
    <row r="1998" spans="1:6">
      <c r="A1998" s="1">
        <v>9127288</v>
      </c>
      <c r="B1998" s="1">
        <f t="shared" ca="1" si="146"/>
        <v>0.46628014849544175</v>
      </c>
      <c r="C1998" s="1">
        <f t="shared" ca="1" si="145"/>
        <v>6</v>
      </c>
      <c r="D1998" s="1">
        <f t="shared" ca="1" si="147"/>
        <v>208</v>
      </c>
      <c r="E1998" s="2">
        <f t="shared" ca="1" si="148"/>
        <v>43375</v>
      </c>
      <c r="F1998" s="6">
        <f t="shared" ca="1" si="149"/>
        <v>9.7008541592663207</v>
      </c>
    </row>
    <row r="1999" spans="1:6">
      <c r="A1999" s="1">
        <v>9127291</v>
      </c>
      <c r="B1999" s="1">
        <f t="shared" ca="1" si="146"/>
        <v>0.46147283751018831</v>
      </c>
      <c r="C1999" s="1">
        <f t="shared" ca="1" si="145"/>
        <v>2</v>
      </c>
      <c r="D1999" s="1">
        <f t="shared" ca="1" si="147"/>
        <v>30</v>
      </c>
      <c r="E1999" s="2">
        <f t="shared" ca="1" si="148"/>
        <v>43476</v>
      </c>
      <c r="F1999" s="6">
        <f t="shared" ca="1" si="149"/>
        <v>18.67128720988191</v>
      </c>
    </row>
    <row r="2000" spans="1:6">
      <c r="A2000" s="1">
        <v>9127294</v>
      </c>
      <c r="B2000" s="1">
        <f t="shared" ca="1" si="146"/>
        <v>0.994255408203775</v>
      </c>
      <c r="C2000" s="1">
        <f t="shared" ca="1" si="145"/>
        <v>100</v>
      </c>
      <c r="D2000" s="1">
        <f t="shared" ca="1" si="147"/>
        <v>183</v>
      </c>
      <c r="E2000" s="2">
        <f t="shared" ca="1" si="148"/>
        <v>43190</v>
      </c>
      <c r="F2000" s="6">
        <f t="shared" ca="1" si="149"/>
        <v>83.604179190208768</v>
      </c>
    </row>
    <row r="2001" spans="1:6">
      <c r="A2001" s="1">
        <v>9127297</v>
      </c>
      <c r="B2001" s="1">
        <f t="shared" ca="1" si="146"/>
        <v>9.4521233025871787E-2</v>
      </c>
      <c r="C2001" s="1">
        <f t="shared" ca="1" si="145"/>
        <v>1</v>
      </c>
      <c r="D2001" s="1">
        <f t="shared" ca="1" si="147"/>
        <v>474</v>
      </c>
      <c r="E2001" s="2">
        <f t="shared" ca="1" si="148"/>
        <v>42917</v>
      </c>
      <c r="F2001" s="6">
        <f t="shared" ca="1" si="149"/>
        <v>192.21568994336309</v>
      </c>
    </row>
    <row r="2002" spans="1:6">
      <c r="A2002" s="1">
        <v>9127300</v>
      </c>
      <c r="B2002" s="1">
        <f t="shared" ca="1" si="146"/>
        <v>0.21660824762210296</v>
      </c>
      <c r="C2002" s="1">
        <f t="shared" ca="1" si="145"/>
        <v>62</v>
      </c>
      <c r="D2002" s="1">
        <f t="shared" ca="1" si="147"/>
        <v>235</v>
      </c>
      <c r="E2002" s="2">
        <f t="shared" ca="1" si="148"/>
        <v>42924</v>
      </c>
      <c r="F2002" s="6">
        <f t="shared" ca="1" si="149"/>
        <v>16.631149889598511</v>
      </c>
    </row>
    <row r="2003" spans="1:6">
      <c r="A2003" s="1">
        <v>9127303</v>
      </c>
      <c r="B2003" s="1">
        <f t="shared" ca="1" si="146"/>
        <v>0.67105506120483438</v>
      </c>
      <c r="C2003" s="1">
        <f t="shared" ca="1" si="145"/>
        <v>5</v>
      </c>
      <c r="D2003" s="1">
        <f t="shared" ca="1" si="147"/>
        <v>363</v>
      </c>
      <c r="E2003" s="2">
        <f t="shared" ca="1" si="148"/>
        <v>42898</v>
      </c>
      <c r="F2003" s="6">
        <f t="shared" ca="1" si="149"/>
        <v>45.922932758599146</v>
      </c>
    </row>
    <row r="2004" spans="1:6">
      <c r="A2004" s="1">
        <v>9127306</v>
      </c>
      <c r="B2004" s="1">
        <f t="shared" ca="1" si="146"/>
        <v>0.79022824815295722</v>
      </c>
      <c r="C2004" s="1">
        <f t="shared" ca="1" si="145"/>
        <v>84</v>
      </c>
      <c r="D2004" s="1">
        <f t="shared" ca="1" si="147"/>
        <v>536</v>
      </c>
      <c r="E2004" s="2">
        <f t="shared" ca="1" si="148"/>
        <v>42866</v>
      </c>
      <c r="F2004" s="6">
        <f t="shared" ca="1" si="149"/>
        <v>14.968660587967964</v>
      </c>
    </row>
    <row r="2005" spans="1:6">
      <c r="A2005" s="1">
        <v>9127309</v>
      </c>
      <c r="B2005" s="1">
        <f t="shared" ca="1" si="146"/>
        <v>0.59309184739557097</v>
      </c>
      <c r="C2005" s="1">
        <f t="shared" ca="1" si="145"/>
        <v>56</v>
      </c>
      <c r="D2005" s="1">
        <f t="shared" ca="1" si="147"/>
        <v>57</v>
      </c>
      <c r="E2005" s="2">
        <f t="shared" ca="1" si="148"/>
        <v>42874</v>
      </c>
      <c r="F2005" s="6">
        <f t="shared" ca="1" si="149"/>
        <v>47.647139477629587</v>
      </c>
    </row>
    <row r="2006" spans="1:6">
      <c r="A2006" s="1">
        <v>9127312</v>
      </c>
      <c r="B2006" s="1">
        <f t="shared" ca="1" si="146"/>
        <v>0.79397528427827424</v>
      </c>
      <c r="C2006" s="1">
        <f t="shared" ca="1" si="145"/>
        <v>6</v>
      </c>
      <c r="D2006" s="1">
        <f t="shared" ca="1" si="147"/>
        <v>208</v>
      </c>
      <c r="E2006" s="2">
        <f t="shared" ca="1" si="148"/>
        <v>43348</v>
      </c>
      <c r="F2006" s="6">
        <f t="shared" ca="1" si="149"/>
        <v>15.899992536704129</v>
      </c>
    </row>
    <row r="2007" spans="1:6">
      <c r="A2007" s="1">
        <v>9127315</v>
      </c>
      <c r="B2007" s="1">
        <f t="shared" ca="1" si="146"/>
        <v>0.24062224377292174</v>
      </c>
      <c r="C2007" s="1">
        <f t="shared" ca="1" si="145"/>
        <v>2</v>
      </c>
      <c r="D2007" s="1">
        <f t="shared" ca="1" si="147"/>
        <v>30</v>
      </c>
      <c r="E2007" s="2">
        <f t="shared" ca="1" si="148"/>
        <v>43441</v>
      </c>
      <c r="F2007" s="6">
        <f t="shared" ca="1" si="149"/>
        <v>65.663848238578936</v>
      </c>
    </row>
    <row r="2008" spans="1:6">
      <c r="A2008" s="1">
        <v>9127318</v>
      </c>
      <c r="B2008" s="1">
        <f t="shared" ca="1" si="146"/>
        <v>0.74972118104098651</v>
      </c>
      <c r="C2008" s="1">
        <f t="shared" ca="1" si="145"/>
        <v>92</v>
      </c>
      <c r="D2008" s="1">
        <f t="shared" ca="1" si="147"/>
        <v>458</v>
      </c>
      <c r="E2008" s="2">
        <f t="shared" ca="1" si="148"/>
        <v>43287</v>
      </c>
      <c r="F2008" s="6">
        <f t="shared" ca="1" si="149"/>
        <v>11.671666778996991</v>
      </c>
    </row>
    <row r="2009" spans="1:6">
      <c r="A2009" s="1">
        <v>9127321</v>
      </c>
      <c r="B2009" s="1">
        <f t="shared" ca="1" si="146"/>
        <v>0.50784460168637147</v>
      </c>
      <c r="C2009" s="1">
        <f t="shared" ca="1" si="145"/>
        <v>14</v>
      </c>
      <c r="D2009" s="1">
        <f t="shared" ca="1" si="147"/>
        <v>576</v>
      </c>
      <c r="E2009" s="2">
        <f t="shared" ca="1" si="148"/>
        <v>42864</v>
      </c>
      <c r="F2009" s="6">
        <f t="shared" ca="1" si="149"/>
        <v>3.367559196159899</v>
      </c>
    </row>
    <row r="2010" spans="1:6">
      <c r="A2010" s="1">
        <v>9127324</v>
      </c>
      <c r="B2010" s="1">
        <f t="shared" ca="1" si="146"/>
        <v>0.3607521998024954</v>
      </c>
      <c r="C2010" s="1">
        <f t="shared" ca="1" si="145"/>
        <v>16</v>
      </c>
      <c r="D2010" s="1">
        <f t="shared" ca="1" si="147"/>
        <v>465</v>
      </c>
      <c r="E2010" s="2">
        <f t="shared" ca="1" si="148"/>
        <v>43013</v>
      </c>
      <c r="F2010" s="6">
        <f t="shared" ca="1" si="149"/>
        <v>5.1441678506005033</v>
      </c>
    </row>
    <row r="2011" spans="1:6">
      <c r="A2011" s="1">
        <v>9127327</v>
      </c>
      <c r="B2011" s="1">
        <f t="shared" ca="1" si="146"/>
        <v>0.60673643228911778</v>
      </c>
      <c r="C2011" s="1">
        <f t="shared" ref="C2011:C2074" ca="1" si="150">ROUND(_xlfn.GAMMA.INV(RAND(),$J$11,$J$12)*100,0)+1</f>
        <v>140</v>
      </c>
      <c r="D2011" s="1">
        <f t="shared" ca="1" si="147"/>
        <v>195</v>
      </c>
      <c r="E2011" s="2">
        <f t="shared" ca="1" si="148"/>
        <v>43440</v>
      </c>
      <c r="F2011" s="6">
        <f t="shared" ca="1" si="149"/>
        <v>3.2468228801068659</v>
      </c>
    </row>
    <row r="2012" spans="1:6">
      <c r="A2012" s="1">
        <v>9127330</v>
      </c>
      <c r="B2012" s="1">
        <f t="shared" ca="1" si="146"/>
        <v>0.57701819993457804</v>
      </c>
      <c r="C2012" s="1">
        <f t="shared" ca="1" si="150"/>
        <v>16</v>
      </c>
      <c r="D2012" s="1">
        <f t="shared" ca="1" si="147"/>
        <v>465</v>
      </c>
      <c r="E2012" s="2">
        <f t="shared" ca="1" si="148"/>
        <v>43243</v>
      </c>
      <c r="F2012" s="6">
        <f t="shared" ca="1" si="149"/>
        <v>205.45267375724913</v>
      </c>
    </row>
    <row r="2013" spans="1:6">
      <c r="A2013" s="1">
        <v>9127333</v>
      </c>
      <c r="B2013" s="1">
        <f t="shared" ca="1" si="146"/>
        <v>0.60864639901902617</v>
      </c>
      <c r="C2013" s="1">
        <f t="shared" ca="1" si="150"/>
        <v>6</v>
      </c>
      <c r="D2013" s="1">
        <f t="shared" ca="1" si="147"/>
        <v>208</v>
      </c>
      <c r="E2013" s="2">
        <f t="shared" ca="1" si="148"/>
        <v>42887</v>
      </c>
      <c r="F2013" s="6">
        <f t="shared" ca="1" si="149"/>
        <v>3.2068863676086887</v>
      </c>
    </row>
    <row r="2014" spans="1:6">
      <c r="A2014" s="1">
        <v>9127336</v>
      </c>
      <c r="B2014" s="1">
        <f t="shared" ca="1" si="146"/>
        <v>0.6642419121521741</v>
      </c>
      <c r="C2014" s="1">
        <f t="shared" ca="1" si="150"/>
        <v>161</v>
      </c>
      <c r="D2014" s="1">
        <f t="shared" ca="1" si="147"/>
        <v>318</v>
      </c>
      <c r="E2014" s="2">
        <f t="shared" ca="1" si="148"/>
        <v>43476</v>
      </c>
      <c r="F2014" s="6">
        <f t="shared" ca="1" si="149"/>
        <v>37.762817713821583</v>
      </c>
    </row>
    <row r="2015" spans="1:6">
      <c r="A2015" s="1">
        <v>9127339</v>
      </c>
      <c r="B2015" s="1">
        <f t="shared" ca="1" si="146"/>
        <v>0.32247000993406982</v>
      </c>
      <c r="C2015" s="1">
        <f t="shared" ca="1" si="150"/>
        <v>9</v>
      </c>
      <c r="D2015" s="1">
        <f t="shared" ca="1" si="147"/>
        <v>278</v>
      </c>
      <c r="E2015" s="2">
        <f t="shared" ca="1" si="148"/>
        <v>42991</v>
      </c>
      <c r="F2015" s="6">
        <f t="shared" ca="1" si="149"/>
        <v>35.527252161997851</v>
      </c>
    </row>
    <row r="2016" spans="1:6">
      <c r="A2016" s="1">
        <v>9127342</v>
      </c>
      <c r="B2016" s="1">
        <f t="shared" ca="1" si="146"/>
        <v>0.55252909480640044</v>
      </c>
      <c r="C2016" s="1">
        <f t="shared" ca="1" si="150"/>
        <v>10</v>
      </c>
      <c r="D2016" s="1">
        <f t="shared" ca="1" si="147"/>
        <v>236</v>
      </c>
      <c r="E2016" s="2">
        <f t="shared" ca="1" si="148"/>
        <v>43107</v>
      </c>
      <c r="F2016" s="6">
        <f t="shared" ca="1" si="149"/>
        <v>22.641034526454874</v>
      </c>
    </row>
    <row r="2017" spans="1:6">
      <c r="A2017" s="1">
        <v>9127345</v>
      </c>
      <c r="B2017" s="1">
        <f t="shared" ca="1" si="146"/>
        <v>0.24803051731079728</v>
      </c>
      <c r="C2017" s="1">
        <f t="shared" ca="1" si="150"/>
        <v>284</v>
      </c>
      <c r="D2017" s="1">
        <f t="shared" ca="1" si="147"/>
        <v>262</v>
      </c>
      <c r="E2017" s="2">
        <f t="shared" ca="1" si="148"/>
        <v>42956</v>
      </c>
      <c r="F2017" s="6">
        <f t="shared" ca="1" si="149"/>
        <v>151.87086881883474</v>
      </c>
    </row>
    <row r="2018" spans="1:6">
      <c r="A2018" s="1">
        <v>9127348</v>
      </c>
      <c r="B2018" s="1">
        <f t="shared" ca="1" si="146"/>
        <v>0.58399561903333452</v>
      </c>
      <c r="C2018" s="1">
        <f t="shared" ca="1" si="150"/>
        <v>51</v>
      </c>
      <c r="D2018" s="1">
        <f t="shared" ca="1" si="147"/>
        <v>93</v>
      </c>
      <c r="E2018" s="2">
        <f t="shared" ca="1" si="148"/>
        <v>42868</v>
      </c>
      <c r="F2018" s="6">
        <f t="shared" ca="1" si="149"/>
        <v>91.623993620672607</v>
      </c>
    </row>
    <row r="2019" spans="1:6">
      <c r="A2019" s="1">
        <v>9127351</v>
      </c>
      <c r="B2019" s="1">
        <f t="shared" ca="1" si="146"/>
        <v>0.96177766339700976</v>
      </c>
      <c r="C2019" s="1">
        <f t="shared" ca="1" si="150"/>
        <v>105</v>
      </c>
      <c r="D2019" s="1">
        <f t="shared" ca="1" si="147"/>
        <v>151</v>
      </c>
      <c r="E2019" s="2">
        <f t="shared" ca="1" si="148"/>
        <v>43456</v>
      </c>
      <c r="F2019" s="6">
        <f t="shared" ca="1" si="149"/>
        <v>19.765919313152555</v>
      </c>
    </row>
    <row r="2020" spans="1:6">
      <c r="A2020" s="1">
        <v>9127354</v>
      </c>
      <c r="B2020" s="1">
        <f t="shared" ca="1" si="146"/>
        <v>0.95424227830104325</v>
      </c>
      <c r="C2020" s="1">
        <f t="shared" ca="1" si="150"/>
        <v>129</v>
      </c>
      <c r="D2020" s="1">
        <f t="shared" ca="1" si="147"/>
        <v>393</v>
      </c>
      <c r="E2020" s="2">
        <f t="shared" ca="1" si="148"/>
        <v>43340</v>
      </c>
      <c r="F2020" s="6">
        <f t="shared" ca="1" si="149"/>
        <v>101.75019119605642</v>
      </c>
    </row>
    <row r="2021" spans="1:6">
      <c r="A2021" s="1">
        <v>9127357</v>
      </c>
      <c r="B2021" s="1">
        <f t="shared" ca="1" si="146"/>
        <v>0.33279184884487456</v>
      </c>
      <c r="C2021" s="1">
        <f t="shared" ca="1" si="150"/>
        <v>5</v>
      </c>
      <c r="D2021" s="1">
        <f t="shared" ca="1" si="147"/>
        <v>363</v>
      </c>
      <c r="E2021" s="2">
        <f t="shared" ca="1" si="148"/>
        <v>43150</v>
      </c>
      <c r="F2021" s="6">
        <f t="shared" ca="1" si="149"/>
        <v>14.173475570946691</v>
      </c>
    </row>
    <row r="2022" spans="1:6">
      <c r="A2022" s="1">
        <v>9127360</v>
      </c>
      <c r="B2022" s="1">
        <f t="shared" ca="1" si="146"/>
        <v>0.12069870688224027</v>
      </c>
      <c r="C2022" s="1">
        <f t="shared" ca="1" si="150"/>
        <v>27</v>
      </c>
      <c r="D2022" s="1">
        <f t="shared" ca="1" si="147"/>
        <v>398</v>
      </c>
      <c r="E2022" s="2">
        <f t="shared" ca="1" si="148"/>
        <v>42754</v>
      </c>
      <c r="F2022" s="6">
        <f t="shared" ca="1" si="149"/>
        <v>13.534266629115455</v>
      </c>
    </row>
    <row r="2023" spans="1:6">
      <c r="A2023" s="1">
        <v>9127363</v>
      </c>
      <c r="B2023" s="1">
        <f t="shared" ca="1" si="146"/>
        <v>0.1772183185855305</v>
      </c>
      <c r="C2023" s="1">
        <f t="shared" ca="1" si="150"/>
        <v>300</v>
      </c>
      <c r="D2023" s="1">
        <f t="shared" ca="1" si="147"/>
        <v>217</v>
      </c>
      <c r="E2023" s="2">
        <f t="shared" ca="1" si="148"/>
        <v>43142</v>
      </c>
      <c r="F2023" s="6">
        <f t="shared" ca="1" si="149"/>
        <v>169.61590883314304</v>
      </c>
    </row>
    <row r="2024" spans="1:6">
      <c r="A2024" s="1">
        <v>9127366</v>
      </c>
      <c r="B2024" s="1">
        <f t="shared" ca="1" si="146"/>
        <v>0.74172746899974662</v>
      </c>
      <c r="C2024" s="1">
        <f t="shared" ca="1" si="150"/>
        <v>92</v>
      </c>
      <c r="D2024" s="1">
        <f t="shared" ca="1" si="147"/>
        <v>458</v>
      </c>
      <c r="E2024" s="2">
        <f t="shared" ca="1" si="148"/>
        <v>42922</v>
      </c>
      <c r="F2024" s="6">
        <f t="shared" ca="1" si="149"/>
        <v>30.46116701484765</v>
      </c>
    </row>
    <row r="2025" spans="1:6">
      <c r="A2025" s="1">
        <v>9127369</v>
      </c>
      <c r="B2025" s="1">
        <f t="shared" ca="1" si="146"/>
        <v>0.88859104995812555</v>
      </c>
      <c r="C2025" s="1">
        <f t="shared" ca="1" si="150"/>
        <v>6</v>
      </c>
      <c r="D2025" s="1">
        <f t="shared" ca="1" si="147"/>
        <v>208</v>
      </c>
      <c r="E2025" s="2">
        <f t="shared" ca="1" si="148"/>
        <v>42971</v>
      </c>
      <c r="F2025" s="6">
        <f t="shared" ca="1" si="149"/>
        <v>68.485552252496532</v>
      </c>
    </row>
    <row r="2026" spans="1:6">
      <c r="A2026" s="1">
        <v>9127372</v>
      </c>
      <c r="B2026" s="1">
        <f t="shared" ca="1" si="146"/>
        <v>0.63643104663604233</v>
      </c>
      <c r="C2026" s="1">
        <f t="shared" ca="1" si="150"/>
        <v>356</v>
      </c>
      <c r="D2026" s="1">
        <f t="shared" ca="1" si="147"/>
        <v>338</v>
      </c>
      <c r="E2026" s="2">
        <f t="shared" ca="1" si="148"/>
        <v>43284</v>
      </c>
      <c r="F2026" s="6">
        <f t="shared" ca="1" si="149"/>
        <v>30.246318367592519</v>
      </c>
    </row>
    <row r="2027" spans="1:6">
      <c r="A2027" s="1">
        <v>9127375</v>
      </c>
      <c r="B2027" s="1">
        <f t="shared" ca="1" si="146"/>
        <v>0.56313699611104284</v>
      </c>
      <c r="C2027" s="1">
        <f t="shared" ca="1" si="150"/>
        <v>2</v>
      </c>
      <c r="D2027" s="1">
        <f t="shared" ca="1" si="147"/>
        <v>30</v>
      </c>
      <c r="E2027" s="2">
        <f t="shared" ca="1" si="148"/>
        <v>43492</v>
      </c>
      <c r="F2027" s="6">
        <f t="shared" ca="1" si="149"/>
        <v>54.228683917490528</v>
      </c>
    </row>
    <row r="2028" spans="1:6">
      <c r="A2028" s="1">
        <v>9127378</v>
      </c>
      <c r="B2028" s="1">
        <f t="shared" ca="1" si="146"/>
        <v>0.14973711861478278</v>
      </c>
      <c r="C2028" s="1">
        <f t="shared" ca="1" si="150"/>
        <v>53</v>
      </c>
      <c r="D2028" s="1">
        <f t="shared" ca="1" si="147"/>
        <v>155</v>
      </c>
      <c r="E2028" s="2">
        <f t="shared" ca="1" si="148"/>
        <v>42754</v>
      </c>
      <c r="F2028" s="6">
        <f t="shared" ca="1" si="149"/>
        <v>3.0738648715289534</v>
      </c>
    </row>
    <row r="2029" spans="1:6">
      <c r="A2029" s="1">
        <v>9127381</v>
      </c>
      <c r="B2029" s="1">
        <f t="shared" ca="1" si="146"/>
        <v>0.17258542967991053</v>
      </c>
      <c r="C2029" s="1">
        <f t="shared" ca="1" si="150"/>
        <v>3</v>
      </c>
      <c r="D2029" s="1">
        <f t="shared" ca="1" si="147"/>
        <v>263</v>
      </c>
      <c r="E2029" s="2">
        <f t="shared" ca="1" si="148"/>
        <v>43294</v>
      </c>
      <c r="F2029" s="6">
        <f t="shared" ca="1" si="149"/>
        <v>8.3781942736611281</v>
      </c>
    </row>
    <row r="2030" spans="1:6">
      <c r="A2030" s="1">
        <v>9127384</v>
      </c>
      <c r="B2030" s="1">
        <f t="shared" ca="1" si="146"/>
        <v>0.14618703146773393</v>
      </c>
      <c r="C2030" s="1">
        <f t="shared" ca="1" si="150"/>
        <v>28</v>
      </c>
      <c r="D2030" s="1">
        <f t="shared" ca="1" si="147"/>
        <v>401</v>
      </c>
      <c r="E2030" s="2">
        <f t="shared" ca="1" si="148"/>
        <v>43447</v>
      </c>
      <c r="F2030" s="6">
        <f t="shared" ca="1" si="149"/>
        <v>4.3517163909953585</v>
      </c>
    </row>
    <row r="2031" spans="1:6">
      <c r="A2031" s="1">
        <v>9127387</v>
      </c>
      <c r="B2031" s="1">
        <f t="shared" ca="1" si="146"/>
        <v>0.34152492065298545</v>
      </c>
      <c r="C2031" s="1">
        <f t="shared" ca="1" si="150"/>
        <v>7</v>
      </c>
      <c r="D2031" s="1">
        <f t="shared" ca="1" si="147"/>
        <v>138</v>
      </c>
      <c r="E2031" s="2">
        <f t="shared" ca="1" si="148"/>
        <v>43466</v>
      </c>
      <c r="F2031" s="6">
        <f t="shared" ca="1" si="149"/>
        <v>31.847930482904932</v>
      </c>
    </row>
    <row r="2032" spans="1:6">
      <c r="A2032" s="1">
        <v>9127390</v>
      </c>
      <c r="B2032" s="1">
        <f t="shared" ca="1" si="146"/>
        <v>0.9963645304330655</v>
      </c>
      <c r="C2032" s="1">
        <f t="shared" ca="1" si="150"/>
        <v>12</v>
      </c>
      <c r="D2032" s="1">
        <f t="shared" ca="1" si="147"/>
        <v>292</v>
      </c>
      <c r="E2032" s="2">
        <f t="shared" ca="1" si="148"/>
        <v>43379</v>
      </c>
      <c r="F2032" s="6">
        <f t="shared" ca="1" si="149"/>
        <v>19.549560591705962</v>
      </c>
    </row>
    <row r="2033" spans="1:6">
      <c r="A2033" s="1">
        <v>9127393</v>
      </c>
      <c r="B2033" s="1">
        <f t="shared" ca="1" si="146"/>
        <v>0.64801158291472094</v>
      </c>
      <c r="C2033" s="1">
        <f t="shared" ca="1" si="150"/>
        <v>45</v>
      </c>
      <c r="D2033" s="1">
        <f t="shared" ca="1" si="147"/>
        <v>482</v>
      </c>
      <c r="E2033" s="2">
        <f t="shared" ca="1" si="148"/>
        <v>43278</v>
      </c>
      <c r="F2033" s="6">
        <f t="shared" ca="1" si="149"/>
        <v>105.82537548628443</v>
      </c>
    </row>
    <row r="2034" spans="1:6">
      <c r="A2034" s="1">
        <v>9127396</v>
      </c>
      <c r="B2034" s="1">
        <f t="shared" ca="1" si="146"/>
        <v>0.46189027646447545</v>
      </c>
      <c r="C2034" s="1">
        <f t="shared" ca="1" si="150"/>
        <v>9</v>
      </c>
      <c r="D2034" s="1">
        <f t="shared" ca="1" si="147"/>
        <v>278</v>
      </c>
      <c r="E2034" s="2">
        <f t="shared" ca="1" si="148"/>
        <v>43125</v>
      </c>
      <c r="F2034" s="6">
        <f t="shared" ca="1" si="149"/>
        <v>4.4847512240163079</v>
      </c>
    </row>
    <row r="2035" spans="1:6">
      <c r="A2035" s="1">
        <v>9127399</v>
      </c>
      <c r="B2035" s="1">
        <f t="shared" ca="1" si="146"/>
        <v>0.78958204822000833</v>
      </c>
      <c r="C2035" s="1">
        <f t="shared" ca="1" si="150"/>
        <v>263</v>
      </c>
      <c r="D2035" s="1">
        <f t="shared" ca="1" si="147"/>
        <v>197</v>
      </c>
      <c r="E2035" s="2">
        <f t="shared" ca="1" si="148"/>
        <v>43123</v>
      </c>
      <c r="F2035" s="6">
        <f t="shared" ca="1" si="149"/>
        <v>3.4837467525288282</v>
      </c>
    </row>
    <row r="2036" spans="1:6">
      <c r="A2036" s="1">
        <v>9127402</v>
      </c>
      <c r="B2036" s="1">
        <f t="shared" ca="1" si="146"/>
        <v>0.86578911318260154</v>
      </c>
      <c r="C2036" s="1">
        <f t="shared" ca="1" si="150"/>
        <v>120</v>
      </c>
      <c r="D2036" s="1">
        <f t="shared" ca="1" si="147"/>
        <v>543</v>
      </c>
      <c r="E2036" s="2">
        <f t="shared" ca="1" si="148"/>
        <v>42778</v>
      </c>
      <c r="F2036" s="6">
        <f t="shared" ca="1" si="149"/>
        <v>14.177765924540752</v>
      </c>
    </row>
    <row r="2037" spans="1:6">
      <c r="A2037" s="1">
        <v>9127405</v>
      </c>
      <c r="B2037" s="1">
        <f t="shared" ca="1" si="146"/>
        <v>0.38946381568382682</v>
      </c>
      <c r="C2037" s="1">
        <f t="shared" ca="1" si="150"/>
        <v>6</v>
      </c>
      <c r="D2037" s="1">
        <f t="shared" ca="1" si="147"/>
        <v>208</v>
      </c>
      <c r="E2037" s="2">
        <f t="shared" ca="1" si="148"/>
        <v>43292</v>
      </c>
      <c r="F2037" s="6">
        <f t="shared" ca="1" si="149"/>
        <v>20.631913124696389</v>
      </c>
    </row>
    <row r="2038" spans="1:6">
      <c r="A2038" s="1">
        <v>9127408</v>
      </c>
      <c r="B2038" s="1">
        <f t="shared" ca="1" si="146"/>
        <v>0.64651417170279446</v>
      </c>
      <c r="C2038" s="1">
        <f t="shared" ca="1" si="150"/>
        <v>38</v>
      </c>
      <c r="D2038" s="1">
        <f t="shared" ca="1" si="147"/>
        <v>400</v>
      </c>
      <c r="E2038" s="2">
        <f t="shared" ca="1" si="148"/>
        <v>43417</v>
      </c>
      <c r="F2038" s="6">
        <f t="shared" ca="1" si="149"/>
        <v>27.798035272970328</v>
      </c>
    </row>
    <row r="2039" spans="1:6">
      <c r="A2039" s="1">
        <v>9127411</v>
      </c>
      <c r="B2039" s="1">
        <f t="shared" ca="1" si="146"/>
        <v>0.67360463346949218</v>
      </c>
      <c r="C2039" s="1">
        <f t="shared" ca="1" si="150"/>
        <v>6</v>
      </c>
      <c r="D2039" s="1">
        <f t="shared" ca="1" si="147"/>
        <v>208</v>
      </c>
      <c r="E2039" s="2">
        <f t="shared" ca="1" si="148"/>
        <v>43058</v>
      </c>
      <c r="F2039" s="6">
        <f t="shared" ca="1" si="149"/>
        <v>35.336089169746444</v>
      </c>
    </row>
    <row r="2040" spans="1:6">
      <c r="A2040" s="1">
        <v>9127414</v>
      </c>
      <c r="B2040" s="1">
        <f t="shared" ca="1" si="146"/>
        <v>0.2022092510312189</v>
      </c>
      <c r="C2040" s="1">
        <f t="shared" ca="1" si="150"/>
        <v>2</v>
      </c>
      <c r="D2040" s="1">
        <f t="shared" ca="1" si="147"/>
        <v>30</v>
      </c>
      <c r="E2040" s="2">
        <f t="shared" ca="1" si="148"/>
        <v>43015</v>
      </c>
      <c r="F2040" s="6">
        <f t="shared" ca="1" si="149"/>
        <v>10.305550969279764</v>
      </c>
    </row>
    <row r="2041" spans="1:6">
      <c r="A2041" s="1">
        <v>9127417</v>
      </c>
      <c r="B2041" s="1">
        <f t="shared" ca="1" si="146"/>
        <v>0.66911301757358199</v>
      </c>
      <c r="C2041" s="1">
        <f t="shared" ca="1" si="150"/>
        <v>2</v>
      </c>
      <c r="D2041" s="1">
        <f t="shared" ca="1" si="147"/>
        <v>30</v>
      </c>
      <c r="E2041" s="2">
        <f t="shared" ca="1" si="148"/>
        <v>42830</v>
      </c>
      <c r="F2041" s="6">
        <f t="shared" ca="1" si="149"/>
        <v>249.4536297791382</v>
      </c>
    </row>
    <row r="2042" spans="1:6">
      <c r="A2042" s="1">
        <v>9127420</v>
      </c>
      <c r="B2042" s="1">
        <f t="shared" ca="1" si="146"/>
        <v>5.5080163838886254E-2</v>
      </c>
      <c r="C2042" s="1">
        <f t="shared" ca="1" si="150"/>
        <v>9</v>
      </c>
      <c r="D2042" s="1">
        <f t="shared" ca="1" si="147"/>
        <v>278</v>
      </c>
      <c r="E2042" s="2">
        <f t="shared" ca="1" si="148"/>
        <v>43458</v>
      </c>
      <c r="F2042" s="6">
        <f t="shared" ca="1" si="149"/>
        <v>40.816152885413167</v>
      </c>
    </row>
    <row r="2043" spans="1:6">
      <c r="A2043" s="1">
        <v>9127423</v>
      </c>
      <c r="B2043" s="1">
        <f t="shared" ca="1" si="146"/>
        <v>0.38631304852746717</v>
      </c>
      <c r="C2043" s="1">
        <f t="shared" ca="1" si="150"/>
        <v>15</v>
      </c>
      <c r="D2043" s="1">
        <f t="shared" ca="1" si="147"/>
        <v>284</v>
      </c>
      <c r="E2043" s="2">
        <f t="shared" ca="1" si="148"/>
        <v>43421</v>
      </c>
      <c r="F2043" s="6">
        <f t="shared" ca="1" si="149"/>
        <v>21.647391896178618</v>
      </c>
    </row>
    <row r="2044" spans="1:6">
      <c r="A2044" s="1">
        <v>9127426</v>
      </c>
      <c r="B2044" s="1">
        <f t="shared" ca="1" si="146"/>
        <v>0.27978196653584908</v>
      </c>
      <c r="C2044" s="1">
        <f t="shared" ca="1" si="150"/>
        <v>13</v>
      </c>
      <c r="D2044" s="1">
        <f t="shared" ca="1" si="147"/>
        <v>80</v>
      </c>
      <c r="E2044" s="2">
        <f t="shared" ca="1" si="148"/>
        <v>42923</v>
      </c>
      <c r="F2044" s="6">
        <f t="shared" ca="1" si="149"/>
        <v>79.3878094611172</v>
      </c>
    </row>
    <row r="2045" spans="1:6">
      <c r="A2045" s="1">
        <v>9127429</v>
      </c>
      <c r="B2045" s="1">
        <f t="shared" ca="1" si="146"/>
        <v>0.53985541703817508</v>
      </c>
      <c r="C2045" s="1">
        <f t="shared" ca="1" si="150"/>
        <v>19</v>
      </c>
      <c r="D2045" s="1">
        <f t="shared" ca="1" si="147"/>
        <v>42</v>
      </c>
      <c r="E2045" s="2">
        <f t="shared" ca="1" si="148"/>
        <v>42756</v>
      </c>
      <c r="F2045" s="6">
        <f t="shared" ca="1" si="149"/>
        <v>5.1931416750124431</v>
      </c>
    </row>
    <row r="2046" spans="1:6">
      <c r="A2046" s="1">
        <v>9127432</v>
      </c>
      <c r="B2046" s="1">
        <f t="shared" ca="1" si="146"/>
        <v>8.3109991464629385E-3</v>
      </c>
      <c r="C2046" s="1">
        <f t="shared" ca="1" si="150"/>
        <v>12</v>
      </c>
      <c r="D2046" s="1">
        <f t="shared" ca="1" si="147"/>
        <v>292</v>
      </c>
      <c r="E2046" s="2">
        <f t="shared" ca="1" si="148"/>
        <v>43305</v>
      </c>
      <c r="F2046" s="6">
        <f t="shared" ca="1" si="149"/>
        <v>16.623562291086593</v>
      </c>
    </row>
    <row r="2047" spans="1:6">
      <c r="A2047" s="1">
        <v>9127435</v>
      </c>
      <c r="B2047" s="1">
        <f t="shared" ca="1" si="146"/>
        <v>0.60643927683436072</v>
      </c>
      <c r="C2047" s="1">
        <f t="shared" ca="1" si="150"/>
        <v>28</v>
      </c>
      <c r="D2047" s="1">
        <f t="shared" ca="1" si="147"/>
        <v>401</v>
      </c>
      <c r="E2047" s="2">
        <f t="shared" ca="1" si="148"/>
        <v>42894</v>
      </c>
      <c r="F2047" s="6">
        <f t="shared" ca="1" si="149"/>
        <v>299.8596408900687</v>
      </c>
    </row>
    <row r="2048" spans="1:6">
      <c r="A2048" s="1">
        <v>9127438</v>
      </c>
      <c r="B2048" s="1">
        <f t="shared" ca="1" si="146"/>
        <v>0.55821383855204221</v>
      </c>
      <c r="C2048" s="1">
        <f t="shared" ca="1" si="150"/>
        <v>3</v>
      </c>
      <c r="D2048" s="1">
        <f t="shared" ca="1" si="147"/>
        <v>263</v>
      </c>
      <c r="E2048" s="2">
        <f t="shared" ca="1" si="148"/>
        <v>43147</v>
      </c>
      <c r="F2048" s="6">
        <f t="shared" ca="1" si="149"/>
        <v>14.056290872555705</v>
      </c>
    </row>
    <row r="2049" spans="1:6">
      <c r="A2049" s="1">
        <v>9127441</v>
      </c>
      <c r="B2049" s="1">
        <f t="shared" ca="1" si="146"/>
        <v>3.5442722918069602E-2</v>
      </c>
      <c r="C2049" s="1">
        <f t="shared" ca="1" si="150"/>
        <v>36</v>
      </c>
      <c r="D2049" s="1">
        <f t="shared" ca="1" si="147"/>
        <v>529</v>
      </c>
      <c r="E2049" s="2">
        <f t="shared" ca="1" si="148"/>
        <v>43328</v>
      </c>
      <c r="F2049" s="6">
        <f t="shared" ca="1" si="149"/>
        <v>30.618273363161734</v>
      </c>
    </row>
    <row r="2050" spans="1:6">
      <c r="A2050" s="1">
        <v>9127444</v>
      </c>
      <c r="B2050" s="1">
        <f t="shared" ref="B2050:B2113" ca="1" si="151">RAND()</f>
        <v>0.72626892563798839</v>
      </c>
      <c r="C2050" s="1">
        <f t="shared" ca="1" si="150"/>
        <v>4</v>
      </c>
      <c r="D2050" s="1">
        <f t="shared" ca="1" si="147"/>
        <v>493</v>
      </c>
      <c r="E2050" s="2">
        <f t="shared" ca="1" si="148"/>
        <v>43280</v>
      </c>
      <c r="F2050" s="6">
        <f t="shared" ca="1" si="149"/>
        <v>12.762673868724912</v>
      </c>
    </row>
    <row r="2051" spans="1:6">
      <c r="A2051" s="1">
        <v>9127447</v>
      </c>
      <c r="B2051" s="1">
        <f t="shared" ca="1" si="151"/>
        <v>0.22448536163827937</v>
      </c>
      <c r="C2051" s="1">
        <f t="shared" ca="1" si="150"/>
        <v>6</v>
      </c>
      <c r="D2051" s="1">
        <f t="shared" ref="D2051:D2114" ca="1" si="152">VLOOKUP(SMALL($B$2:$B$601,C2051),$B$2:$C$601,2,FALSE)</f>
        <v>208</v>
      </c>
      <c r="E2051" s="2">
        <f t="shared" ref="E2051:E2114" ca="1" si="153">RANDBETWEEN("1/1/17","2/1/19")</f>
        <v>43165</v>
      </c>
      <c r="F2051" s="6">
        <f t="shared" ref="F2051:F2114" ca="1" si="154">_xlfn.GAMMA.INV(RAND(),$J$6,$J$7)*100+3</f>
        <v>13.786878723691188</v>
      </c>
    </row>
    <row r="2052" spans="1:6">
      <c r="A2052" s="1">
        <v>9127450</v>
      </c>
      <c r="B2052" s="1">
        <f t="shared" ca="1" si="151"/>
        <v>0.97754850731829912</v>
      </c>
      <c r="C2052" s="1">
        <f t="shared" ca="1" si="150"/>
        <v>206</v>
      </c>
      <c r="D2052" s="1">
        <f t="shared" ca="1" si="152"/>
        <v>412</v>
      </c>
      <c r="E2052" s="2">
        <f t="shared" ca="1" si="153"/>
        <v>42793</v>
      </c>
      <c r="F2052" s="6">
        <f t="shared" ca="1" si="154"/>
        <v>116.42593860060326</v>
      </c>
    </row>
    <row r="2053" spans="1:6">
      <c r="A2053" s="1">
        <v>9127453</v>
      </c>
      <c r="B2053" s="1">
        <f t="shared" ca="1" si="151"/>
        <v>0.66192131157894207</v>
      </c>
      <c r="C2053" s="1">
        <f t="shared" ca="1" si="150"/>
        <v>47</v>
      </c>
      <c r="D2053" s="1">
        <f t="shared" ca="1" si="152"/>
        <v>515</v>
      </c>
      <c r="E2053" s="2">
        <f t="shared" ca="1" si="153"/>
        <v>43044</v>
      </c>
      <c r="F2053" s="6">
        <f t="shared" ca="1" si="154"/>
        <v>198.66571291975308</v>
      </c>
    </row>
    <row r="2054" spans="1:6">
      <c r="A2054" s="1">
        <v>9127456</v>
      </c>
      <c r="B2054" s="1">
        <f t="shared" ca="1" si="151"/>
        <v>0.51817778328177266</v>
      </c>
      <c r="C2054" s="1">
        <f t="shared" ca="1" si="150"/>
        <v>98</v>
      </c>
      <c r="D2054" s="1">
        <f t="shared" ca="1" si="152"/>
        <v>139</v>
      </c>
      <c r="E2054" s="2">
        <f t="shared" ca="1" si="153"/>
        <v>43163</v>
      </c>
      <c r="F2054" s="6">
        <f t="shared" ca="1" si="154"/>
        <v>3.1285300754327596</v>
      </c>
    </row>
    <row r="2055" spans="1:6">
      <c r="A2055" s="1">
        <v>9127459</v>
      </c>
      <c r="B2055" s="1">
        <f t="shared" ca="1" si="151"/>
        <v>8.4515034031811487E-2</v>
      </c>
      <c r="C2055" s="1">
        <f t="shared" ca="1" si="150"/>
        <v>19</v>
      </c>
      <c r="D2055" s="1">
        <f t="shared" ca="1" si="152"/>
        <v>42</v>
      </c>
      <c r="E2055" s="2">
        <f t="shared" ca="1" si="153"/>
        <v>43186</v>
      </c>
      <c r="F2055" s="6">
        <f t="shared" ca="1" si="154"/>
        <v>66.254158831030736</v>
      </c>
    </row>
    <row r="2056" spans="1:6">
      <c r="A2056" s="1">
        <v>9127462</v>
      </c>
      <c r="B2056" s="1">
        <f t="shared" ca="1" si="151"/>
        <v>6.7477552926742623E-2</v>
      </c>
      <c r="C2056" s="1">
        <f t="shared" ca="1" si="150"/>
        <v>19</v>
      </c>
      <c r="D2056" s="1">
        <f t="shared" ca="1" si="152"/>
        <v>42</v>
      </c>
      <c r="E2056" s="2">
        <f t="shared" ca="1" si="153"/>
        <v>43020</v>
      </c>
      <c r="F2056" s="6">
        <f t="shared" ca="1" si="154"/>
        <v>12.837226820050942</v>
      </c>
    </row>
    <row r="2057" spans="1:6">
      <c r="A2057" s="1">
        <v>9127465</v>
      </c>
      <c r="B2057" s="1">
        <f t="shared" ca="1" si="151"/>
        <v>0.50861589450191524</v>
      </c>
      <c r="C2057" s="1">
        <f t="shared" ca="1" si="150"/>
        <v>1</v>
      </c>
      <c r="D2057" s="1">
        <f t="shared" ca="1" si="152"/>
        <v>474</v>
      </c>
      <c r="E2057" s="2">
        <f t="shared" ca="1" si="153"/>
        <v>42781</v>
      </c>
      <c r="F2057" s="6">
        <f t="shared" ca="1" si="154"/>
        <v>3.1386625405489403</v>
      </c>
    </row>
    <row r="2058" spans="1:6">
      <c r="A2058" s="1">
        <v>9127468</v>
      </c>
      <c r="B2058" s="1">
        <f t="shared" ca="1" si="151"/>
        <v>0.3881090316726028</v>
      </c>
      <c r="C2058" s="1">
        <f t="shared" ca="1" si="150"/>
        <v>99</v>
      </c>
      <c r="D2058" s="1">
        <f t="shared" ca="1" si="152"/>
        <v>464</v>
      </c>
      <c r="E2058" s="2">
        <f t="shared" ca="1" si="153"/>
        <v>43315</v>
      </c>
      <c r="F2058" s="6">
        <f t="shared" ca="1" si="154"/>
        <v>3.1638005532802156</v>
      </c>
    </row>
    <row r="2059" spans="1:6">
      <c r="A2059" s="1">
        <v>9127471</v>
      </c>
      <c r="B2059" s="1">
        <f t="shared" ca="1" si="151"/>
        <v>0.36745293480483709</v>
      </c>
      <c r="C2059" s="1">
        <f t="shared" ca="1" si="150"/>
        <v>49</v>
      </c>
      <c r="D2059" s="1">
        <f t="shared" ca="1" si="152"/>
        <v>26</v>
      </c>
      <c r="E2059" s="2">
        <f t="shared" ca="1" si="153"/>
        <v>43101</v>
      </c>
      <c r="F2059" s="6">
        <f t="shared" ca="1" si="154"/>
        <v>5.7219727644510563</v>
      </c>
    </row>
    <row r="2060" spans="1:6">
      <c r="A2060" s="1">
        <v>9127474</v>
      </c>
      <c r="B2060" s="1">
        <f t="shared" ca="1" si="151"/>
        <v>0.85790090422285181</v>
      </c>
      <c r="C2060" s="1">
        <f t="shared" ca="1" si="150"/>
        <v>3</v>
      </c>
      <c r="D2060" s="1">
        <f t="shared" ca="1" si="152"/>
        <v>263</v>
      </c>
      <c r="E2060" s="2">
        <f t="shared" ca="1" si="153"/>
        <v>42901</v>
      </c>
      <c r="F2060" s="6">
        <f t="shared" ca="1" si="154"/>
        <v>7.23230933451058</v>
      </c>
    </row>
    <row r="2061" spans="1:6">
      <c r="A2061" s="1">
        <v>9127477</v>
      </c>
      <c r="B2061" s="1">
        <f t="shared" ca="1" si="151"/>
        <v>2.1123813579281281E-2</v>
      </c>
      <c r="C2061" s="1">
        <f t="shared" ca="1" si="150"/>
        <v>45</v>
      </c>
      <c r="D2061" s="1">
        <f t="shared" ca="1" si="152"/>
        <v>482</v>
      </c>
      <c r="E2061" s="2">
        <f t="shared" ca="1" si="153"/>
        <v>43057</v>
      </c>
      <c r="F2061" s="6">
        <f t="shared" ca="1" si="154"/>
        <v>5.0117460367390549</v>
      </c>
    </row>
    <row r="2062" spans="1:6">
      <c r="A2062" s="1">
        <v>9127480</v>
      </c>
      <c r="B2062" s="1">
        <f t="shared" ca="1" si="151"/>
        <v>0.66724888560195317</v>
      </c>
      <c r="C2062" s="1">
        <f t="shared" ca="1" si="150"/>
        <v>40</v>
      </c>
      <c r="D2062" s="1">
        <f t="shared" ca="1" si="152"/>
        <v>426</v>
      </c>
      <c r="E2062" s="2">
        <f t="shared" ca="1" si="153"/>
        <v>42738</v>
      </c>
      <c r="F2062" s="6">
        <f t="shared" ca="1" si="154"/>
        <v>109.24189145769525</v>
      </c>
    </row>
    <row r="2063" spans="1:6">
      <c r="A2063" s="1">
        <v>9127483</v>
      </c>
      <c r="B2063" s="1">
        <f t="shared" ca="1" si="151"/>
        <v>0.59191535219698377</v>
      </c>
      <c r="C2063" s="1">
        <f t="shared" ca="1" si="150"/>
        <v>39</v>
      </c>
      <c r="D2063" s="1">
        <f t="shared" ca="1" si="152"/>
        <v>402</v>
      </c>
      <c r="E2063" s="2">
        <f t="shared" ca="1" si="153"/>
        <v>43265</v>
      </c>
      <c r="F2063" s="6">
        <f t="shared" ca="1" si="154"/>
        <v>18.92865192876414</v>
      </c>
    </row>
    <row r="2064" spans="1:6">
      <c r="A2064" s="1">
        <v>9127486</v>
      </c>
      <c r="B2064" s="1">
        <f t="shared" ca="1" si="151"/>
        <v>6.887343761828546E-2</v>
      </c>
      <c r="C2064" s="1">
        <f t="shared" ca="1" si="150"/>
        <v>33</v>
      </c>
      <c r="D2064" s="1">
        <f t="shared" ca="1" si="152"/>
        <v>501</v>
      </c>
      <c r="E2064" s="2">
        <f t="shared" ca="1" si="153"/>
        <v>43140</v>
      </c>
      <c r="F2064" s="6">
        <f t="shared" ca="1" si="154"/>
        <v>20.016465745363206</v>
      </c>
    </row>
    <row r="2065" spans="1:6">
      <c r="A2065" s="1">
        <v>9127489</v>
      </c>
      <c r="B2065" s="1">
        <f t="shared" ca="1" si="151"/>
        <v>0.46822550534975238</v>
      </c>
      <c r="C2065" s="1">
        <f t="shared" ca="1" si="150"/>
        <v>263</v>
      </c>
      <c r="D2065" s="1">
        <f t="shared" ca="1" si="152"/>
        <v>197</v>
      </c>
      <c r="E2065" s="2">
        <f t="shared" ca="1" si="153"/>
        <v>43005</v>
      </c>
      <c r="F2065" s="6">
        <f t="shared" ca="1" si="154"/>
        <v>49.797677453394535</v>
      </c>
    </row>
    <row r="2066" spans="1:6">
      <c r="A2066" s="1">
        <v>9127492</v>
      </c>
      <c r="B2066" s="1">
        <f t="shared" ca="1" si="151"/>
        <v>0.6359630866648367</v>
      </c>
      <c r="C2066" s="1">
        <f t="shared" ca="1" si="150"/>
        <v>1</v>
      </c>
      <c r="D2066" s="1">
        <f t="shared" ca="1" si="152"/>
        <v>474</v>
      </c>
      <c r="E2066" s="2">
        <f t="shared" ca="1" si="153"/>
        <v>42992</v>
      </c>
      <c r="F2066" s="6">
        <f t="shared" ca="1" si="154"/>
        <v>68.05093137104781</v>
      </c>
    </row>
    <row r="2067" spans="1:6">
      <c r="A2067" s="1">
        <v>9127495</v>
      </c>
      <c r="B2067" s="1">
        <f t="shared" ca="1" si="151"/>
        <v>0.7762020060996343</v>
      </c>
      <c r="C2067" s="1">
        <f t="shared" ca="1" si="150"/>
        <v>3</v>
      </c>
      <c r="D2067" s="1">
        <f t="shared" ca="1" si="152"/>
        <v>263</v>
      </c>
      <c r="E2067" s="2">
        <f t="shared" ca="1" si="153"/>
        <v>43140</v>
      </c>
      <c r="F2067" s="6">
        <f t="shared" ca="1" si="154"/>
        <v>71.636394343755669</v>
      </c>
    </row>
    <row r="2068" spans="1:6">
      <c r="A2068" s="1">
        <v>9127498</v>
      </c>
      <c r="B2068" s="1">
        <f t="shared" ca="1" si="151"/>
        <v>9.6045034459495082E-2</v>
      </c>
      <c r="C2068" s="1">
        <f t="shared" ca="1" si="150"/>
        <v>7</v>
      </c>
      <c r="D2068" s="1">
        <f t="shared" ca="1" si="152"/>
        <v>138</v>
      </c>
      <c r="E2068" s="2">
        <f t="shared" ca="1" si="153"/>
        <v>43489</v>
      </c>
      <c r="F2068" s="6">
        <f t="shared" ca="1" si="154"/>
        <v>51.546214270944162</v>
      </c>
    </row>
    <row r="2069" spans="1:6">
      <c r="A2069" s="1">
        <v>9127501</v>
      </c>
      <c r="B2069" s="1">
        <f t="shared" ca="1" si="151"/>
        <v>0.6767745596168091</v>
      </c>
      <c r="C2069" s="1">
        <f t="shared" ca="1" si="150"/>
        <v>20</v>
      </c>
      <c r="D2069" s="1">
        <f t="shared" ca="1" si="152"/>
        <v>444</v>
      </c>
      <c r="E2069" s="2">
        <f t="shared" ca="1" si="153"/>
        <v>42805</v>
      </c>
      <c r="F2069" s="6">
        <f t="shared" ca="1" si="154"/>
        <v>76.817730324290849</v>
      </c>
    </row>
    <row r="2070" spans="1:6">
      <c r="A2070" s="1">
        <v>9127504</v>
      </c>
      <c r="B2070" s="1">
        <f t="shared" ca="1" si="151"/>
        <v>0.87569144560110301</v>
      </c>
      <c r="C2070" s="1">
        <f t="shared" ca="1" si="150"/>
        <v>2</v>
      </c>
      <c r="D2070" s="1">
        <f t="shared" ca="1" si="152"/>
        <v>30</v>
      </c>
      <c r="E2070" s="2">
        <f t="shared" ca="1" si="153"/>
        <v>43313</v>
      </c>
      <c r="F2070" s="6">
        <f t="shared" ca="1" si="154"/>
        <v>4.0076081205420877</v>
      </c>
    </row>
    <row r="2071" spans="1:6">
      <c r="A2071" s="1">
        <v>9127507</v>
      </c>
      <c r="B2071" s="1">
        <f t="shared" ca="1" si="151"/>
        <v>0.30330733841157209</v>
      </c>
      <c r="C2071" s="1">
        <f t="shared" ca="1" si="150"/>
        <v>7</v>
      </c>
      <c r="D2071" s="1">
        <f t="shared" ca="1" si="152"/>
        <v>138</v>
      </c>
      <c r="E2071" s="2">
        <f t="shared" ca="1" si="153"/>
        <v>42885</v>
      </c>
      <c r="F2071" s="6">
        <f t="shared" ca="1" si="154"/>
        <v>3.0111253168781826</v>
      </c>
    </row>
    <row r="2072" spans="1:6">
      <c r="A2072" s="1">
        <v>9127510</v>
      </c>
      <c r="B2072" s="1">
        <f t="shared" ca="1" si="151"/>
        <v>0.98388767783533326</v>
      </c>
      <c r="C2072" s="1">
        <f t="shared" ca="1" si="150"/>
        <v>56</v>
      </c>
      <c r="D2072" s="1">
        <f t="shared" ca="1" si="152"/>
        <v>57</v>
      </c>
      <c r="E2072" s="2">
        <f t="shared" ca="1" si="153"/>
        <v>42821</v>
      </c>
      <c r="F2072" s="6">
        <f t="shared" ca="1" si="154"/>
        <v>3.7149650520769084</v>
      </c>
    </row>
    <row r="2073" spans="1:6">
      <c r="A2073" s="1">
        <v>9127513</v>
      </c>
      <c r="B2073" s="1">
        <f t="shared" ca="1" si="151"/>
        <v>0.13872784325115539</v>
      </c>
      <c r="C2073" s="1">
        <f t="shared" ca="1" si="150"/>
        <v>1</v>
      </c>
      <c r="D2073" s="1">
        <f t="shared" ca="1" si="152"/>
        <v>474</v>
      </c>
      <c r="E2073" s="2">
        <f t="shared" ca="1" si="153"/>
        <v>42741</v>
      </c>
      <c r="F2073" s="6">
        <f t="shared" ca="1" si="154"/>
        <v>6.923854386601386</v>
      </c>
    </row>
    <row r="2074" spans="1:6">
      <c r="A2074" s="1">
        <v>9127516</v>
      </c>
      <c r="B2074" s="1">
        <f t="shared" ca="1" si="151"/>
        <v>0.71768979174447989</v>
      </c>
      <c r="C2074" s="1">
        <f t="shared" ca="1" si="150"/>
        <v>3</v>
      </c>
      <c r="D2074" s="1">
        <f t="shared" ca="1" si="152"/>
        <v>263</v>
      </c>
      <c r="E2074" s="2">
        <f t="shared" ca="1" si="153"/>
        <v>42830</v>
      </c>
      <c r="F2074" s="6">
        <f t="shared" ca="1" si="154"/>
        <v>56.655182995689046</v>
      </c>
    </row>
    <row r="2075" spans="1:6">
      <c r="A2075" s="1">
        <v>9127519</v>
      </c>
      <c r="B2075" s="1">
        <f t="shared" ca="1" si="151"/>
        <v>0.96988931958884284</v>
      </c>
      <c r="C2075" s="1">
        <f t="shared" ref="C2075:C2138" ca="1" si="155">ROUND(_xlfn.GAMMA.INV(RAND(),$J$11,$J$12)*100,0)+1</f>
        <v>56</v>
      </c>
      <c r="D2075" s="1">
        <f t="shared" ca="1" si="152"/>
        <v>57</v>
      </c>
      <c r="E2075" s="2">
        <f t="shared" ca="1" si="153"/>
        <v>42858</v>
      </c>
      <c r="F2075" s="6">
        <f t="shared" ca="1" si="154"/>
        <v>320.66062281433165</v>
      </c>
    </row>
    <row r="2076" spans="1:6">
      <c r="A2076" s="1">
        <v>9127522</v>
      </c>
      <c r="B2076" s="1">
        <f t="shared" ca="1" si="151"/>
        <v>0.31887255633101963</v>
      </c>
      <c r="C2076" s="1">
        <f t="shared" ca="1" si="155"/>
        <v>107</v>
      </c>
      <c r="D2076" s="1">
        <f t="shared" ca="1" si="152"/>
        <v>173</v>
      </c>
      <c r="E2076" s="2">
        <f t="shared" ca="1" si="153"/>
        <v>43367</v>
      </c>
      <c r="F2076" s="6">
        <f t="shared" ca="1" si="154"/>
        <v>66.487582511876724</v>
      </c>
    </row>
    <row r="2077" spans="1:6">
      <c r="A2077" s="1">
        <v>9127525</v>
      </c>
      <c r="B2077" s="1">
        <f t="shared" ca="1" si="151"/>
        <v>0.18906048562971922</v>
      </c>
      <c r="C2077" s="1">
        <f t="shared" ca="1" si="155"/>
        <v>1</v>
      </c>
      <c r="D2077" s="1">
        <f t="shared" ca="1" si="152"/>
        <v>474</v>
      </c>
      <c r="E2077" s="2">
        <f t="shared" ca="1" si="153"/>
        <v>43141</v>
      </c>
      <c r="F2077" s="6">
        <f t="shared" ca="1" si="154"/>
        <v>32.276955748011694</v>
      </c>
    </row>
    <row r="2078" spans="1:6">
      <c r="A2078" s="1">
        <v>9127528</v>
      </c>
      <c r="B2078" s="1">
        <f t="shared" ca="1" si="151"/>
        <v>0.92938803990051599</v>
      </c>
      <c r="C2078" s="1">
        <f t="shared" ca="1" si="155"/>
        <v>22</v>
      </c>
      <c r="D2078" s="1">
        <f t="shared" ca="1" si="152"/>
        <v>413</v>
      </c>
      <c r="E2078" s="2">
        <f t="shared" ca="1" si="153"/>
        <v>43445</v>
      </c>
      <c r="F2078" s="6">
        <f t="shared" ca="1" si="154"/>
        <v>98.863146735534386</v>
      </c>
    </row>
    <row r="2079" spans="1:6">
      <c r="A2079" s="1">
        <v>9127531</v>
      </c>
      <c r="B2079" s="1">
        <f t="shared" ca="1" si="151"/>
        <v>0.65650210380327745</v>
      </c>
      <c r="C2079" s="1">
        <f t="shared" ca="1" si="155"/>
        <v>34</v>
      </c>
      <c r="D2079" s="1">
        <f t="shared" ca="1" si="152"/>
        <v>503</v>
      </c>
      <c r="E2079" s="2">
        <f t="shared" ca="1" si="153"/>
        <v>43120</v>
      </c>
      <c r="F2079" s="6">
        <f t="shared" ca="1" si="154"/>
        <v>35.061080766985619</v>
      </c>
    </row>
    <row r="2080" spans="1:6">
      <c r="A2080" s="1">
        <v>9127534</v>
      </c>
      <c r="B2080" s="1">
        <f t="shared" ca="1" si="151"/>
        <v>1.3967059888651212E-2</v>
      </c>
      <c r="C2080" s="1">
        <f t="shared" ca="1" si="155"/>
        <v>117</v>
      </c>
      <c r="D2080" s="1">
        <f t="shared" ca="1" si="152"/>
        <v>600</v>
      </c>
      <c r="E2080" s="2">
        <f t="shared" ca="1" si="153"/>
        <v>42936</v>
      </c>
      <c r="F2080" s="6">
        <f t="shared" ca="1" si="154"/>
        <v>20.983593912004984</v>
      </c>
    </row>
    <row r="2081" spans="1:6">
      <c r="A2081" s="1">
        <v>9127537</v>
      </c>
      <c r="B2081" s="1">
        <f t="shared" ca="1" si="151"/>
        <v>0.91091154705412114</v>
      </c>
      <c r="C2081" s="1">
        <f t="shared" ca="1" si="155"/>
        <v>12</v>
      </c>
      <c r="D2081" s="1">
        <f t="shared" ca="1" si="152"/>
        <v>292</v>
      </c>
      <c r="E2081" s="2">
        <f t="shared" ca="1" si="153"/>
        <v>43195</v>
      </c>
      <c r="F2081" s="6">
        <f t="shared" ca="1" si="154"/>
        <v>23.791014033966153</v>
      </c>
    </row>
    <row r="2082" spans="1:6">
      <c r="A2082" s="1">
        <v>9127540</v>
      </c>
      <c r="B2082" s="1">
        <f t="shared" ca="1" si="151"/>
        <v>0.12771505339764022</v>
      </c>
      <c r="C2082" s="1">
        <f t="shared" ca="1" si="155"/>
        <v>18</v>
      </c>
      <c r="D2082" s="1">
        <f t="shared" ca="1" si="152"/>
        <v>511</v>
      </c>
      <c r="E2082" s="2">
        <f t="shared" ca="1" si="153"/>
        <v>43455</v>
      </c>
      <c r="F2082" s="6">
        <f t="shared" ca="1" si="154"/>
        <v>4.229689527594477</v>
      </c>
    </row>
    <row r="2083" spans="1:6">
      <c r="A2083" s="1">
        <v>9127543</v>
      </c>
      <c r="B2083" s="1">
        <f t="shared" ca="1" si="151"/>
        <v>0.1512913825511446</v>
      </c>
      <c r="C2083" s="1">
        <f t="shared" ca="1" si="155"/>
        <v>58</v>
      </c>
      <c r="D2083" s="1">
        <f t="shared" ca="1" si="152"/>
        <v>19</v>
      </c>
      <c r="E2083" s="2">
        <f t="shared" ca="1" si="153"/>
        <v>43285</v>
      </c>
      <c r="F2083" s="6">
        <f t="shared" ca="1" si="154"/>
        <v>4.9902200290975838</v>
      </c>
    </row>
    <row r="2084" spans="1:6">
      <c r="A2084" s="1">
        <v>9127546</v>
      </c>
      <c r="B2084" s="1">
        <f t="shared" ca="1" si="151"/>
        <v>0.1952178397788229</v>
      </c>
      <c r="C2084" s="1">
        <f t="shared" ca="1" si="155"/>
        <v>259</v>
      </c>
      <c r="D2084" s="1">
        <f t="shared" ca="1" si="152"/>
        <v>41</v>
      </c>
      <c r="E2084" s="2">
        <f t="shared" ca="1" si="153"/>
        <v>43255</v>
      </c>
      <c r="F2084" s="6">
        <f t="shared" ca="1" si="154"/>
        <v>3.100625307933103</v>
      </c>
    </row>
    <row r="2085" spans="1:6">
      <c r="A2085" s="1">
        <v>9127549</v>
      </c>
      <c r="B2085" s="1">
        <f t="shared" ca="1" si="151"/>
        <v>0.65227252109969969</v>
      </c>
      <c r="C2085" s="1">
        <f t="shared" ca="1" si="155"/>
        <v>207</v>
      </c>
      <c r="D2085" s="1">
        <f t="shared" ca="1" si="152"/>
        <v>152</v>
      </c>
      <c r="E2085" s="2">
        <f t="shared" ca="1" si="153"/>
        <v>42864</v>
      </c>
      <c r="F2085" s="6">
        <f t="shared" ca="1" si="154"/>
        <v>3.0178379042351073</v>
      </c>
    </row>
    <row r="2086" spans="1:6">
      <c r="A2086" s="1">
        <v>9127552</v>
      </c>
      <c r="B2086" s="1">
        <f t="shared" ca="1" si="151"/>
        <v>0.6662765403809221</v>
      </c>
      <c r="C2086" s="1">
        <f t="shared" ca="1" si="155"/>
        <v>6</v>
      </c>
      <c r="D2086" s="1">
        <f t="shared" ca="1" si="152"/>
        <v>208</v>
      </c>
      <c r="E2086" s="2">
        <f t="shared" ca="1" si="153"/>
        <v>43115</v>
      </c>
      <c r="F2086" s="6">
        <f t="shared" ca="1" si="154"/>
        <v>8.0150395214114099</v>
      </c>
    </row>
    <row r="2087" spans="1:6">
      <c r="A2087" s="1">
        <v>9127555</v>
      </c>
      <c r="B2087" s="1">
        <f t="shared" ca="1" si="151"/>
        <v>0.1795458580991417</v>
      </c>
      <c r="C2087" s="1">
        <f t="shared" ca="1" si="155"/>
        <v>3</v>
      </c>
      <c r="D2087" s="1">
        <f t="shared" ca="1" si="152"/>
        <v>263</v>
      </c>
      <c r="E2087" s="2">
        <f t="shared" ca="1" si="153"/>
        <v>42776</v>
      </c>
      <c r="F2087" s="6">
        <f t="shared" ca="1" si="154"/>
        <v>11.665413648890146</v>
      </c>
    </row>
    <row r="2088" spans="1:6">
      <c r="A2088" s="1">
        <v>9127558</v>
      </c>
      <c r="B2088" s="1">
        <f t="shared" ca="1" si="151"/>
        <v>0.34022276973194876</v>
      </c>
      <c r="C2088" s="1">
        <f t="shared" ca="1" si="155"/>
        <v>42</v>
      </c>
      <c r="D2088" s="1">
        <f t="shared" ca="1" si="152"/>
        <v>36</v>
      </c>
      <c r="E2088" s="2">
        <f t="shared" ca="1" si="153"/>
        <v>42918</v>
      </c>
      <c r="F2088" s="6">
        <f t="shared" ca="1" si="154"/>
        <v>107.15406997175629</v>
      </c>
    </row>
    <row r="2089" spans="1:6">
      <c r="A2089" s="1">
        <v>9127561</v>
      </c>
      <c r="B2089" s="1">
        <f t="shared" ca="1" si="151"/>
        <v>0.78024495159362972</v>
      </c>
      <c r="C2089" s="1">
        <f t="shared" ca="1" si="155"/>
        <v>10</v>
      </c>
      <c r="D2089" s="1">
        <f t="shared" ca="1" si="152"/>
        <v>236</v>
      </c>
      <c r="E2089" s="2">
        <f t="shared" ca="1" si="153"/>
        <v>43218</v>
      </c>
      <c r="F2089" s="6">
        <f t="shared" ca="1" si="154"/>
        <v>28.484211173446496</v>
      </c>
    </row>
    <row r="2090" spans="1:6">
      <c r="A2090" s="1">
        <v>9127564</v>
      </c>
      <c r="B2090" s="1">
        <f t="shared" ca="1" si="151"/>
        <v>0.31478919645284187</v>
      </c>
      <c r="C2090" s="1">
        <f t="shared" ca="1" si="155"/>
        <v>26</v>
      </c>
      <c r="D2090" s="1">
        <f t="shared" ca="1" si="152"/>
        <v>88</v>
      </c>
      <c r="E2090" s="2">
        <f t="shared" ca="1" si="153"/>
        <v>43328</v>
      </c>
      <c r="F2090" s="6">
        <f t="shared" ca="1" si="154"/>
        <v>26.528066396677385</v>
      </c>
    </row>
    <row r="2091" spans="1:6">
      <c r="A2091" s="1">
        <v>9127567</v>
      </c>
      <c r="B2091" s="1">
        <f t="shared" ca="1" si="151"/>
        <v>3.8943625536691728E-2</v>
      </c>
      <c r="C2091" s="1">
        <f t="shared" ca="1" si="155"/>
        <v>72</v>
      </c>
      <c r="D2091" s="1">
        <f t="shared" ca="1" si="152"/>
        <v>267</v>
      </c>
      <c r="E2091" s="2">
        <f t="shared" ca="1" si="153"/>
        <v>42910</v>
      </c>
      <c r="F2091" s="6">
        <f t="shared" ca="1" si="154"/>
        <v>3.9300515708153374</v>
      </c>
    </row>
    <row r="2092" spans="1:6">
      <c r="A2092" s="1">
        <v>9127570</v>
      </c>
      <c r="B2092" s="1">
        <f t="shared" ca="1" si="151"/>
        <v>0.24348050963497359</v>
      </c>
      <c r="C2092" s="1">
        <f t="shared" ca="1" si="155"/>
        <v>2</v>
      </c>
      <c r="D2092" s="1">
        <f t="shared" ca="1" si="152"/>
        <v>30</v>
      </c>
      <c r="E2092" s="2">
        <f t="shared" ca="1" si="153"/>
        <v>43092</v>
      </c>
      <c r="F2092" s="6">
        <f t="shared" ca="1" si="154"/>
        <v>47.465740203180566</v>
      </c>
    </row>
    <row r="2093" spans="1:6">
      <c r="A2093" s="1">
        <v>9127573</v>
      </c>
      <c r="B2093" s="1">
        <f t="shared" ca="1" si="151"/>
        <v>0.17881027430332519</v>
      </c>
      <c r="C2093" s="1">
        <f t="shared" ca="1" si="155"/>
        <v>1</v>
      </c>
      <c r="D2093" s="1">
        <f t="shared" ca="1" si="152"/>
        <v>474</v>
      </c>
      <c r="E2093" s="2">
        <f t="shared" ca="1" si="153"/>
        <v>43248</v>
      </c>
      <c r="F2093" s="6">
        <f t="shared" ca="1" si="154"/>
        <v>4.2150596350366625</v>
      </c>
    </row>
    <row r="2094" spans="1:6">
      <c r="A2094" s="1">
        <v>9127576</v>
      </c>
      <c r="B2094" s="1">
        <f t="shared" ca="1" si="151"/>
        <v>0.27235497038830259</v>
      </c>
      <c r="C2094" s="1">
        <f t="shared" ca="1" si="155"/>
        <v>121</v>
      </c>
      <c r="D2094" s="1">
        <f t="shared" ca="1" si="152"/>
        <v>243</v>
      </c>
      <c r="E2094" s="2">
        <f t="shared" ca="1" si="153"/>
        <v>43265</v>
      </c>
      <c r="F2094" s="6">
        <f t="shared" ca="1" si="154"/>
        <v>139.34769529845445</v>
      </c>
    </row>
    <row r="2095" spans="1:6">
      <c r="A2095" s="1">
        <v>9127579</v>
      </c>
      <c r="B2095" s="1">
        <f t="shared" ca="1" si="151"/>
        <v>0.25565247682741432</v>
      </c>
      <c r="C2095" s="1">
        <f t="shared" ca="1" si="155"/>
        <v>27</v>
      </c>
      <c r="D2095" s="1">
        <f t="shared" ca="1" si="152"/>
        <v>398</v>
      </c>
      <c r="E2095" s="2">
        <f t="shared" ca="1" si="153"/>
        <v>42990</v>
      </c>
      <c r="F2095" s="6">
        <f t="shared" ca="1" si="154"/>
        <v>16.338334690878547</v>
      </c>
    </row>
    <row r="2096" spans="1:6">
      <c r="A2096" s="1">
        <v>9127582</v>
      </c>
      <c r="B2096" s="1">
        <f t="shared" ca="1" si="151"/>
        <v>0.83143881500718453</v>
      </c>
      <c r="C2096" s="1">
        <f t="shared" ca="1" si="155"/>
        <v>21</v>
      </c>
      <c r="D2096" s="1">
        <f t="shared" ca="1" si="152"/>
        <v>566</v>
      </c>
      <c r="E2096" s="2">
        <f t="shared" ca="1" si="153"/>
        <v>43307</v>
      </c>
      <c r="F2096" s="6">
        <f t="shared" ca="1" si="154"/>
        <v>65.90614272144326</v>
      </c>
    </row>
    <row r="2097" spans="1:6">
      <c r="A2097" s="1">
        <v>9127585</v>
      </c>
      <c r="B2097" s="1">
        <f t="shared" ca="1" si="151"/>
        <v>0.62263509096429037</v>
      </c>
      <c r="C2097" s="1">
        <f t="shared" ca="1" si="155"/>
        <v>56</v>
      </c>
      <c r="D2097" s="1">
        <f t="shared" ca="1" si="152"/>
        <v>57</v>
      </c>
      <c r="E2097" s="2">
        <f t="shared" ca="1" si="153"/>
        <v>43378</v>
      </c>
      <c r="F2097" s="6">
        <f t="shared" ca="1" si="154"/>
        <v>54.128256715473121</v>
      </c>
    </row>
    <row r="2098" spans="1:6">
      <c r="A2098" s="1">
        <v>9127588</v>
      </c>
      <c r="B2098" s="1">
        <f t="shared" ca="1" si="151"/>
        <v>0.18458578679919269</v>
      </c>
      <c r="C2098" s="1">
        <f t="shared" ca="1" si="155"/>
        <v>71</v>
      </c>
      <c r="D2098" s="1">
        <f t="shared" ca="1" si="152"/>
        <v>281</v>
      </c>
      <c r="E2098" s="2">
        <f t="shared" ca="1" si="153"/>
        <v>43326</v>
      </c>
      <c r="F2098" s="6">
        <f t="shared" ca="1" si="154"/>
        <v>19.005660446399403</v>
      </c>
    </row>
    <row r="2099" spans="1:6">
      <c r="A2099" s="1">
        <v>9127591</v>
      </c>
      <c r="B2099" s="1">
        <f t="shared" ca="1" si="151"/>
        <v>0.44926295028944463</v>
      </c>
      <c r="C2099" s="1">
        <f t="shared" ca="1" si="155"/>
        <v>60</v>
      </c>
      <c r="D2099" s="1">
        <f t="shared" ca="1" si="152"/>
        <v>422</v>
      </c>
      <c r="E2099" s="2">
        <f t="shared" ca="1" si="153"/>
        <v>43375</v>
      </c>
      <c r="F2099" s="6">
        <f t="shared" ca="1" si="154"/>
        <v>3.0027573250925177</v>
      </c>
    </row>
    <row r="2100" spans="1:6">
      <c r="A2100" s="1">
        <v>9127594</v>
      </c>
      <c r="B2100" s="1">
        <f t="shared" ca="1" si="151"/>
        <v>0.18232980311070357</v>
      </c>
      <c r="C2100" s="1">
        <f t="shared" ca="1" si="155"/>
        <v>10</v>
      </c>
      <c r="D2100" s="1">
        <f t="shared" ca="1" si="152"/>
        <v>236</v>
      </c>
      <c r="E2100" s="2">
        <f t="shared" ca="1" si="153"/>
        <v>43403</v>
      </c>
      <c r="F2100" s="6">
        <f t="shared" ca="1" si="154"/>
        <v>3.2802950505410258</v>
      </c>
    </row>
    <row r="2101" spans="1:6">
      <c r="A2101" s="1">
        <v>9127597</v>
      </c>
      <c r="B2101" s="1">
        <f t="shared" ca="1" si="151"/>
        <v>0.28735975739524333</v>
      </c>
      <c r="C2101" s="1">
        <f t="shared" ca="1" si="155"/>
        <v>2</v>
      </c>
      <c r="D2101" s="1">
        <f t="shared" ca="1" si="152"/>
        <v>30</v>
      </c>
      <c r="E2101" s="2">
        <f t="shared" ca="1" si="153"/>
        <v>42802</v>
      </c>
      <c r="F2101" s="6">
        <f t="shared" ca="1" si="154"/>
        <v>36.502413706228147</v>
      </c>
    </row>
    <row r="2102" spans="1:6">
      <c r="A2102" s="1">
        <v>9127600</v>
      </c>
      <c r="B2102" s="1">
        <f t="shared" ca="1" si="151"/>
        <v>0.49911652930855199</v>
      </c>
      <c r="C2102" s="1">
        <f t="shared" ca="1" si="155"/>
        <v>126</v>
      </c>
      <c r="D2102" s="1">
        <f t="shared" ca="1" si="152"/>
        <v>587</v>
      </c>
      <c r="E2102" s="2">
        <f t="shared" ca="1" si="153"/>
        <v>43079</v>
      </c>
      <c r="F2102" s="6">
        <f t="shared" ca="1" si="154"/>
        <v>271.83442652185494</v>
      </c>
    </row>
    <row r="2103" spans="1:6">
      <c r="A2103" s="1">
        <v>9127603</v>
      </c>
      <c r="B2103" s="1">
        <f t="shared" ca="1" si="151"/>
        <v>0.69314870746166801</v>
      </c>
      <c r="C2103" s="1">
        <f t="shared" ca="1" si="155"/>
        <v>42</v>
      </c>
      <c r="D2103" s="1">
        <f t="shared" ca="1" si="152"/>
        <v>36</v>
      </c>
      <c r="E2103" s="2">
        <f t="shared" ca="1" si="153"/>
        <v>43010</v>
      </c>
      <c r="F2103" s="6">
        <f t="shared" ca="1" si="154"/>
        <v>13.685055748941497</v>
      </c>
    </row>
    <row r="2104" spans="1:6">
      <c r="A2104" s="1">
        <v>9127606</v>
      </c>
      <c r="B2104" s="1">
        <f t="shared" ca="1" si="151"/>
        <v>0.62712738550312863</v>
      </c>
      <c r="C2104" s="1">
        <f t="shared" ca="1" si="155"/>
        <v>145</v>
      </c>
      <c r="D2104" s="1">
        <f t="shared" ca="1" si="152"/>
        <v>389</v>
      </c>
      <c r="E2104" s="2">
        <f t="shared" ca="1" si="153"/>
        <v>43303</v>
      </c>
      <c r="F2104" s="6">
        <f t="shared" ca="1" si="154"/>
        <v>9.5322627265608588</v>
      </c>
    </row>
    <row r="2105" spans="1:6">
      <c r="A2105" s="1">
        <v>9127609</v>
      </c>
      <c r="B2105" s="1">
        <f t="shared" ca="1" si="151"/>
        <v>0.29941548900051307</v>
      </c>
      <c r="C2105" s="1">
        <f t="shared" ca="1" si="155"/>
        <v>1</v>
      </c>
      <c r="D2105" s="1">
        <f t="shared" ca="1" si="152"/>
        <v>474</v>
      </c>
      <c r="E2105" s="2">
        <f t="shared" ca="1" si="153"/>
        <v>42743</v>
      </c>
      <c r="F2105" s="6">
        <f t="shared" ca="1" si="154"/>
        <v>49.901561714559151</v>
      </c>
    </row>
    <row r="2106" spans="1:6">
      <c r="A2106" s="1">
        <v>9127612</v>
      </c>
      <c r="B2106" s="1">
        <f t="shared" ca="1" si="151"/>
        <v>0.53507949209445049</v>
      </c>
      <c r="C2106" s="1">
        <f t="shared" ca="1" si="155"/>
        <v>14</v>
      </c>
      <c r="D2106" s="1">
        <f t="shared" ca="1" si="152"/>
        <v>576</v>
      </c>
      <c r="E2106" s="2">
        <f t="shared" ca="1" si="153"/>
        <v>42771</v>
      </c>
      <c r="F2106" s="6">
        <f t="shared" ca="1" si="154"/>
        <v>41.866419632412317</v>
      </c>
    </row>
    <row r="2107" spans="1:6">
      <c r="A2107" s="1">
        <v>9127615</v>
      </c>
      <c r="B2107" s="1">
        <f t="shared" ca="1" si="151"/>
        <v>0.75519932885859664</v>
      </c>
      <c r="C2107" s="1">
        <f t="shared" ca="1" si="155"/>
        <v>235</v>
      </c>
      <c r="D2107" s="1">
        <f t="shared" ca="1" si="152"/>
        <v>74</v>
      </c>
      <c r="E2107" s="2">
        <f t="shared" ca="1" si="153"/>
        <v>43412</v>
      </c>
      <c r="F2107" s="6">
        <f t="shared" ca="1" si="154"/>
        <v>286.13982236201849</v>
      </c>
    </row>
    <row r="2108" spans="1:6">
      <c r="A2108" s="1">
        <v>9127618</v>
      </c>
      <c r="B2108" s="1">
        <f t="shared" ca="1" si="151"/>
        <v>0.59784443804546938</v>
      </c>
      <c r="C2108" s="1">
        <f t="shared" ca="1" si="155"/>
        <v>74</v>
      </c>
      <c r="D2108" s="1">
        <f t="shared" ca="1" si="152"/>
        <v>450</v>
      </c>
      <c r="E2108" s="2">
        <f t="shared" ca="1" si="153"/>
        <v>43089</v>
      </c>
      <c r="F2108" s="6">
        <f t="shared" ca="1" si="154"/>
        <v>12.538282768662485</v>
      </c>
    </row>
    <row r="2109" spans="1:6">
      <c r="A2109" s="1">
        <v>9127621</v>
      </c>
      <c r="B2109" s="1">
        <f t="shared" ca="1" si="151"/>
        <v>0.52249582988681009</v>
      </c>
      <c r="C2109" s="1">
        <f t="shared" ca="1" si="155"/>
        <v>45</v>
      </c>
      <c r="D2109" s="1">
        <f t="shared" ca="1" si="152"/>
        <v>482</v>
      </c>
      <c r="E2109" s="2">
        <f t="shared" ca="1" si="153"/>
        <v>43186</v>
      </c>
      <c r="F2109" s="6">
        <f t="shared" ca="1" si="154"/>
        <v>6.9174537335468287</v>
      </c>
    </row>
    <row r="2110" spans="1:6">
      <c r="A2110" s="1">
        <v>9127624</v>
      </c>
      <c r="B2110" s="1">
        <f t="shared" ca="1" si="151"/>
        <v>0.36877750993658076</v>
      </c>
      <c r="C2110" s="1">
        <f t="shared" ca="1" si="155"/>
        <v>1</v>
      </c>
      <c r="D2110" s="1">
        <f t="shared" ca="1" si="152"/>
        <v>474</v>
      </c>
      <c r="E2110" s="2">
        <f t="shared" ca="1" si="153"/>
        <v>42768</v>
      </c>
      <c r="F2110" s="6">
        <f t="shared" ca="1" si="154"/>
        <v>3.1082171554739237</v>
      </c>
    </row>
    <row r="2111" spans="1:6">
      <c r="A2111" s="1">
        <v>9127627</v>
      </c>
      <c r="B2111" s="1">
        <f t="shared" ca="1" si="151"/>
        <v>0.98253870252062303</v>
      </c>
      <c r="C2111" s="1">
        <f t="shared" ca="1" si="155"/>
        <v>14</v>
      </c>
      <c r="D2111" s="1">
        <f t="shared" ca="1" si="152"/>
        <v>576</v>
      </c>
      <c r="E2111" s="2">
        <f t="shared" ca="1" si="153"/>
        <v>43318</v>
      </c>
      <c r="F2111" s="6">
        <f t="shared" ca="1" si="154"/>
        <v>3.7197712756931827</v>
      </c>
    </row>
    <row r="2112" spans="1:6">
      <c r="A2112" s="1">
        <v>9127630</v>
      </c>
      <c r="B2112" s="1">
        <f t="shared" ca="1" si="151"/>
        <v>9.7515114755062582E-2</v>
      </c>
      <c r="C2112" s="1">
        <f t="shared" ca="1" si="155"/>
        <v>1</v>
      </c>
      <c r="D2112" s="1">
        <f t="shared" ca="1" si="152"/>
        <v>474</v>
      </c>
      <c r="E2112" s="2">
        <f t="shared" ca="1" si="153"/>
        <v>43027</v>
      </c>
      <c r="F2112" s="6">
        <f t="shared" ca="1" si="154"/>
        <v>26.491916945828571</v>
      </c>
    </row>
    <row r="2113" spans="1:6">
      <c r="A2113" s="1">
        <v>9127633</v>
      </c>
      <c r="B2113" s="1">
        <f t="shared" ca="1" si="151"/>
        <v>5.5779724835600675E-2</v>
      </c>
      <c r="C2113" s="1">
        <f t="shared" ca="1" si="155"/>
        <v>142</v>
      </c>
      <c r="D2113" s="1">
        <f t="shared" ca="1" si="152"/>
        <v>98</v>
      </c>
      <c r="E2113" s="2">
        <f t="shared" ca="1" si="153"/>
        <v>43136</v>
      </c>
      <c r="F2113" s="6">
        <f t="shared" ca="1" si="154"/>
        <v>26.814018083848719</v>
      </c>
    </row>
    <row r="2114" spans="1:6">
      <c r="A2114" s="1">
        <v>9127636</v>
      </c>
      <c r="B2114" s="1">
        <f t="shared" ref="B2114:B2177" ca="1" si="156">RAND()</f>
        <v>8.5252195228145977E-2</v>
      </c>
      <c r="C2114" s="1">
        <f t="shared" ca="1" si="155"/>
        <v>16</v>
      </c>
      <c r="D2114" s="1">
        <f t="shared" ca="1" si="152"/>
        <v>465</v>
      </c>
      <c r="E2114" s="2">
        <f t="shared" ca="1" si="153"/>
        <v>42761</v>
      </c>
      <c r="F2114" s="6">
        <f t="shared" ca="1" si="154"/>
        <v>56.741201485449032</v>
      </c>
    </row>
    <row r="2115" spans="1:6">
      <c r="A2115" s="1">
        <v>9127639</v>
      </c>
      <c r="B2115" s="1">
        <f t="shared" ca="1" si="156"/>
        <v>0.61910245232703875</v>
      </c>
      <c r="C2115" s="1">
        <f t="shared" ca="1" si="155"/>
        <v>3</v>
      </c>
      <c r="D2115" s="1">
        <f t="shared" ref="D2115:D2178" ca="1" si="157">VLOOKUP(SMALL($B$2:$B$601,C2115),$B$2:$C$601,2,FALSE)</f>
        <v>263</v>
      </c>
      <c r="E2115" s="2">
        <f t="shared" ref="E2115:E2178" ca="1" si="158">RANDBETWEEN("1/1/17","2/1/19")</f>
        <v>43369</v>
      </c>
      <c r="F2115" s="6">
        <f t="shared" ref="F2115:F2178" ca="1" si="159">_xlfn.GAMMA.INV(RAND(),$J$6,$J$7)*100+3</f>
        <v>27.333720349062872</v>
      </c>
    </row>
    <row r="2116" spans="1:6">
      <c r="A2116" s="1">
        <v>9127642</v>
      </c>
      <c r="B2116" s="1">
        <f t="shared" ca="1" si="156"/>
        <v>0.21478244377793398</v>
      </c>
      <c r="C2116" s="1">
        <f t="shared" ca="1" si="155"/>
        <v>2</v>
      </c>
      <c r="D2116" s="1">
        <f t="shared" ca="1" si="157"/>
        <v>30</v>
      </c>
      <c r="E2116" s="2">
        <f t="shared" ca="1" si="158"/>
        <v>43213</v>
      </c>
      <c r="F2116" s="6">
        <f t="shared" ca="1" si="159"/>
        <v>28.447938768938478</v>
      </c>
    </row>
    <row r="2117" spans="1:6">
      <c r="A2117" s="1">
        <v>9127645</v>
      </c>
      <c r="B2117" s="1">
        <f t="shared" ca="1" si="156"/>
        <v>0.6695854195710802</v>
      </c>
      <c r="C2117" s="1">
        <f t="shared" ca="1" si="155"/>
        <v>43</v>
      </c>
      <c r="D2117" s="1">
        <f t="shared" ca="1" si="157"/>
        <v>73</v>
      </c>
      <c r="E2117" s="2">
        <f t="shared" ca="1" si="158"/>
        <v>43320</v>
      </c>
      <c r="F2117" s="6">
        <f t="shared" ca="1" si="159"/>
        <v>6.3568622229683669</v>
      </c>
    </row>
    <row r="2118" spans="1:6">
      <c r="A2118" s="1">
        <v>9127648</v>
      </c>
      <c r="B2118" s="1">
        <f t="shared" ca="1" si="156"/>
        <v>0.96937584301441204</v>
      </c>
      <c r="C2118" s="1">
        <f t="shared" ca="1" si="155"/>
        <v>64</v>
      </c>
      <c r="D2118" s="1">
        <f t="shared" ca="1" si="157"/>
        <v>1</v>
      </c>
      <c r="E2118" s="2">
        <f t="shared" ca="1" si="158"/>
        <v>43378</v>
      </c>
      <c r="F2118" s="6">
        <f t="shared" ca="1" si="159"/>
        <v>3.7828241900865591</v>
      </c>
    </row>
    <row r="2119" spans="1:6">
      <c r="A2119" s="1">
        <v>9127651</v>
      </c>
      <c r="B2119" s="1">
        <f t="shared" ca="1" si="156"/>
        <v>0.10464010711027516</v>
      </c>
      <c r="C2119" s="1">
        <f t="shared" ca="1" si="155"/>
        <v>79</v>
      </c>
      <c r="D2119" s="1">
        <f t="shared" ca="1" si="157"/>
        <v>547</v>
      </c>
      <c r="E2119" s="2">
        <f t="shared" ca="1" si="158"/>
        <v>43181</v>
      </c>
      <c r="F2119" s="6">
        <f t="shared" ca="1" si="159"/>
        <v>112.60899375486268</v>
      </c>
    </row>
    <row r="2120" spans="1:6">
      <c r="A2120" s="1">
        <v>9127654</v>
      </c>
      <c r="B2120" s="1">
        <f t="shared" ca="1" si="156"/>
        <v>0.40729210455319809</v>
      </c>
      <c r="C2120" s="1">
        <f t="shared" ca="1" si="155"/>
        <v>8</v>
      </c>
      <c r="D2120" s="1">
        <f t="shared" ca="1" si="157"/>
        <v>456</v>
      </c>
      <c r="E2120" s="2">
        <f t="shared" ca="1" si="158"/>
        <v>42899</v>
      </c>
      <c r="F2120" s="6">
        <f t="shared" ca="1" si="159"/>
        <v>80.722177764584586</v>
      </c>
    </row>
    <row r="2121" spans="1:6">
      <c r="A2121" s="1">
        <v>9127657</v>
      </c>
      <c r="B2121" s="1">
        <f t="shared" ca="1" si="156"/>
        <v>0.76074059789553095</v>
      </c>
      <c r="C2121" s="1">
        <f t="shared" ca="1" si="155"/>
        <v>40</v>
      </c>
      <c r="D2121" s="1">
        <f t="shared" ca="1" si="157"/>
        <v>426</v>
      </c>
      <c r="E2121" s="2">
        <f t="shared" ca="1" si="158"/>
        <v>43343</v>
      </c>
      <c r="F2121" s="6">
        <f t="shared" ca="1" si="159"/>
        <v>19.885137871617463</v>
      </c>
    </row>
    <row r="2122" spans="1:6">
      <c r="A2122" s="1">
        <v>9127660</v>
      </c>
      <c r="B2122" s="1">
        <f t="shared" ca="1" si="156"/>
        <v>0.71203194879990228</v>
      </c>
      <c r="C2122" s="1">
        <f t="shared" ca="1" si="155"/>
        <v>40</v>
      </c>
      <c r="D2122" s="1">
        <f t="shared" ca="1" si="157"/>
        <v>426</v>
      </c>
      <c r="E2122" s="2">
        <f t="shared" ca="1" si="158"/>
        <v>43174</v>
      </c>
      <c r="F2122" s="6">
        <f t="shared" ca="1" si="159"/>
        <v>24.020343822408979</v>
      </c>
    </row>
    <row r="2123" spans="1:6">
      <c r="A2123" s="1">
        <v>9127663</v>
      </c>
      <c r="B2123" s="1">
        <f t="shared" ca="1" si="156"/>
        <v>0.76577305260726192</v>
      </c>
      <c r="C2123" s="1">
        <f t="shared" ca="1" si="155"/>
        <v>37</v>
      </c>
      <c r="D2123" s="1">
        <f t="shared" ca="1" si="157"/>
        <v>517</v>
      </c>
      <c r="E2123" s="2">
        <f t="shared" ca="1" si="158"/>
        <v>42880</v>
      </c>
      <c r="F2123" s="6">
        <f t="shared" ca="1" si="159"/>
        <v>3.327493333026287</v>
      </c>
    </row>
    <row r="2124" spans="1:6">
      <c r="A2124" s="1">
        <v>9127666</v>
      </c>
      <c r="B2124" s="1">
        <f t="shared" ca="1" si="156"/>
        <v>0.26751762529359102</v>
      </c>
      <c r="C2124" s="1">
        <f t="shared" ca="1" si="155"/>
        <v>11</v>
      </c>
      <c r="D2124" s="1">
        <f t="shared" ca="1" si="157"/>
        <v>437</v>
      </c>
      <c r="E2124" s="2">
        <f t="shared" ca="1" si="158"/>
        <v>43328</v>
      </c>
      <c r="F2124" s="6">
        <f t="shared" ca="1" si="159"/>
        <v>35.426759433835414</v>
      </c>
    </row>
    <row r="2125" spans="1:6">
      <c r="A2125" s="1">
        <v>9127669</v>
      </c>
      <c r="B2125" s="1">
        <f t="shared" ca="1" si="156"/>
        <v>0.92708351370665554</v>
      </c>
      <c r="C2125" s="1">
        <f t="shared" ca="1" si="155"/>
        <v>192</v>
      </c>
      <c r="D2125" s="1">
        <f t="shared" ca="1" si="157"/>
        <v>570</v>
      </c>
      <c r="E2125" s="2">
        <f t="shared" ca="1" si="158"/>
        <v>42846</v>
      </c>
      <c r="F2125" s="6">
        <f t="shared" ca="1" si="159"/>
        <v>8.0964453208756062</v>
      </c>
    </row>
    <row r="2126" spans="1:6">
      <c r="A2126" s="1">
        <v>9127672</v>
      </c>
      <c r="B2126" s="1">
        <f t="shared" ca="1" si="156"/>
        <v>0.42220866586175743</v>
      </c>
      <c r="C2126" s="1">
        <f t="shared" ca="1" si="155"/>
        <v>22</v>
      </c>
      <c r="D2126" s="1">
        <f t="shared" ca="1" si="157"/>
        <v>413</v>
      </c>
      <c r="E2126" s="2">
        <f t="shared" ca="1" si="158"/>
        <v>42964</v>
      </c>
      <c r="F2126" s="6">
        <f t="shared" ca="1" si="159"/>
        <v>5.1691150085823896</v>
      </c>
    </row>
    <row r="2127" spans="1:6">
      <c r="A2127" s="1">
        <v>9127675</v>
      </c>
      <c r="B2127" s="1">
        <f t="shared" ca="1" si="156"/>
        <v>0.92562066602825421</v>
      </c>
      <c r="C2127" s="1">
        <f t="shared" ca="1" si="155"/>
        <v>1</v>
      </c>
      <c r="D2127" s="1">
        <f t="shared" ca="1" si="157"/>
        <v>474</v>
      </c>
      <c r="E2127" s="2">
        <f t="shared" ca="1" si="158"/>
        <v>43167</v>
      </c>
      <c r="F2127" s="6">
        <f t="shared" ca="1" si="159"/>
        <v>145.19162028342345</v>
      </c>
    </row>
    <row r="2128" spans="1:6">
      <c r="A2128" s="1">
        <v>9127678</v>
      </c>
      <c r="B2128" s="1">
        <f t="shared" ca="1" si="156"/>
        <v>0.95357470143560807</v>
      </c>
      <c r="C2128" s="1">
        <f t="shared" ca="1" si="155"/>
        <v>29</v>
      </c>
      <c r="D2128" s="1">
        <f t="shared" ca="1" si="157"/>
        <v>514</v>
      </c>
      <c r="E2128" s="2">
        <f t="shared" ca="1" si="158"/>
        <v>42830</v>
      </c>
      <c r="F2128" s="6">
        <f t="shared" ca="1" si="159"/>
        <v>192.07081993344573</v>
      </c>
    </row>
    <row r="2129" spans="1:6">
      <c r="A2129" s="1">
        <v>9127681</v>
      </c>
      <c r="B2129" s="1">
        <f t="shared" ca="1" si="156"/>
        <v>0.32720282564222591</v>
      </c>
      <c r="C2129" s="1">
        <f t="shared" ca="1" si="155"/>
        <v>38</v>
      </c>
      <c r="D2129" s="1">
        <f t="shared" ca="1" si="157"/>
        <v>400</v>
      </c>
      <c r="E2129" s="2">
        <f t="shared" ca="1" si="158"/>
        <v>43424</v>
      </c>
      <c r="F2129" s="6">
        <f t="shared" ca="1" si="159"/>
        <v>68.776972373528835</v>
      </c>
    </row>
    <row r="2130" spans="1:6">
      <c r="A2130" s="1">
        <v>9127684</v>
      </c>
      <c r="B2130" s="1">
        <f t="shared" ca="1" si="156"/>
        <v>0.92828074115200732</v>
      </c>
      <c r="C2130" s="1">
        <f t="shared" ca="1" si="155"/>
        <v>11</v>
      </c>
      <c r="D2130" s="1">
        <f t="shared" ca="1" si="157"/>
        <v>437</v>
      </c>
      <c r="E2130" s="2">
        <f t="shared" ca="1" si="158"/>
        <v>43241</v>
      </c>
      <c r="F2130" s="6">
        <f t="shared" ca="1" si="159"/>
        <v>8.6085087659621422</v>
      </c>
    </row>
    <row r="2131" spans="1:6">
      <c r="A2131" s="1">
        <v>9127687</v>
      </c>
      <c r="B2131" s="1">
        <f t="shared" ca="1" si="156"/>
        <v>0.530563340167578</v>
      </c>
      <c r="C2131" s="1">
        <f t="shared" ca="1" si="155"/>
        <v>50</v>
      </c>
      <c r="D2131" s="1">
        <f t="shared" ca="1" si="157"/>
        <v>415</v>
      </c>
      <c r="E2131" s="2">
        <f t="shared" ca="1" si="158"/>
        <v>42943</v>
      </c>
      <c r="F2131" s="6">
        <f t="shared" ca="1" si="159"/>
        <v>27.341949701896105</v>
      </c>
    </row>
    <row r="2132" spans="1:6">
      <c r="A2132" s="1">
        <v>9127690</v>
      </c>
      <c r="B2132" s="1">
        <f t="shared" ca="1" si="156"/>
        <v>0.21659842982925814</v>
      </c>
      <c r="C2132" s="1">
        <f t="shared" ca="1" si="155"/>
        <v>69</v>
      </c>
      <c r="D2132" s="1">
        <f t="shared" ca="1" si="157"/>
        <v>142</v>
      </c>
      <c r="E2132" s="2">
        <f t="shared" ca="1" si="158"/>
        <v>43108</v>
      </c>
      <c r="F2132" s="6">
        <f t="shared" ca="1" si="159"/>
        <v>10.052048269328274</v>
      </c>
    </row>
    <row r="2133" spans="1:6">
      <c r="A2133" s="1">
        <v>9127693</v>
      </c>
      <c r="B2133" s="1">
        <f t="shared" ca="1" si="156"/>
        <v>0.68552443900408411</v>
      </c>
      <c r="C2133" s="1">
        <f t="shared" ca="1" si="155"/>
        <v>119</v>
      </c>
      <c r="D2133" s="1">
        <f t="shared" ca="1" si="157"/>
        <v>184</v>
      </c>
      <c r="E2133" s="2">
        <f t="shared" ca="1" si="158"/>
        <v>43322</v>
      </c>
      <c r="F2133" s="6">
        <f t="shared" ca="1" si="159"/>
        <v>82.189550110661429</v>
      </c>
    </row>
    <row r="2134" spans="1:6">
      <c r="A2134" s="1">
        <v>9127696</v>
      </c>
      <c r="B2134" s="1">
        <f t="shared" ca="1" si="156"/>
        <v>0.86380396013956673</v>
      </c>
      <c r="C2134" s="1">
        <f t="shared" ca="1" si="155"/>
        <v>1</v>
      </c>
      <c r="D2134" s="1">
        <f t="shared" ca="1" si="157"/>
        <v>474</v>
      </c>
      <c r="E2134" s="2">
        <f t="shared" ca="1" si="158"/>
        <v>43126</v>
      </c>
      <c r="F2134" s="6">
        <f t="shared" ca="1" si="159"/>
        <v>3.471520389855614</v>
      </c>
    </row>
    <row r="2135" spans="1:6">
      <c r="A2135" s="1">
        <v>9127699</v>
      </c>
      <c r="B2135" s="1">
        <f t="shared" ca="1" si="156"/>
        <v>0.39297319776774786</v>
      </c>
      <c r="C2135" s="1">
        <f t="shared" ca="1" si="155"/>
        <v>67</v>
      </c>
      <c r="D2135" s="1">
        <f t="shared" ca="1" si="157"/>
        <v>259</v>
      </c>
      <c r="E2135" s="2">
        <f t="shared" ca="1" si="158"/>
        <v>43286</v>
      </c>
      <c r="F2135" s="6">
        <f t="shared" ca="1" si="159"/>
        <v>517.51127529548694</v>
      </c>
    </row>
    <row r="2136" spans="1:6">
      <c r="A2136" s="1">
        <v>9127702</v>
      </c>
      <c r="B2136" s="1">
        <f t="shared" ca="1" si="156"/>
        <v>0.17794668565973015</v>
      </c>
      <c r="C2136" s="1">
        <f t="shared" ca="1" si="155"/>
        <v>51</v>
      </c>
      <c r="D2136" s="1">
        <f t="shared" ca="1" si="157"/>
        <v>93</v>
      </c>
      <c r="E2136" s="2">
        <f t="shared" ca="1" si="158"/>
        <v>43436</v>
      </c>
      <c r="F2136" s="6">
        <f t="shared" ca="1" si="159"/>
        <v>179.69771607095427</v>
      </c>
    </row>
    <row r="2137" spans="1:6">
      <c r="A2137" s="1">
        <v>9127705</v>
      </c>
      <c r="B2137" s="1">
        <f t="shared" ca="1" si="156"/>
        <v>0.55178935194545764</v>
      </c>
      <c r="C2137" s="1">
        <f t="shared" ca="1" si="155"/>
        <v>46</v>
      </c>
      <c r="D2137" s="1">
        <f t="shared" ca="1" si="157"/>
        <v>192</v>
      </c>
      <c r="E2137" s="2">
        <f t="shared" ca="1" si="158"/>
        <v>42765</v>
      </c>
      <c r="F2137" s="6">
        <f t="shared" ca="1" si="159"/>
        <v>59.88610991960622</v>
      </c>
    </row>
    <row r="2138" spans="1:6">
      <c r="A2138" s="1">
        <v>9127708</v>
      </c>
      <c r="B2138" s="1">
        <f t="shared" ca="1" si="156"/>
        <v>0.42265262567118445</v>
      </c>
      <c r="C2138" s="1">
        <f t="shared" ca="1" si="155"/>
        <v>181</v>
      </c>
      <c r="D2138" s="1">
        <f t="shared" ca="1" si="157"/>
        <v>470</v>
      </c>
      <c r="E2138" s="2">
        <f t="shared" ca="1" si="158"/>
        <v>43350</v>
      </c>
      <c r="F2138" s="6">
        <f t="shared" ca="1" si="159"/>
        <v>4.7346033007569428</v>
      </c>
    </row>
    <row r="2139" spans="1:6">
      <c r="A2139" s="1">
        <v>9127711</v>
      </c>
      <c r="B2139" s="1">
        <f t="shared" ca="1" si="156"/>
        <v>0.76884532389204208</v>
      </c>
      <c r="C2139" s="1">
        <f t="shared" ref="C2139:C2202" ca="1" si="160">ROUND(_xlfn.GAMMA.INV(RAND(),$J$11,$J$12)*100,0)+1</f>
        <v>83</v>
      </c>
      <c r="D2139" s="1">
        <f t="shared" ca="1" si="157"/>
        <v>47</v>
      </c>
      <c r="E2139" s="2">
        <f t="shared" ca="1" si="158"/>
        <v>42835</v>
      </c>
      <c r="F2139" s="6">
        <f t="shared" ca="1" si="159"/>
        <v>352.72014232409708</v>
      </c>
    </row>
    <row r="2140" spans="1:6">
      <c r="A2140" s="1">
        <v>9127714</v>
      </c>
      <c r="B2140" s="1">
        <f t="shared" ca="1" si="156"/>
        <v>0.27183505608754654</v>
      </c>
      <c r="C2140" s="1">
        <f t="shared" ca="1" si="160"/>
        <v>67</v>
      </c>
      <c r="D2140" s="1">
        <f t="shared" ca="1" si="157"/>
        <v>259</v>
      </c>
      <c r="E2140" s="2">
        <f t="shared" ca="1" si="158"/>
        <v>43176</v>
      </c>
      <c r="F2140" s="6">
        <f t="shared" ca="1" si="159"/>
        <v>11.181301488626154</v>
      </c>
    </row>
    <row r="2141" spans="1:6">
      <c r="A2141" s="1">
        <v>9127717</v>
      </c>
      <c r="B2141" s="1">
        <f t="shared" ca="1" si="156"/>
        <v>0.20267058401675819</v>
      </c>
      <c r="C2141" s="1">
        <f t="shared" ca="1" si="160"/>
        <v>2</v>
      </c>
      <c r="D2141" s="1">
        <f t="shared" ca="1" si="157"/>
        <v>30</v>
      </c>
      <c r="E2141" s="2">
        <f t="shared" ca="1" si="158"/>
        <v>42877</v>
      </c>
      <c r="F2141" s="6">
        <f t="shared" ca="1" si="159"/>
        <v>65.068416167960919</v>
      </c>
    </row>
    <row r="2142" spans="1:6">
      <c r="A2142" s="1">
        <v>9127720</v>
      </c>
      <c r="B2142" s="1">
        <f t="shared" ca="1" si="156"/>
        <v>0.2569091752668291</v>
      </c>
      <c r="C2142" s="1">
        <f t="shared" ca="1" si="160"/>
        <v>1</v>
      </c>
      <c r="D2142" s="1">
        <f t="shared" ca="1" si="157"/>
        <v>474</v>
      </c>
      <c r="E2142" s="2">
        <f t="shared" ca="1" si="158"/>
        <v>43472</v>
      </c>
      <c r="F2142" s="6">
        <f t="shared" ca="1" si="159"/>
        <v>96.164635196498764</v>
      </c>
    </row>
    <row r="2143" spans="1:6">
      <c r="A2143" s="1">
        <v>9127723</v>
      </c>
      <c r="B2143" s="1">
        <f t="shared" ca="1" si="156"/>
        <v>0.92840242001361462</v>
      </c>
      <c r="C2143" s="1">
        <f t="shared" ca="1" si="160"/>
        <v>45</v>
      </c>
      <c r="D2143" s="1">
        <f t="shared" ca="1" si="157"/>
        <v>482</v>
      </c>
      <c r="E2143" s="2">
        <f t="shared" ca="1" si="158"/>
        <v>43195</v>
      </c>
      <c r="F2143" s="6">
        <f t="shared" ca="1" si="159"/>
        <v>8.9096223036599476</v>
      </c>
    </row>
    <row r="2144" spans="1:6">
      <c r="A2144" s="1">
        <v>9127726</v>
      </c>
      <c r="B2144" s="1">
        <f t="shared" ca="1" si="156"/>
        <v>0.29487930805961404</v>
      </c>
      <c r="C2144" s="1">
        <f t="shared" ca="1" si="160"/>
        <v>1</v>
      </c>
      <c r="D2144" s="1">
        <f t="shared" ca="1" si="157"/>
        <v>474</v>
      </c>
      <c r="E2144" s="2">
        <f t="shared" ca="1" si="158"/>
        <v>43320</v>
      </c>
      <c r="F2144" s="6">
        <f t="shared" ca="1" si="159"/>
        <v>116.56097630204876</v>
      </c>
    </row>
    <row r="2145" spans="1:6">
      <c r="A2145" s="1">
        <v>9127729</v>
      </c>
      <c r="B2145" s="1">
        <f t="shared" ca="1" si="156"/>
        <v>0.90807645117361757</v>
      </c>
      <c r="C2145" s="1">
        <f t="shared" ca="1" si="160"/>
        <v>71</v>
      </c>
      <c r="D2145" s="1">
        <f t="shared" ca="1" si="157"/>
        <v>281</v>
      </c>
      <c r="E2145" s="2">
        <f t="shared" ca="1" si="158"/>
        <v>42748</v>
      </c>
      <c r="F2145" s="6">
        <f t="shared" ca="1" si="159"/>
        <v>99.9053970844936</v>
      </c>
    </row>
    <row r="2146" spans="1:6">
      <c r="A2146" s="1">
        <v>9127732</v>
      </c>
      <c r="B2146" s="1">
        <f t="shared" ca="1" si="156"/>
        <v>0.60635842106208593</v>
      </c>
      <c r="C2146" s="1">
        <f t="shared" ca="1" si="160"/>
        <v>97</v>
      </c>
      <c r="D2146" s="1">
        <f t="shared" ca="1" si="157"/>
        <v>460</v>
      </c>
      <c r="E2146" s="2">
        <f t="shared" ca="1" si="158"/>
        <v>42983</v>
      </c>
      <c r="F2146" s="6">
        <f t="shared" ca="1" si="159"/>
        <v>47.419061620184515</v>
      </c>
    </row>
    <row r="2147" spans="1:6">
      <c r="A2147" s="1">
        <v>9127735</v>
      </c>
      <c r="B2147" s="1">
        <f t="shared" ca="1" si="156"/>
        <v>0.73486026799023652</v>
      </c>
      <c r="C2147" s="1">
        <f t="shared" ca="1" si="160"/>
        <v>86</v>
      </c>
      <c r="D2147" s="1">
        <f t="shared" ca="1" si="157"/>
        <v>526</v>
      </c>
      <c r="E2147" s="2">
        <f t="shared" ca="1" si="158"/>
        <v>42893</v>
      </c>
      <c r="F2147" s="6">
        <f t="shared" ca="1" si="159"/>
        <v>3.4947084313276622</v>
      </c>
    </row>
    <row r="2148" spans="1:6">
      <c r="A2148" s="1">
        <v>9127738</v>
      </c>
      <c r="B2148" s="1">
        <f t="shared" ca="1" si="156"/>
        <v>4.2670586144874401E-2</v>
      </c>
      <c r="C2148" s="1">
        <f t="shared" ca="1" si="160"/>
        <v>38</v>
      </c>
      <c r="D2148" s="1">
        <f t="shared" ca="1" si="157"/>
        <v>400</v>
      </c>
      <c r="E2148" s="2">
        <f t="shared" ca="1" si="158"/>
        <v>43186</v>
      </c>
      <c r="F2148" s="6">
        <f t="shared" ca="1" si="159"/>
        <v>154.062101164491</v>
      </c>
    </row>
    <row r="2149" spans="1:6">
      <c r="A2149" s="1">
        <v>9127741</v>
      </c>
      <c r="B2149" s="1">
        <f t="shared" ca="1" si="156"/>
        <v>0.63054557530841582</v>
      </c>
      <c r="C2149" s="1">
        <f t="shared" ca="1" si="160"/>
        <v>5</v>
      </c>
      <c r="D2149" s="1">
        <f t="shared" ca="1" si="157"/>
        <v>363</v>
      </c>
      <c r="E2149" s="2">
        <f t="shared" ca="1" si="158"/>
        <v>43128</v>
      </c>
      <c r="F2149" s="6">
        <f t="shared" ca="1" si="159"/>
        <v>3.9462690980739885</v>
      </c>
    </row>
    <row r="2150" spans="1:6">
      <c r="A2150" s="1">
        <v>9127744</v>
      </c>
      <c r="B2150" s="1">
        <f t="shared" ca="1" si="156"/>
        <v>0.19754023921571284</v>
      </c>
      <c r="C2150" s="1">
        <f t="shared" ca="1" si="160"/>
        <v>78</v>
      </c>
      <c r="D2150" s="1">
        <f t="shared" ca="1" si="157"/>
        <v>224</v>
      </c>
      <c r="E2150" s="2">
        <f t="shared" ca="1" si="158"/>
        <v>43435</v>
      </c>
      <c r="F2150" s="6">
        <f t="shared" ca="1" si="159"/>
        <v>203.02939494318989</v>
      </c>
    </row>
    <row r="2151" spans="1:6">
      <c r="A2151" s="1">
        <v>9127747</v>
      </c>
      <c r="B2151" s="1">
        <f t="shared" ca="1" si="156"/>
        <v>0.83045583734210837</v>
      </c>
      <c r="C2151" s="1">
        <f t="shared" ca="1" si="160"/>
        <v>9</v>
      </c>
      <c r="D2151" s="1">
        <f t="shared" ca="1" si="157"/>
        <v>278</v>
      </c>
      <c r="E2151" s="2">
        <f t="shared" ca="1" si="158"/>
        <v>42839</v>
      </c>
      <c r="F2151" s="6">
        <f t="shared" ca="1" si="159"/>
        <v>157.43692458300046</v>
      </c>
    </row>
    <row r="2152" spans="1:6">
      <c r="A2152" s="1">
        <v>9127750</v>
      </c>
      <c r="B2152" s="1">
        <f t="shared" ca="1" si="156"/>
        <v>0.37374702579186836</v>
      </c>
      <c r="C2152" s="1">
        <f t="shared" ca="1" si="160"/>
        <v>56</v>
      </c>
      <c r="D2152" s="1">
        <f t="shared" ca="1" si="157"/>
        <v>57</v>
      </c>
      <c r="E2152" s="2">
        <f t="shared" ca="1" si="158"/>
        <v>43146</v>
      </c>
      <c r="F2152" s="6">
        <f t="shared" ca="1" si="159"/>
        <v>3.1353806548268546</v>
      </c>
    </row>
    <row r="2153" spans="1:6">
      <c r="A2153" s="1">
        <v>9127753</v>
      </c>
      <c r="B2153" s="1">
        <f t="shared" ca="1" si="156"/>
        <v>0.32310321920927354</v>
      </c>
      <c r="C2153" s="1">
        <f t="shared" ca="1" si="160"/>
        <v>14</v>
      </c>
      <c r="D2153" s="1">
        <f t="shared" ca="1" si="157"/>
        <v>576</v>
      </c>
      <c r="E2153" s="2">
        <f t="shared" ca="1" si="158"/>
        <v>43042</v>
      </c>
      <c r="F2153" s="6">
        <f t="shared" ca="1" si="159"/>
        <v>225.53488364586497</v>
      </c>
    </row>
    <row r="2154" spans="1:6">
      <c r="A2154" s="1">
        <v>9127756</v>
      </c>
      <c r="B2154" s="1">
        <f t="shared" ca="1" si="156"/>
        <v>0.19697201187604707</v>
      </c>
      <c r="C2154" s="1">
        <f t="shared" ca="1" si="160"/>
        <v>164</v>
      </c>
      <c r="D2154" s="1">
        <f t="shared" ca="1" si="157"/>
        <v>315</v>
      </c>
      <c r="E2154" s="2">
        <f t="shared" ca="1" si="158"/>
        <v>43483</v>
      </c>
      <c r="F2154" s="6">
        <f t="shared" ca="1" si="159"/>
        <v>12.219532108806167</v>
      </c>
    </row>
    <row r="2155" spans="1:6">
      <c r="A2155" s="1">
        <v>9127759</v>
      </c>
      <c r="B2155" s="1">
        <f t="shared" ca="1" si="156"/>
        <v>0.18130399241683814</v>
      </c>
      <c r="C2155" s="1">
        <f t="shared" ca="1" si="160"/>
        <v>1</v>
      </c>
      <c r="D2155" s="1">
        <f t="shared" ca="1" si="157"/>
        <v>474</v>
      </c>
      <c r="E2155" s="2">
        <f t="shared" ca="1" si="158"/>
        <v>43331</v>
      </c>
      <c r="F2155" s="6">
        <f t="shared" ca="1" si="159"/>
        <v>126.31276645057633</v>
      </c>
    </row>
    <row r="2156" spans="1:6">
      <c r="A2156" s="1">
        <v>9127762</v>
      </c>
      <c r="B2156" s="1">
        <f t="shared" ca="1" si="156"/>
        <v>0.54748713978100338</v>
      </c>
      <c r="C2156" s="1">
        <f t="shared" ca="1" si="160"/>
        <v>16</v>
      </c>
      <c r="D2156" s="1">
        <f t="shared" ca="1" si="157"/>
        <v>465</v>
      </c>
      <c r="E2156" s="2">
        <f t="shared" ca="1" si="158"/>
        <v>43342</v>
      </c>
      <c r="F2156" s="6">
        <f t="shared" ca="1" si="159"/>
        <v>28.925708695928922</v>
      </c>
    </row>
    <row r="2157" spans="1:6">
      <c r="A2157" s="1">
        <v>9127765</v>
      </c>
      <c r="B2157" s="1">
        <f t="shared" ca="1" si="156"/>
        <v>0.92347241804540936</v>
      </c>
      <c r="C2157" s="1">
        <f t="shared" ca="1" si="160"/>
        <v>1</v>
      </c>
      <c r="D2157" s="1">
        <f t="shared" ca="1" si="157"/>
        <v>474</v>
      </c>
      <c r="E2157" s="2">
        <f t="shared" ca="1" si="158"/>
        <v>43271</v>
      </c>
      <c r="F2157" s="6">
        <f t="shared" ca="1" si="159"/>
        <v>8.0097842229013256</v>
      </c>
    </row>
    <row r="2158" spans="1:6">
      <c r="A2158" s="1">
        <v>9127768</v>
      </c>
      <c r="B2158" s="1">
        <f t="shared" ca="1" si="156"/>
        <v>0.46399763061767774</v>
      </c>
      <c r="C2158" s="1">
        <f t="shared" ca="1" si="160"/>
        <v>291</v>
      </c>
      <c r="D2158" s="1">
        <f t="shared" ca="1" si="157"/>
        <v>578</v>
      </c>
      <c r="E2158" s="2">
        <f t="shared" ca="1" si="158"/>
        <v>43497</v>
      </c>
      <c r="F2158" s="6">
        <f t="shared" ca="1" si="159"/>
        <v>4.5495541510521784</v>
      </c>
    </row>
    <row r="2159" spans="1:6">
      <c r="A2159" s="1">
        <v>9127771</v>
      </c>
      <c r="B2159" s="1">
        <f t="shared" ca="1" si="156"/>
        <v>0.11796494064545926</v>
      </c>
      <c r="C2159" s="1">
        <f t="shared" ca="1" si="160"/>
        <v>8</v>
      </c>
      <c r="D2159" s="1">
        <f t="shared" ca="1" si="157"/>
        <v>456</v>
      </c>
      <c r="E2159" s="2">
        <f t="shared" ca="1" si="158"/>
        <v>42775</v>
      </c>
      <c r="F2159" s="6">
        <f t="shared" ca="1" si="159"/>
        <v>21.926005817649504</v>
      </c>
    </row>
    <row r="2160" spans="1:6">
      <c r="A2160" s="1">
        <v>9127774</v>
      </c>
      <c r="B2160" s="1">
        <f t="shared" ca="1" si="156"/>
        <v>0.70774992250249613</v>
      </c>
      <c r="C2160" s="1">
        <f t="shared" ca="1" si="160"/>
        <v>2</v>
      </c>
      <c r="D2160" s="1">
        <f t="shared" ca="1" si="157"/>
        <v>30</v>
      </c>
      <c r="E2160" s="2">
        <f t="shared" ca="1" si="158"/>
        <v>42945</v>
      </c>
      <c r="F2160" s="6">
        <f t="shared" ca="1" si="159"/>
        <v>3.6806539556641384</v>
      </c>
    </row>
    <row r="2161" spans="1:6">
      <c r="A2161" s="1">
        <v>9127777</v>
      </c>
      <c r="B2161" s="1">
        <f t="shared" ca="1" si="156"/>
        <v>0.55664669002634803</v>
      </c>
      <c r="C2161" s="1">
        <f t="shared" ca="1" si="160"/>
        <v>3</v>
      </c>
      <c r="D2161" s="1">
        <f t="shared" ca="1" si="157"/>
        <v>263</v>
      </c>
      <c r="E2161" s="2">
        <f t="shared" ca="1" si="158"/>
        <v>43049</v>
      </c>
      <c r="F2161" s="6">
        <f t="shared" ca="1" si="159"/>
        <v>157.80370249320777</v>
      </c>
    </row>
    <row r="2162" spans="1:6">
      <c r="A2162" s="1">
        <v>9127780</v>
      </c>
      <c r="B2162" s="1">
        <f t="shared" ca="1" si="156"/>
        <v>0.51772820822599608</v>
      </c>
      <c r="C2162" s="1">
        <f t="shared" ca="1" si="160"/>
        <v>135</v>
      </c>
      <c r="D2162" s="1">
        <f t="shared" ca="1" si="157"/>
        <v>231</v>
      </c>
      <c r="E2162" s="2">
        <f t="shared" ca="1" si="158"/>
        <v>43094</v>
      </c>
      <c r="F2162" s="6">
        <f t="shared" ca="1" si="159"/>
        <v>42.79242897396162</v>
      </c>
    </row>
    <row r="2163" spans="1:6">
      <c r="A2163" s="1">
        <v>9127783</v>
      </c>
      <c r="B2163" s="1">
        <f t="shared" ca="1" si="156"/>
        <v>0.48801619316314637</v>
      </c>
      <c r="C2163" s="1">
        <f t="shared" ca="1" si="160"/>
        <v>14</v>
      </c>
      <c r="D2163" s="1">
        <f t="shared" ca="1" si="157"/>
        <v>576</v>
      </c>
      <c r="E2163" s="2">
        <f t="shared" ca="1" si="158"/>
        <v>43424</v>
      </c>
      <c r="F2163" s="6">
        <f t="shared" ca="1" si="159"/>
        <v>10.343214644743796</v>
      </c>
    </row>
    <row r="2164" spans="1:6">
      <c r="A2164" s="1">
        <v>9127786</v>
      </c>
      <c r="B2164" s="1">
        <f t="shared" ca="1" si="156"/>
        <v>0.86744965982864886</v>
      </c>
      <c r="C2164" s="1">
        <f t="shared" ca="1" si="160"/>
        <v>4</v>
      </c>
      <c r="D2164" s="1">
        <f t="shared" ca="1" si="157"/>
        <v>493</v>
      </c>
      <c r="E2164" s="2">
        <f t="shared" ca="1" si="158"/>
        <v>42768</v>
      </c>
      <c r="F2164" s="6">
        <f t="shared" ca="1" si="159"/>
        <v>82.7093612751151</v>
      </c>
    </row>
    <row r="2165" spans="1:6">
      <c r="A2165" s="1">
        <v>9127789</v>
      </c>
      <c r="B2165" s="1">
        <f t="shared" ca="1" si="156"/>
        <v>0.78653225975299446</v>
      </c>
      <c r="C2165" s="1">
        <f t="shared" ca="1" si="160"/>
        <v>41</v>
      </c>
      <c r="D2165" s="1">
        <f t="shared" ca="1" si="157"/>
        <v>37</v>
      </c>
      <c r="E2165" s="2">
        <f t="shared" ca="1" si="158"/>
        <v>42867</v>
      </c>
      <c r="F2165" s="6">
        <f t="shared" ca="1" si="159"/>
        <v>28.269183043629003</v>
      </c>
    </row>
    <row r="2166" spans="1:6">
      <c r="A2166" s="1">
        <v>9127792</v>
      </c>
      <c r="B2166" s="1">
        <f t="shared" ca="1" si="156"/>
        <v>0.42889904534496259</v>
      </c>
      <c r="C2166" s="1">
        <f t="shared" ca="1" si="160"/>
        <v>56</v>
      </c>
      <c r="D2166" s="1">
        <f t="shared" ca="1" si="157"/>
        <v>57</v>
      </c>
      <c r="E2166" s="2">
        <f t="shared" ca="1" si="158"/>
        <v>43300</v>
      </c>
      <c r="F2166" s="6">
        <f t="shared" ca="1" si="159"/>
        <v>7.2891151302757322</v>
      </c>
    </row>
    <row r="2167" spans="1:6">
      <c r="A2167" s="1">
        <v>9127795</v>
      </c>
      <c r="B2167" s="1">
        <f t="shared" ca="1" si="156"/>
        <v>0.6984954412674883</v>
      </c>
      <c r="C2167" s="1">
        <f t="shared" ca="1" si="160"/>
        <v>4</v>
      </c>
      <c r="D2167" s="1">
        <f t="shared" ca="1" si="157"/>
        <v>493</v>
      </c>
      <c r="E2167" s="2">
        <f t="shared" ca="1" si="158"/>
        <v>43160</v>
      </c>
      <c r="F2167" s="6">
        <f t="shared" ca="1" si="159"/>
        <v>60.984533487450506</v>
      </c>
    </row>
    <row r="2168" spans="1:6">
      <c r="A2168" s="1">
        <v>9127798</v>
      </c>
      <c r="B2168" s="1">
        <f t="shared" ca="1" si="156"/>
        <v>0.72426532654443843</v>
      </c>
      <c r="C2168" s="1">
        <f t="shared" ca="1" si="160"/>
        <v>220</v>
      </c>
      <c r="D2168" s="1">
        <f t="shared" ca="1" si="157"/>
        <v>487</v>
      </c>
      <c r="E2168" s="2">
        <f t="shared" ca="1" si="158"/>
        <v>43231</v>
      </c>
      <c r="F2168" s="6">
        <f t="shared" ca="1" si="159"/>
        <v>9.4667004185835886</v>
      </c>
    </row>
    <row r="2169" spans="1:6">
      <c r="A2169" s="1">
        <v>9127801</v>
      </c>
      <c r="B2169" s="1">
        <f t="shared" ca="1" si="156"/>
        <v>0.85434895886045148</v>
      </c>
      <c r="C2169" s="1">
        <f t="shared" ca="1" si="160"/>
        <v>124</v>
      </c>
      <c r="D2169" s="1">
        <f t="shared" ca="1" si="157"/>
        <v>588</v>
      </c>
      <c r="E2169" s="2">
        <f t="shared" ca="1" si="158"/>
        <v>42972</v>
      </c>
      <c r="F2169" s="6">
        <f t="shared" ca="1" si="159"/>
        <v>19.705160695066287</v>
      </c>
    </row>
    <row r="2170" spans="1:6">
      <c r="A2170" s="1">
        <v>9127804</v>
      </c>
      <c r="B2170" s="1">
        <f t="shared" ca="1" si="156"/>
        <v>9.5591592659695523E-2</v>
      </c>
      <c r="C2170" s="1">
        <f t="shared" ca="1" si="160"/>
        <v>46</v>
      </c>
      <c r="D2170" s="1">
        <f t="shared" ca="1" si="157"/>
        <v>192</v>
      </c>
      <c r="E2170" s="2">
        <f t="shared" ca="1" si="158"/>
        <v>43177</v>
      </c>
      <c r="F2170" s="6">
        <f t="shared" ca="1" si="159"/>
        <v>22.050280723106745</v>
      </c>
    </row>
    <row r="2171" spans="1:6">
      <c r="A2171" s="1">
        <v>9127807</v>
      </c>
      <c r="B2171" s="1">
        <f t="shared" ca="1" si="156"/>
        <v>0.39410636839997204</v>
      </c>
      <c r="C2171" s="1">
        <f t="shared" ca="1" si="160"/>
        <v>73</v>
      </c>
      <c r="D2171" s="1">
        <f t="shared" ca="1" si="157"/>
        <v>591</v>
      </c>
      <c r="E2171" s="2">
        <f t="shared" ca="1" si="158"/>
        <v>43105</v>
      </c>
      <c r="F2171" s="6">
        <f t="shared" ca="1" si="159"/>
        <v>36.150917418419795</v>
      </c>
    </row>
    <row r="2172" spans="1:6">
      <c r="A2172" s="1">
        <v>9127810</v>
      </c>
      <c r="B2172" s="1">
        <f t="shared" ca="1" si="156"/>
        <v>0.7618120565665002</v>
      </c>
      <c r="C2172" s="1">
        <f t="shared" ca="1" si="160"/>
        <v>13</v>
      </c>
      <c r="D2172" s="1">
        <f t="shared" ca="1" si="157"/>
        <v>80</v>
      </c>
      <c r="E2172" s="2">
        <f t="shared" ca="1" si="158"/>
        <v>42916</v>
      </c>
      <c r="F2172" s="6">
        <f t="shared" ca="1" si="159"/>
        <v>27.738263298845702</v>
      </c>
    </row>
    <row r="2173" spans="1:6">
      <c r="A2173" s="1">
        <v>9127813</v>
      </c>
      <c r="B2173" s="1">
        <f t="shared" ca="1" si="156"/>
        <v>0.49483445134948778</v>
      </c>
      <c r="C2173" s="1">
        <f t="shared" ca="1" si="160"/>
        <v>2</v>
      </c>
      <c r="D2173" s="1">
        <f t="shared" ca="1" si="157"/>
        <v>30</v>
      </c>
      <c r="E2173" s="2">
        <f t="shared" ca="1" si="158"/>
        <v>43452</v>
      </c>
      <c r="F2173" s="6">
        <f t="shared" ca="1" si="159"/>
        <v>4.5015406856815989</v>
      </c>
    </row>
    <row r="2174" spans="1:6">
      <c r="A2174" s="1">
        <v>9127816</v>
      </c>
      <c r="B2174" s="1">
        <f t="shared" ca="1" si="156"/>
        <v>0.98040482458652556</v>
      </c>
      <c r="C2174" s="1">
        <f t="shared" ca="1" si="160"/>
        <v>66</v>
      </c>
      <c r="D2174" s="1">
        <f t="shared" ca="1" si="157"/>
        <v>128</v>
      </c>
      <c r="E2174" s="2">
        <f t="shared" ca="1" si="158"/>
        <v>43086</v>
      </c>
      <c r="F2174" s="6">
        <f t="shared" ca="1" si="159"/>
        <v>95.520250454448103</v>
      </c>
    </row>
    <row r="2175" spans="1:6">
      <c r="A2175" s="1">
        <v>9127819</v>
      </c>
      <c r="B2175" s="1">
        <f t="shared" ca="1" si="156"/>
        <v>0.64815096937694427</v>
      </c>
      <c r="C2175" s="1">
        <f t="shared" ca="1" si="160"/>
        <v>10</v>
      </c>
      <c r="D2175" s="1">
        <f t="shared" ca="1" si="157"/>
        <v>236</v>
      </c>
      <c r="E2175" s="2">
        <f t="shared" ca="1" si="158"/>
        <v>42955</v>
      </c>
      <c r="F2175" s="6">
        <f t="shared" ca="1" si="159"/>
        <v>93.472826158991666</v>
      </c>
    </row>
    <row r="2176" spans="1:6">
      <c r="A2176" s="1">
        <v>9127822</v>
      </c>
      <c r="B2176" s="1">
        <f t="shared" ca="1" si="156"/>
        <v>8.7672327730204058E-2</v>
      </c>
      <c r="C2176" s="1">
        <f t="shared" ca="1" si="160"/>
        <v>17</v>
      </c>
      <c r="D2176" s="1">
        <f t="shared" ca="1" si="157"/>
        <v>165</v>
      </c>
      <c r="E2176" s="2">
        <f t="shared" ca="1" si="158"/>
        <v>43287</v>
      </c>
      <c r="F2176" s="6">
        <f t="shared" ca="1" si="159"/>
        <v>13.284133052851226</v>
      </c>
    </row>
    <row r="2177" spans="1:6">
      <c r="A2177" s="1">
        <v>9127825</v>
      </c>
      <c r="B2177" s="1">
        <f t="shared" ca="1" si="156"/>
        <v>0.59501089375434113</v>
      </c>
      <c r="C2177" s="1">
        <f t="shared" ca="1" si="160"/>
        <v>41</v>
      </c>
      <c r="D2177" s="1">
        <f t="shared" ca="1" si="157"/>
        <v>37</v>
      </c>
      <c r="E2177" s="2">
        <f t="shared" ca="1" si="158"/>
        <v>43437</v>
      </c>
      <c r="F2177" s="6">
        <f t="shared" ca="1" si="159"/>
        <v>72.82123327670044</v>
      </c>
    </row>
    <row r="2178" spans="1:6">
      <c r="A2178" s="1">
        <v>9127828</v>
      </c>
      <c r="B2178" s="1">
        <f t="shared" ref="B2178:B2241" ca="1" si="161">RAND()</f>
        <v>0.64631642599186201</v>
      </c>
      <c r="C2178" s="1">
        <f t="shared" ca="1" si="160"/>
        <v>35</v>
      </c>
      <c r="D2178" s="1">
        <f t="shared" ca="1" si="157"/>
        <v>423</v>
      </c>
      <c r="E2178" s="2">
        <f t="shared" ca="1" si="158"/>
        <v>43353</v>
      </c>
      <c r="F2178" s="6">
        <f t="shared" ca="1" si="159"/>
        <v>35.989328689851263</v>
      </c>
    </row>
    <row r="2179" spans="1:6">
      <c r="A2179" s="1">
        <v>9127831</v>
      </c>
      <c r="B2179" s="1">
        <f t="shared" ca="1" si="161"/>
        <v>0.71809742947351973</v>
      </c>
      <c r="C2179" s="1">
        <f t="shared" ca="1" si="160"/>
        <v>5</v>
      </c>
      <c r="D2179" s="1">
        <f t="shared" ref="D2179:D2242" ca="1" si="162">VLOOKUP(SMALL($B$2:$B$601,C2179),$B$2:$C$601,2,FALSE)</f>
        <v>363</v>
      </c>
      <c r="E2179" s="2">
        <f t="shared" ref="E2179:E2242" ca="1" si="163">RANDBETWEEN("1/1/17","2/1/19")</f>
        <v>43248</v>
      </c>
      <c r="F2179" s="6">
        <f t="shared" ref="F2179:F2242" ca="1" si="164">_xlfn.GAMMA.INV(RAND(),$J$6,$J$7)*100+3</f>
        <v>38.433464219972976</v>
      </c>
    </row>
    <row r="2180" spans="1:6">
      <c r="A2180" s="1">
        <v>9127834</v>
      </c>
      <c r="B2180" s="1">
        <f t="shared" ca="1" si="161"/>
        <v>0.59786255483362616</v>
      </c>
      <c r="C2180" s="1">
        <f t="shared" ca="1" si="160"/>
        <v>129</v>
      </c>
      <c r="D2180" s="1">
        <f t="shared" ca="1" si="162"/>
        <v>393</v>
      </c>
      <c r="E2180" s="2">
        <f t="shared" ca="1" si="163"/>
        <v>43029</v>
      </c>
      <c r="F2180" s="6">
        <f t="shared" ca="1" si="164"/>
        <v>6.0593958142653541</v>
      </c>
    </row>
    <row r="2181" spans="1:6">
      <c r="A2181" s="1">
        <v>9127837</v>
      </c>
      <c r="B2181" s="1">
        <f t="shared" ca="1" si="161"/>
        <v>0.83365731742590554</v>
      </c>
      <c r="C2181" s="1">
        <f t="shared" ca="1" si="160"/>
        <v>1</v>
      </c>
      <c r="D2181" s="1">
        <f t="shared" ca="1" si="162"/>
        <v>474</v>
      </c>
      <c r="E2181" s="2">
        <f t="shared" ca="1" si="163"/>
        <v>43015</v>
      </c>
      <c r="F2181" s="6">
        <f t="shared" ca="1" si="164"/>
        <v>65.627774425363953</v>
      </c>
    </row>
    <row r="2182" spans="1:6">
      <c r="A2182" s="1">
        <v>9127840</v>
      </c>
      <c r="B2182" s="1">
        <f t="shared" ca="1" si="161"/>
        <v>9.7227478598026273E-2</v>
      </c>
      <c r="C2182" s="1">
        <f t="shared" ca="1" si="160"/>
        <v>1</v>
      </c>
      <c r="D2182" s="1">
        <f t="shared" ca="1" si="162"/>
        <v>474</v>
      </c>
      <c r="E2182" s="2">
        <f t="shared" ca="1" si="163"/>
        <v>42747</v>
      </c>
      <c r="F2182" s="6">
        <f t="shared" ca="1" si="164"/>
        <v>53.477931734953643</v>
      </c>
    </row>
    <row r="2183" spans="1:6">
      <c r="A2183" s="1">
        <v>9127843</v>
      </c>
      <c r="B2183" s="1">
        <f t="shared" ca="1" si="161"/>
        <v>3.6889034899728057E-2</v>
      </c>
      <c r="C2183" s="1">
        <f t="shared" ca="1" si="160"/>
        <v>106</v>
      </c>
      <c r="D2183" s="1">
        <f t="shared" ca="1" si="162"/>
        <v>238</v>
      </c>
      <c r="E2183" s="2">
        <f t="shared" ca="1" si="163"/>
        <v>43004</v>
      </c>
      <c r="F2183" s="6">
        <f t="shared" ca="1" si="164"/>
        <v>22.255912803844605</v>
      </c>
    </row>
    <row r="2184" spans="1:6">
      <c r="A2184" s="1">
        <v>9127846</v>
      </c>
      <c r="B2184" s="1">
        <f t="shared" ca="1" si="161"/>
        <v>0.86339640393066985</v>
      </c>
      <c r="C2184" s="1">
        <f t="shared" ca="1" si="160"/>
        <v>22</v>
      </c>
      <c r="D2184" s="1">
        <f t="shared" ca="1" si="162"/>
        <v>413</v>
      </c>
      <c r="E2184" s="2">
        <f t="shared" ca="1" si="163"/>
        <v>42762</v>
      </c>
      <c r="F2184" s="6">
        <f t="shared" ca="1" si="164"/>
        <v>9.039901129546756</v>
      </c>
    </row>
    <row r="2185" spans="1:6">
      <c r="A2185" s="1">
        <v>9127849</v>
      </c>
      <c r="B2185" s="1">
        <f t="shared" ca="1" si="161"/>
        <v>0.8808613306009212</v>
      </c>
      <c r="C2185" s="1">
        <f t="shared" ca="1" si="160"/>
        <v>6</v>
      </c>
      <c r="D2185" s="1">
        <f t="shared" ca="1" si="162"/>
        <v>208</v>
      </c>
      <c r="E2185" s="2">
        <f t="shared" ca="1" si="163"/>
        <v>43345</v>
      </c>
      <c r="F2185" s="6">
        <f t="shared" ca="1" si="164"/>
        <v>16.860868223876018</v>
      </c>
    </row>
    <row r="2186" spans="1:6">
      <c r="A2186" s="1">
        <v>9127852</v>
      </c>
      <c r="B2186" s="1">
        <f t="shared" ca="1" si="161"/>
        <v>0.38157461796878012</v>
      </c>
      <c r="C2186" s="1">
        <f t="shared" ca="1" si="160"/>
        <v>41</v>
      </c>
      <c r="D2186" s="1">
        <f t="shared" ca="1" si="162"/>
        <v>37</v>
      </c>
      <c r="E2186" s="2">
        <f t="shared" ca="1" si="163"/>
        <v>43495</v>
      </c>
      <c r="F2186" s="6">
        <f t="shared" ca="1" si="164"/>
        <v>103.49957824442602</v>
      </c>
    </row>
    <row r="2187" spans="1:6">
      <c r="A2187" s="1">
        <v>9127855</v>
      </c>
      <c r="B2187" s="1">
        <f t="shared" ca="1" si="161"/>
        <v>0.59730364300646188</v>
      </c>
      <c r="C2187" s="1">
        <f t="shared" ca="1" si="160"/>
        <v>38</v>
      </c>
      <c r="D2187" s="1">
        <f t="shared" ca="1" si="162"/>
        <v>400</v>
      </c>
      <c r="E2187" s="2">
        <f t="shared" ca="1" si="163"/>
        <v>43233</v>
      </c>
      <c r="F2187" s="6">
        <f t="shared" ca="1" si="164"/>
        <v>4.295957142831722</v>
      </c>
    </row>
    <row r="2188" spans="1:6">
      <c r="A2188" s="1">
        <v>9127858</v>
      </c>
      <c r="B2188" s="1">
        <f t="shared" ca="1" si="161"/>
        <v>0.45897321003848046</v>
      </c>
      <c r="C2188" s="1">
        <f t="shared" ca="1" si="160"/>
        <v>1</v>
      </c>
      <c r="D2188" s="1">
        <f t="shared" ca="1" si="162"/>
        <v>474</v>
      </c>
      <c r="E2188" s="2">
        <f t="shared" ca="1" si="163"/>
        <v>43022</v>
      </c>
      <c r="F2188" s="6">
        <f t="shared" ca="1" si="164"/>
        <v>29.113616788582277</v>
      </c>
    </row>
    <row r="2189" spans="1:6">
      <c r="A2189" s="1">
        <v>9127861</v>
      </c>
      <c r="B2189" s="1">
        <f t="shared" ca="1" si="161"/>
        <v>0.66898863362474714</v>
      </c>
      <c r="C2189" s="1">
        <f t="shared" ca="1" si="160"/>
        <v>5</v>
      </c>
      <c r="D2189" s="1">
        <f t="shared" ca="1" si="162"/>
        <v>363</v>
      </c>
      <c r="E2189" s="2">
        <f t="shared" ca="1" si="163"/>
        <v>42742</v>
      </c>
      <c r="F2189" s="6">
        <f t="shared" ca="1" si="164"/>
        <v>79.863236881149959</v>
      </c>
    </row>
    <row r="2190" spans="1:6">
      <c r="A2190" s="1">
        <v>9127864</v>
      </c>
      <c r="B2190" s="1">
        <f t="shared" ca="1" si="161"/>
        <v>0.98683553300030347</v>
      </c>
      <c r="C2190" s="1">
        <f t="shared" ca="1" si="160"/>
        <v>92</v>
      </c>
      <c r="D2190" s="1">
        <f t="shared" ca="1" si="162"/>
        <v>458</v>
      </c>
      <c r="E2190" s="2">
        <f t="shared" ca="1" si="163"/>
        <v>43388</v>
      </c>
      <c r="F2190" s="6">
        <f t="shared" ca="1" si="164"/>
        <v>13.602064197526749</v>
      </c>
    </row>
    <row r="2191" spans="1:6">
      <c r="A2191" s="1">
        <v>9127867</v>
      </c>
      <c r="B2191" s="1">
        <f t="shared" ca="1" si="161"/>
        <v>0.89094655782914045</v>
      </c>
      <c r="C2191" s="1">
        <f t="shared" ca="1" si="160"/>
        <v>76</v>
      </c>
      <c r="D2191" s="1">
        <f t="shared" ca="1" si="162"/>
        <v>293</v>
      </c>
      <c r="E2191" s="2">
        <f t="shared" ca="1" si="163"/>
        <v>42868</v>
      </c>
      <c r="F2191" s="6">
        <f t="shared" ca="1" si="164"/>
        <v>6.6330186458876561</v>
      </c>
    </row>
    <row r="2192" spans="1:6">
      <c r="A2192" s="1">
        <v>9127870</v>
      </c>
      <c r="B2192" s="1">
        <f t="shared" ca="1" si="161"/>
        <v>0.35025749036503728</v>
      </c>
      <c r="C2192" s="1">
        <f t="shared" ca="1" si="160"/>
        <v>141</v>
      </c>
      <c r="D2192" s="1">
        <f t="shared" ca="1" si="162"/>
        <v>130</v>
      </c>
      <c r="E2192" s="2">
        <f t="shared" ca="1" si="163"/>
        <v>42803</v>
      </c>
      <c r="F2192" s="6">
        <f t="shared" ca="1" si="164"/>
        <v>3.2181235044578691</v>
      </c>
    </row>
    <row r="2193" spans="1:6">
      <c r="A2193" s="1">
        <v>9127873</v>
      </c>
      <c r="B2193" s="1">
        <f t="shared" ca="1" si="161"/>
        <v>0.56420363867504209</v>
      </c>
      <c r="C2193" s="1">
        <f t="shared" ca="1" si="160"/>
        <v>10</v>
      </c>
      <c r="D2193" s="1">
        <f t="shared" ca="1" si="162"/>
        <v>236</v>
      </c>
      <c r="E2193" s="2">
        <f t="shared" ca="1" si="163"/>
        <v>42839</v>
      </c>
      <c r="F2193" s="6">
        <f t="shared" ca="1" si="164"/>
        <v>11.092952272169061</v>
      </c>
    </row>
    <row r="2194" spans="1:6">
      <c r="A2194" s="1">
        <v>9127876</v>
      </c>
      <c r="B2194" s="1">
        <f t="shared" ca="1" si="161"/>
        <v>0.97336065207949896</v>
      </c>
      <c r="C2194" s="1">
        <f t="shared" ca="1" si="160"/>
        <v>65</v>
      </c>
      <c r="D2194" s="1">
        <f t="shared" ca="1" si="162"/>
        <v>463</v>
      </c>
      <c r="E2194" s="2">
        <f t="shared" ca="1" si="163"/>
        <v>43369</v>
      </c>
      <c r="F2194" s="6">
        <f t="shared" ca="1" si="164"/>
        <v>49.396589796272927</v>
      </c>
    </row>
    <row r="2195" spans="1:6">
      <c r="A2195" s="1">
        <v>9127879</v>
      </c>
      <c r="B2195" s="1">
        <f t="shared" ca="1" si="161"/>
        <v>0.66255721375480359</v>
      </c>
      <c r="C2195" s="1">
        <f t="shared" ca="1" si="160"/>
        <v>7</v>
      </c>
      <c r="D2195" s="1">
        <f t="shared" ca="1" si="162"/>
        <v>138</v>
      </c>
      <c r="E2195" s="2">
        <f t="shared" ca="1" si="163"/>
        <v>43391</v>
      </c>
      <c r="F2195" s="6">
        <f t="shared" ca="1" si="164"/>
        <v>42.019047296570378</v>
      </c>
    </row>
    <row r="2196" spans="1:6">
      <c r="A2196" s="1">
        <v>9127882</v>
      </c>
      <c r="B2196" s="1">
        <f t="shared" ca="1" si="161"/>
        <v>0.18677544590987039</v>
      </c>
      <c r="C2196" s="1">
        <f t="shared" ca="1" si="160"/>
        <v>6</v>
      </c>
      <c r="D2196" s="1">
        <f t="shared" ca="1" si="162"/>
        <v>208</v>
      </c>
      <c r="E2196" s="2">
        <f t="shared" ca="1" si="163"/>
        <v>42757</v>
      </c>
      <c r="F2196" s="6">
        <f t="shared" ca="1" si="164"/>
        <v>5.5842633808864459</v>
      </c>
    </row>
    <row r="2197" spans="1:6">
      <c r="A2197" s="1">
        <v>9127885</v>
      </c>
      <c r="B2197" s="1">
        <f t="shared" ca="1" si="161"/>
        <v>0.25730973337621232</v>
      </c>
      <c r="C2197" s="1">
        <f t="shared" ca="1" si="160"/>
        <v>2</v>
      </c>
      <c r="D2197" s="1">
        <f t="shared" ca="1" si="162"/>
        <v>30</v>
      </c>
      <c r="E2197" s="2">
        <f t="shared" ca="1" si="163"/>
        <v>42776</v>
      </c>
      <c r="F2197" s="6">
        <f t="shared" ca="1" si="164"/>
        <v>22.556699018270177</v>
      </c>
    </row>
    <row r="2198" spans="1:6">
      <c r="A2198" s="1">
        <v>9127888</v>
      </c>
      <c r="B2198" s="1">
        <f t="shared" ca="1" si="161"/>
        <v>0.47575674793004941</v>
      </c>
      <c r="C2198" s="1">
        <f t="shared" ca="1" si="160"/>
        <v>2</v>
      </c>
      <c r="D2198" s="1">
        <f t="shared" ca="1" si="162"/>
        <v>30</v>
      </c>
      <c r="E2198" s="2">
        <f t="shared" ca="1" si="163"/>
        <v>42792</v>
      </c>
      <c r="F2198" s="6">
        <f t="shared" ca="1" si="164"/>
        <v>36.868834633197075</v>
      </c>
    </row>
    <row r="2199" spans="1:6">
      <c r="A2199" s="1">
        <v>9127891</v>
      </c>
      <c r="B2199" s="1">
        <f t="shared" ca="1" si="161"/>
        <v>0.82943132064534464</v>
      </c>
      <c r="C2199" s="1">
        <f t="shared" ca="1" si="160"/>
        <v>2</v>
      </c>
      <c r="D2199" s="1">
        <f t="shared" ca="1" si="162"/>
        <v>30</v>
      </c>
      <c r="E2199" s="2">
        <f t="shared" ca="1" si="163"/>
        <v>42749</v>
      </c>
      <c r="F2199" s="6">
        <f t="shared" ca="1" si="164"/>
        <v>3.0913601907767077</v>
      </c>
    </row>
    <row r="2200" spans="1:6">
      <c r="A2200" s="1">
        <v>9127894</v>
      </c>
      <c r="B2200" s="1">
        <f t="shared" ca="1" si="161"/>
        <v>0.54801526000287315</v>
      </c>
      <c r="C2200" s="1">
        <f t="shared" ca="1" si="160"/>
        <v>5</v>
      </c>
      <c r="D2200" s="1">
        <f t="shared" ca="1" si="162"/>
        <v>363</v>
      </c>
      <c r="E2200" s="2">
        <f t="shared" ca="1" si="163"/>
        <v>43339</v>
      </c>
      <c r="F2200" s="6">
        <f t="shared" ca="1" si="164"/>
        <v>29.155894433400057</v>
      </c>
    </row>
    <row r="2201" spans="1:6">
      <c r="A2201" s="1">
        <v>9127897</v>
      </c>
      <c r="B2201" s="1">
        <f t="shared" ca="1" si="161"/>
        <v>0.51681176336209489</v>
      </c>
      <c r="C2201" s="1">
        <f t="shared" ca="1" si="160"/>
        <v>60</v>
      </c>
      <c r="D2201" s="1">
        <f t="shared" ca="1" si="162"/>
        <v>422</v>
      </c>
      <c r="E2201" s="2">
        <f t="shared" ca="1" si="163"/>
        <v>43278</v>
      </c>
      <c r="F2201" s="6">
        <f t="shared" ca="1" si="164"/>
        <v>33.310328455723116</v>
      </c>
    </row>
    <row r="2202" spans="1:6">
      <c r="A2202" s="1">
        <v>9127900</v>
      </c>
      <c r="B2202" s="1">
        <f t="shared" ca="1" si="161"/>
        <v>0.38389011551690155</v>
      </c>
      <c r="C2202" s="1">
        <f t="shared" ca="1" si="160"/>
        <v>118</v>
      </c>
      <c r="D2202" s="1">
        <f t="shared" ca="1" si="162"/>
        <v>172</v>
      </c>
      <c r="E2202" s="2">
        <f t="shared" ca="1" si="163"/>
        <v>43191</v>
      </c>
      <c r="F2202" s="6">
        <f t="shared" ca="1" si="164"/>
        <v>251.88634422324759</v>
      </c>
    </row>
    <row r="2203" spans="1:6">
      <c r="A2203" s="1">
        <v>9127903</v>
      </c>
      <c r="B2203" s="1">
        <f t="shared" ca="1" si="161"/>
        <v>0.12287853577853003</v>
      </c>
      <c r="C2203" s="1">
        <f t="shared" ref="C2203:C2266" ca="1" si="165">ROUND(_xlfn.GAMMA.INV(RAND(),$J$11,$J$12)*100,0)+1</f>
        <v>21</v>
      </c>
      <c r="D2203" s="1">
        <f t="shared" ca="1" si="162"/>
        <v>566</v>
      </c>
      <c r="E2203" s="2">
        <f t="shared" ca="1" si="163"/>
        <v>43111</v>
      </c>
      <c r="F2203" s="6">
        <f t="shared" ca="1" si="164"/>
        <v>102.60050263946098</v>
      </c>
    </row>
    <row r="2204" spans="1:6">
      <c r="A2204" s="1">
        <v>9127906</v>
      </c>
      <c r="B2204" s="1">
        <f t="shared" ca="1" si="161"/>
        <v>0.99300682051637235</v>
      </c>
      <c r="C2204" s="1">
        <f t="shared" ca="1" si="165"/>
        <v>87</v>
      </c>
      <c r="D2204" s="1">
        <f t="shared" ca="1" si="162"/>
        <v>551</v>
      </c>
      <c r="E2204" s="2">
        <f t="shared" ca="1" si="163"/>
        <v>42876</v>
      </c>
      <c r="F2204" s="6">
        <f t="shared" ca="1" si="164"/>
        <v>97.883436548394258</v>
      </c>
    </row>
    <row r="2205" spans="1:6">
      <c r="A2205" s="1">
        <v>9127909</v>
      </c>
      <c r="B2205" s="1">
        <f t="shared" ca="1" si="161"/>
        <v>0.34346071189253391</v>
      </c>
      <c r="C2205" s="1">
        <f t="shared" ca="1" si="165"/>
        <v>145</v>
      </c>
      <c r="D2205" s="1">
        <f t="shared" ca="1" si="162"/>
        <v>389</v>
      </c>
      <c r="E2205" s="2">
        <f t="shared" ca="1" si="163"/>
        <v>43384</v>
      </c>
      <c r="F2205" s="6">
        <f t="shared" ca="1" si="164"/>
        <v>3.4856686314624352</v>
      </c>
    </row>
    <row r="2206" spans="1:6">
      <c r="A2206" s="1">
        <v>9127912</v>
      </c>
      <c r="B2206" s="1">
        <f t="shared" ca="1" si="161"/>
        <v>0.27401992781254703</v>
      </c>
      <c r="C2206" s="1">
        <f t="shared" ca="1" si="165"/>
        <v>7</v>
      </c>
      <c r="D2206" s="1">
        <f t="shared" ca="1" si="162"/>
        <v>138</v>
      </c>
      <c r="E2206" s="2">
        <f t="shared" ca="1" si="163"/>
        <v>43143</v>
      </c>
      <c r="F2206" s="6">
        <f t="shared" ca="1" si="164"/>
        <v>62.064319081535047</v>
      </c>
    </row>
    <row r="2207" spans="1:6">
      <c r="A2207" s="1">
        <v>9127915</v>
      </c>
      <c r="B2207" s="1">
        <f t="shared" ca="1" si="161"/>
        <v>0.36580207586041824</v>
      </c>
      <c r="C2207" s="1">
        <f t="shared" ca="1" si="165"/>
        <v>1</v>
      </c>
      <c r="D2207" s="1">
        <f t="shared" ca="1" si="162"/>
        <v>474</v>
      </c>
      <c r="E2207" s="2">
        <f t="shared" ca="1" si="163"/>
        <v>43337</v>
      </c>
      <c r="F2207" s="6">
        <f t="shared" ca="1" si="164"/>
        <v>195.04885503424578</v>
      </c>
    </row>
    <row r="2208" spans="1:6">
      <c r="A2208" s="1">
        <v>9127918</v>
      </c>
      <c r="B2208" s="1">
        <f t="shared" ca="1" si="161"/>
        <v>6.1389049383878791E-2</v>
      </c>
      <c r="C2208" s="1">
        <f t="shared" ca="1" si="165"/>
        <v>13</v>
      </c>
      <c r="D2208" s="1">
        <f t="shared" ca="1" si="162"/>
        <v>80</v>
      </c>
      <c r="E2208" s="2">
        <f t="shared" ca="1" si="163"/>
        <v>42898</v>
      </c>
      <c r="F2208" s="6">
        <f t="shared" ca="1" si="164"/>
        <v>6.0233782649136227</v>
      </c>
    </row>
    <row r="2209" spans="1:6">
      <c r="A2209" s="1">
        <v>9127921</v>
      </c>
      <c r="B2209" s="1">
        <f t="shared" ca="1" si="161"/>
        <v>7.0251162087557328E-2</v>
      </c>
      <c r="C2209" s="1">
        <f t="shared" ca="1" si="165"/>
        <v>2</v>
      </c>
      <c r="D2209" s="1">
        <f t="shared" ca="1" si="162"/>
        <v>30</v>
      </c>
      <c r="E2209" s="2">
        <f t="shared" ca="1" si="163"/>
        <v>43166</v>
      </c>
      <c r="F2209" s="6">
        <f t="shared" ca="1" si="164"/>
        <v>5.6337010194330031</v>
      </c>
    </row>
    <row r="2210" spans="1:6">
      <c r="A2210" s="1">
        <v>9127924</v>
      </c>
      <c r="B2210" s="1">
        <f t="shared" ca="1" si="161"/>
        <v>0.97764367170734578</v>
      </c>
      <c r="C2210" s="1">
        <f t="shared" ca="1" si="165"/>
        <v>12</v>
      </c>
      <c r="D2210" s="1">
        <f t="shared" ca="1" si="162"/>
        <v>292</v>
      </c>
      <c r="E2210" s="2">
        <f t="shared" ca="1" si="163"/>
        <v>42968</v>
      </c>
      <c r="F2210" s="6">
        <f t="shared" ca="1" si="164"/>
        <v>15.323281109870599</v>
      </c>
    </row>
    <row r="2211" spans="1:6">
      <c r="A2211" s="1">
        <v>9127927</v>
      </c>
      <c r="B2211" s="1">
        <f t="shared" ca="1" si="161"/>
        <v>0.74413736165447231</v>
      </c>
      <c r="C2211" s="1">
        <f t="shared" ca="1" si="165"/>
        <v>14</v>
      </c>
      <c r="D2211" s="1">
        <f t="shared" ca="1" si="162"/>
        <v>576</v>
      </c>
      <c r="E2211" s="2">
        <f t="shared" ca="1" si="163"/>
        <v>43044</v>
      </c>
      <c r="F2211" s="6">
        <f t="shared" ca="1" si="164"/>
        <v>277.1218573646633</v>
      </c>
    </row>
    <row r="2212" spans="1:6">
      <c r="A2212" s="1">
        <v>9127930</v>
      </c>
      <c r="B2212" s="1">
        <f t="shared" ca="1" si="161"/>
        <v>0.31879579462844754</v>
      </c>
      <c r="C2212" s="1">
        <f t="shared" ca="1" si="165"/>
        <v>24</v>
      </c>
      <c r="D2212" s="1">
        <f t="shared" ca="1" si="162"/>
        <v>334</v>
      </c>
      <c r="E2212" s="2">
        <f t="shared" ca="1" si="163"/>
        <v>42911</v>
      </c>
      <c r="F2212" s="6">
        <f t="shared" ca="1" si="164"/>
        <v>12.705165114892909</v>
      </c>
    </row>
    <row r="2213" spans="1:6">
      <c r="A2213" s="1">
        <v>9127933</v>
      </c>
      <c r="B2213" s="1">
        <f t="shared" ca="1" si="161"/>
        <v>0.44978714570535527</v>
      </c>
      <c r="C2213" s="1">
        <f t="shared" ca="1" si="165"/>
        <v>111</v>
      </c>
      <c r="D2213" s="1">
        <f t="shared" ca="1" si="162"/>
        <v>230</v>
      </c>
      <c r="E2213" s="2">
        <f t="shared" ca="1" si="163"/>
        <v>43126</v>
      </c>
      <c r="F2213" s="6">
        <f t="shared" ca="1" si="164"/>
        <v>96.005001588455443</v>
      </c>
    </row>
    <row r="2214" spans="1:6">
      <c r="A2214" s="1">
        <v>9127936</v>
      </c>
      <c r="B2214" s="1">
        <f t="shared" ca="1" si="161"/>
        <v>0.5478608623517216</v>
      </c>
      <c r="C2214" s="1">
        <f t="shared" ca="1" si="165"/>
        <v>54</v>
      </c>
      <c r="D2214" s="1">
        <f t="shared" ca="1" si="162"/>
        <v>168</v>
      </c>
      <c r="E2214" s="2">
        <f t="shared" ca="1" si="163"/>
        <v>42748</v>
      </c>
      <c r="F2214" s="6">
        <f t="shared" ca="1" si="164"/>
        <v>97.796037613507607</v>
      </c>
    </row>
    <row r="2215" spans="1:6">
      <c r="A2215" s="1">
        <v>9127939</v>
      </c>
      <c r="B2215" s="1">
        <f t="shared" ca="1" si="161"/>
        <v>0.84255117271527458</v>
      </c>
      <c r="C2215" s="1">
        <f t="shared" ca="1" si="165"/>
        <v>52</v>
      </c>
      <c r="D2215" s="1">
        <f t="shared" ca="1" si="162"/>
        <v>574</v>
      </c>
      <c r="E2215" s="2">
        <f t="shared" ca="1" si="163"/>
        <v>42789</v>
      </c>
      <c r="F2215" s="6">
        <f t="shared" ca="1" si="164"/>
        <v>5.7463497400231454</v>
      </c>
    </row>
    <row r="2216" spans="1:6">
      <c r="A2216" s="1">
        <v>9127942</v>
      </c>
      <c r="B2216" s="1">
        <f t="shared" ca="1" si="161"/>
        <v>0.10568229938957441</v>
      </c>
      <c r="C2216" s="1">
        <f t="shared" ca="1" si="165"/>
        <v>48</v>
      </c>
      <c r="D2216" s="1">
        <f t="shared" ca="1" si="162"/>
        <v>424</v>
      </c>
      <c r="E2216" s="2">
        <f t="shared" ca="1" si="163"/>
        <v>43357</v>
      </c>
      <c r="F2216" s="6">
        <f t="shared" ca="1" si="164"/>
        <v>159.14751643064517</v>
      </c>
    </row>
    <row r="2217" spans="1:6">
      <c r="A2217" s="1">
        <v>9127945</v>
      </c>
      <c r="B2217" s="1">
        <f t="shared" ca="1" si="161"/>
        <v>0.96061868179818666</v>
      </c>
      <c r="C2217" s="1">
        <f t="shared" ca="1" si="165"/>
        <v>23</v>
      </c>
      <c r="D2217" s="1">
        <f t="shared" ca="1" si="162"/>
        <v>516</v>
      </c>
      <c r="E2217" s="2">
        <f t="shared" ca="1" si="163"/>
        <v>43265</v>
      </c>
      <c r="F2217" s="6">
        <f t="shared" ca="1" si="164"/>
        <v>8.3493215341458775</v>
      </c>
    </row>
    <row r="2218" spans="1:6">
      <c r="A2218" s="1">
        <v>9127948</v>
      </c>
      <c r="B2218" s="1">
        <f t="shared" ca="1" si="161"/>
        <v>0.33275890342620318</v>
      </c>
      <c r="C2218" s="1">
        <f t="shared" ca="1" si="165"/>
        <v>5</v>
      </c>
      <c r="D2218" s="1">
        <f t="shared" ca="1" si="162"/>
        <v>363</v>
      </c>
      <c r="E2218" s="2">
        <f t="shared" ca="1" si="163"/>
        <v>43190</v>
      </c>
      <c r="F2218" s="6">
        <f t="shared" ca="1" si="164"/>
        <v>3.0134395348270049</v>
      </c>
    </row>
    <row r="2219" spans="1:6">
      <c r="A2219" s="1">
        <v>9127951</v>
      </c>
      <c r="B2219" s="1">
        <f t="shared" ca="1" si="161"/>
        <v>0.24275854918217865</v>
      </c>
      <c r="C2219" s="1">
        <f t="shared" ca="1" si="165"/>
        <v>17</v>
      </c>
      <c r="D2219" s="1">
        <f t="shared" ca="1" si="162"/>
        <v>165</v>
      </c>
      <c r="E2219" s="2">
        <f t="shared" ca="1" si="163"/>
        <v>43242</v>
      </c>
      <c r="F2219" s="6">
        <f t="shared" ca="1" si="164"/>
        <v>4.6056270146105334</v>
      </c>
    </row>
    <row r="2220" spans="1:6">
      <c r="A2220" s="1">
        <v>9127954</v>
      </c>
      <c r="B2220" s="1">
        <f t="shared" ca="1" si="161"/>
        <v>0.79296449841355854</v>
      </c>
      <c r="C2220" s="1">
        <f t="shared" ca="1" si="165"/>
        <v>75</v>
      </c>
      <c r="D2220" s="1">
        <f t="shared" ca="1" si="162"/>
        <v>599</v>
      </c>
      <c r="E2220" s="2">
        <f t="shared" ca="1" si="163"/>
        <v>42772</v>
      </c>
      <c r="F2220" s="6">
        <f t="shared" ca="1" si="164"/>
        <v>26.359717648483034</v>
      </c>
    </row>
    <row r="2221" spans="1:6">
      <c r="A2221" s="1">
        <v>9127957</v>
      </c>
      <c r="B2221" s="1">
        <f t="shared" ca="1" si="161"/>
        <v>0.54432872331604776</v>
      </c>
      <c r="C2221" s="1">
        <f t="shared" ca="1" si="165"/>
        <v>62</v>
      </c>
      <c r="D2221" s="1">
        <f t="shared" ca="1" si="162"/>
        <v>235</v>
      </c>
      <c r="E2221" s="2">
        <f t="shared" ca="1" si="163"/>
        <v>42736</v>
      </c>
      <c r="F2221" s="6">
        <f t="shared" ca="1" si="164"/>
        <v>37.632574900495491</v>
      </c>
    </row>
    <row r="2222" spans="1:6">
      <c r="A2222" s="1">
        <v>9127960</v>
      </c>
      <c r="B2222" s="1">
        <f t="shared" ca="1" si="161"/>
        <v>0.64312285786024226</v>
      </c>
      <c r="C2222" s="1">
        <f t="shared" ca="1" si="165"/>
        <v>8</v>
      </c>
      <c r="D2222" s="1">
        <f t="shared" ca="1" si="162"/>
        <v>456</v>
      </c>
      <c r="E2222" s="2">
        <f t="shared" ca="1" si="163"/>
        <v>43254</v>
      </c>
      <c r="F2222" s="6">
        <f t="shared" ca="1" si="164"/>
        <v>15.352549583024169</v>
      </c>
    </row>
    <row r="2223" spans="1:6">
      <c r="A2223" s="1">
        <v>9127963</v>
      </c>
      <c r="B2223" s="1">
        <f t="shared" ca="1" si="161"/>
        <v>0.83819488759205896</v>
      </c>
      <c r="C2223" s="1">
        <f t="shared" ca="1" si="165"/>
        <v>3</v>
      </c>
      <c r="D2223" s="1">
        <f t="shared" ca="1" si="162"/>
        <v>263</v>
      </c>
      <c r="E2223" s="2">
        <f t="shared" ca="1" si="163"/>
        <v>42835</v>
      </c>
      <c r="F2223" s="6">
        <f t="shared" ca="1" si="164"/>
        <v>10.520464178066138</v>
      </c>
    </row>
    <row r="2224" spans="1:6">
      <c r="A2224" s="1">
        <v>9127966</v>
      </c>
      <c r="B2224" s="1">
        <f t="shared" ca="1" si="161"/>
        <v>0.13418791364536009</v>
      </c>
      <c r="C2224" s="1">
        <f t="shared" ca="1" si="165"/>
        <v>27</v>
      </c>
      <c r="D2224" s="1">
        <f t="shared" ca="1" si="162"/>
        <v>398</v>
      </c>
      <c r="E2224" s="2">
        <f t="shared" ca="1" si="163"/>
        <v>43246</v>
      </c>
      <c r="F2224" s="6">
        <f t="shared" ca="1" si="164"/>
        <v>4.8044214248468755</v>
      </c>
    </row>
    <row r="2225" spans="1:6">
      <c r="A2225" s="1">
        <v>9127969</v>
      </c>
      <c r="B2225" s="1">
        <f t="shared" ca="1" si="161"/>
        <v>0.50880208136300276</v>
      </c>
      <c r="C2225" s="1">
        <f t="shared" ca="1" si="165"/>
        <v>21</v>
      </c>
      <c r="D2225" s="1">
        <f t="shared" ca="1" si="162"/>
        <v>566</v>
      </c>
      <c r="E2225" s="2">
        <f t="shared" ca="1" si="163"/>
        <v>43138</v>
      </c>
      <c r="F2225" s="6">
        <f t="shared" ca="1" si="164"/>
        <v>31.114107878536139</v>
      </c>
    </row>
    <row r="2226" spans="1:6">
      <c r="A2226" s="1">
        <v>9127972</v>
      </c>
      <c r="B2226" s="1">
        <f t="shared" ca="1" si="161"/>
        <v>0.86060726520883268</v>
      </c>
      <c r="C2226" s="1">
        <f t="shared" ca="1" si="165"/>
        <v>5</v>
      </c>
      <c r="D2226" s="1">
        <f t="shared" ca="1" si="162"/>
        <v>363</v>
      </c>
      <c r="E2226" s="2">
        <f t="shared" ca="1" si="163"/>
        <v>43171</v>
      </c>
      <c r="F2226" s="6">
        <f t="shared" ca="1" si="164"/>
        <v>14.520418264819014</v>
      </c>
    </row>
    <row r="2227" spans="1:6">
      <c r="A2227" s="1">
        <v>9127975</v>
      </c>
      <c r="B2227" s="1">
        <f t="shared" ca="1" si="161"/>
        <v>0.60755919473628661</v>
      </c>
      <c r="C2227" s="1">
        <f t="shared" ca="1" si="165"/>
        <v>14</v>
      </c>
      <c r="D2227" s="1">
        <f t="shared" ca="1" si="162"/>
        <v>576</v>
      </c>
      <c r="E2227" s="2">
        <f t="shared" ca="1" si="163"/>
        <v>43454</v>
      </c>
      <c r="F2227" s="6">
        <f t="shared" ca="1" si="164"/>
        <v>41.334974886541822</v>
      </c>
    </row>
    <row r="2228" spans="1:6">
      <c r="A2228" s="1">
        <v>9127978</v>
      </c>
      <c r="B2228" s="1">
        <f t="shared" ca="1" si="161"/>
        <v>0.28332499299438596</v>
      </c>
      <c r="C2228" s="1">
        <f t="shared" ca="1" si="165"/>
        <v>133</v>
      </c>
      <c r="D2228" s="1">
        <f t="shared" ca="1" si="162"/>
        <v>124</v>
      </c>
      <c r="E2228" s="2">
        <f t="shared" ca="1" si="163"/>
        <v>43320</v>
      </c>
      <c r="F2228" s="6">
        <f t="shared" ca="1" si="164"/>
        <v>9.0951882509149744</v>
      </c>
    </row>
    <row r="2229" spans="1:6">
      <c r="A2229" s="1">
        <v>9127981</v>
      </c>
      <c r="B2229" s="1">
        <f t="shared" ca="1" si="161"/>
        <v>0.11954823005578885</v>
      </c>
      <c r="C2229" s="1">
        <f t="shared" ca="1" si="165"/>
        <v>129</v>
      </c>
      <c r="D2229" s="1">
        <f t="shared" ca="1" si="162"/>
        <v>393</v>
      </c>
      <c r="E2229" s="2">
        <f t="shared" ca="1" si="163"/>
        <v>43218</v>
      </c>
      <c r="F2229" s="6">
        <f t="shared" ca="1" si="164"/>
        <v>10.057721875320851</v>
      </c>
    </row>
    <row r="2230" spans="1:6">
      <c r="A2230" s="1">
        <v>9127984</v>
      </c>
      <c r="B2230" s="1">
        <f t="shared" ca="1" si="161"/>
        <v>0.2742733471023906</v>
      </c>
      <c r="C2230" s="1">
        <f t="shared" ca="1" si="165"/>
        <v>95</v>
      </c>
      <c r="D2230" s="1">
        <f t="shared" ca="1" si="162"/>
        <v>62</v>
      </c>
      <c r="E2230" s="2">
        <f t="shared" ca="1" si="163"/>
        <v>42894</v>
      </c>
      <c r="F2230" s="6">
        <f t="shared" ca="1" si="164"/>
        <v>21.275924215119492</v>
      </c>
    </row>
    <row r="2231" spans="1:6">
      <c r="A2231" s="1">
        <v>9127987</v>
      </c>
      <c r="B2231" s="1">
        <f t="shared" ca="1" si="161"/>
        <v>0.92089766038688137</v>
      </c>
      <c r="C2231" s="1">
        <f t="shared" ca="1" si="165"/>
        <v>10</v>
      </c>
      <c r="D2231" s="1">
        <f t="shared" ca="1" si="162"/>
        <v>236</v>
      </c>
      <c r="E2231" s="2">
        <f t="shared" ca="1" si="163"/>
        <v>43061</v>
      </c>
      <c r="F2231" s="6">
        <f t="shared" ca="1" si="164"/>
        <v>38.033835989735053</v>
      </c>
    </row>
    <row r="2232" spans="1:6">
      <c r="A2232" s="1">
        <v>9127990</v>
      </c>
      <c r="B2232" s="1">
        <f t="shared" ca="1" si="161"/>
        <v>0.87854372667190184</v>
      </c>
      <c r="C2232" s="1">
        <f t="shared" ca="1" si="165"/>
        <v>82</v>
      </c>
      <c r="D2232" s="1">
        <f t="shared" ca="1" si="162"/>
        <v>143</v>
      </c>
      <c r="E2232" s="2">
        <f t="shared" ca="1" si="163"/>
        <v>42852</v>
      </c>
      <c r="F2232" s="6">
        <f t="shared" ca="1" si="164"/>
        <v>46.81242207391545</v>
      </c>
    </row>
    <row r="2233" spans="1:6">
      <c r="A2233" s="1">
        <v>9127993</v>
      </c>
      <c r="B2233" s="1">
        <f t="shared" ca="1" si="161"/>
        <v>0.29703128226738829</v>
      </c>
      <c r="C2233" s="1">
        <f t="shared" ca="1" si="165"/>
        <v>23</v>
      </c>
      <c r="D2233" s="1">
        <f t="shared" ca="1" si="162"/>
        <v>516</v>
      </c>
      <c r="E2233" s="2">
        <f t="shared" ca="1" si="163"/>
        <v>43052</v>
      </c>
      <c r="F2233" s="6">
        <f t="shared" ca="1" si="164"/>
        <v>21.71759597645698</v>
      </c>
    </row>
    <row r="2234" spans="1:6">
      <c r="A2234" s="1">
        <v>9127996</v>
      </c>
      <c r="B2234" s="1">
        <f t="shared" ca="1" si="161"/>
        <v>0.89343019405687329</v>
      </c>
      <c r="C2234" s="1">
        <f t="shared" ca="1" si="165"/>
        <v>62</v>
      </c>
      <c r="D2234" s="1">
        <f t="shared" ca="1" si="162"/>
        <v>235</v>
      </c>
      <c r="E2234" s="2">
        <f t="shared" ca="1" si="163"/>
        <v>43121</v>
      </c>
      <c r="F2234" s="6">
        <f t="shared" ca="1" si="164"/>
        <v>3.1152688382773102</v>
      </c>
    </row>
    <row r="2235" spans="1:6">
      <c r="A2235" s="1">
        <v>9127999</v>
      </c>
      <c r="B2235" s="1">
        <f t="shared" ca="1" si="161"/>
        <v>0.82448792708777674</v>
      </c>
      <c r="C2235" s="1">
        <f t="shared" ca="1" si="165"/>
        <v>40</v>
      </c>
      <c r="D2235" s="1">
        <f t="shared" ca="1" si="162"/>
        <v>426</v>
      </c>
      <c r="E2235" s="2">
        <f t="shared" ca="1" si="163"/>
        <v>42859</v>
      </c>
      <c r="F2235" s="6">
        <f t="shared" ca="1" si="164"/>
        <v>18.708353507046006</v>
      </c>
    </row>
    <row r="2236" spans="1:6">
      <c r="A2236" s="1">
        <v>9128002</v>
      </c>
      <c r="B2236" s="1">
        <f t="shared" ca="1" si="161"/>
        <v>0.27213761139314352</v>
      </c>
      <c r="C2236" s="1">
        <f t="shared" ca="1" si="165"/>
        <v>142</v>
      </c>
      <c r="D2236" s="1">
        <f t="shared" ca="1" si="162"/>
        <v>98</v>
      </c>
      <c r="E2236" s="2">
        <f t="shared" ca="1" si="163"/>
        <v>43288</v>
      </c>
      <c r="F2236" s="6">
        <f t="shared" ca="1" si="164"/>
        <v>4.2340067558153187</v>
      </c>
    </row>
    <row r="2237" spans="1:6">
      <c r="A2237" s="1">
        <v>9128005</v>
      </c>
      <c r="B2237" s="1">
        <f t="shared" ca="1" si="161"/>
        <v>0.70437064135840832</v>
      </c>
      <c r="C2237" s="1">
        <f t="shared" ca="1" si="165"/>
        <v>3</v>
      </c>
      <c r="D2237" s="1">
        <f t="shared" ca="1" si="162"/>
        <v>263</v>
      </c>
      <c r="E2237" s="2">
        <f t="shared" ca="1" si="163"/>
        <v>42894</v>
      </c>
      <c r="F2237" s="6">
        <f t="shared" ca="1" si="164"/>
        <v>181.3512754019622</v>
      </c>
    </row>
    <row r="2238" spans="1:6">
      <c r="A2238" s="1">
        <v>9128008</v>
      </c>
      <c r="B2238" s="1">
        <f t="shared" ca="1" si="161"/>
        <v>0.876088033186319</v>
      </c>
      <c r="C2238" s="1">
        <f t="shared" ca="1" si="165"/>
        <v>100</v>
      </c>
      <c r="D2238" s="1">
        <f t="shared" ca="1" si="162"/>
        <v>183</v>
      </c>
      <c r="E2238" s="2">
        <f t="shared" ca="1" si="163"/>
        <v>42900</v>
      </c>
      <c r="F2238" s="6">
        <f t="shared" ca="1" si="164"/>
        <v>31.375337197735224</v>
      </c>
    </row>
    <row r="2239" spans="1:6">
      <c r="A2239" s="1">
        <v>9128011</v>
      </c>
      <c r="B2239" s="1">
        <f t="shared" ca="1" si="161"/>
        <v>9.2111920599846187E-2</v>
      </c>
      <c r="C2239" s="1">
        <f t="shared" ca="1" si="165"/>
        <v>20</v>
      </c>
      <c r="D2239" s="1">
        <f t="shared" ca="1" si="162"/>
        <v>444</v>
      </c>
      <c r="E2239" s="2">
        <f t="shared" ca="1" si="163"/>
        <v>42804</v>
      </c>
      <c r="F2239" s="6">
        <f t="shared" ca="1" si="164"/>
        <v>19.22490191442089</v>
      </c>
    </row>
    <row r="2240" spans="1:6">
      <c r="A2240" s="1">
        <v>9128014</v>
      </c>
      <c r="B2240" s="1">
        <f t="shared" ca="1" si="161"/>
        <v>0.14091354265222522</v>
      </c>
      <c r="C2240" s="1">
        <f t="shared" ca="1" si="165"/>
        <v>1</v>
      </c>
      <c r="D2240" s="1">
        <f t="shared" ca="1" si="162"/>
        <v>474</v>
      </c>
      <c r="E2240" s="2">
        <f t="shared" ca="1" si="163"/>
        <v>42759</v>
      </c>
      <c r="F2240" s="6">
        <f t="shared" ca="1" si="164"/>
        <v>79.490301874638533</v>
      </c>
    </row>
    <row r="2241" spans="1:6">
      <c r="A2241" s="1">
        <v>9128017</v>
      </c>
      <c r="B2241" s="1">
        <f t="shared" ca="1" si="161"/>
        <v>0.32067268961488238</v>
      </c>
      <c r="C2241" s="1">
        <f t="shared" ca="1" si="165"/>
        <v>32</v>
      </c>
      <c r="D2241" s="1">
        <f t="shared" ca="1" si="162"/>
        <v>497</v>
      </c>
      <c r="E2241" s="2">
        <f t="shared" ca="1" si="163"/>
        <v>42987</v>
      </c>
      <c r="F2241" s="6">
        <f t="shared" ca="1" si="164"/>
        <v>8.785633258235455</v>
      </c>
    </row>
    <row r="2242" spans="1:6">
      <c r="A2242" s="1">
        <v>9128020</v>
      </c>
      <c r="B2242" s="1">
        <f t="shared" ref="B2242:B2305" ca="1" si="166">RAND()</f>
        <v>0.24749704507135273</v>
      </c>
      <c r="C2242" s="1">
        <f t="shared" ca="1" si="165"/>
        <v>43</v>
      </c>
      <c r="D2242" s="1">
        <f t="shared" ca="1" si="162"/>
        <v>73</v>
      </c>
      <c r="E2242" s="2">
        <f t="shared" ca="1" si="163"/>
        <v>43161</v>
      </c>
      <c r="F2242" s="6">
        <f t="shared" ca="1" si="164"/>
        <v>24.003516055027642</v>
      </c>
    </row>
    <row r="2243" spans="1:6">
      <c r="A2243" s="1">
        <v>9128023</v>
      </c>
      <c r="B2243" s="1">
        <f t="shared" ca="1" si="166"/>
        <v>0.95358232587543068</v>
      </c>
      <c r="C2243" s="1">
        <f t="shared" ca="1" si="165"/>
        <v>9</v>
      </c>
      <c r="D2243" s="1">
        <f t="shared" ref="D2243:D2306" ca="1" si="167">VLOOKUP(SMALL($B$2:$B$601,C2243),$B$2:$C$601,2,FALSE)</f>
        <v>278</v>
      </c>
      <c r="E2243" s="2">
        <f t="shared" ref="E2243:E2306" ca="1" si="168">RANDBETWEEN("1/1/17","2/1/19")</f>
        <v>43390</v>
      </c>
      <c r="F2243" s="6">
        <f t="shared" ref="F2243:F2306" ca="1" si="169">_xlfn.GAMMA.INV(RAND(),$J$6,$J$7)*100+3</f>
        <v>9.6026561248923059</v>
      </c>
    </row>
    <row r="2244" spans="1:6">
      <c r="A2244" s="1">
        <v>9128026</v>
      </c>
      <c r="B2244" s="1">
        <f t="shared" ca="1" si="166"/>
        <v>0.31889673766875393</v>
      </c>
      <c r="C2244" s="1">
        <f t="shared" ca="1" si="165"/>
        <v>4</v>
      </c>
      <c r="D2244" s="1">
        <f t="shared" ca="1" si="167"/>
        <v>493</v>
      </c>
      <c r="E2244" s="2">
        <f t="shared" ca="1" si="168"/>
        <v>42770</v>
      </c>
      <c r="F2244" s="6">
        <f t="shared" ca="1" si="169"/>
        <v>40.68932450762162</v>
      </c>
    </row>
    <row r="2245" spans="1:6">
      <c r="A2245" s="1">
        <v>9128029</v>
      </c>
      <c r="B2245" s="1">
        <f t="shared" ca="1" si="166"/>
        <v>0.90042047547256965</v>
      </c>
      <c r="C2245" s="1">
        <f t="shared" ca="1" si="165"/>
        <v>228</v>
      </c>
      <c r="D2245" s="1">
        <f t="shared" ca="1" si="167"/>
        <v>480</v>
      </c>
      <c r="E2245" s="2">
        <f t="shared" ca="1" si="168"/>
        <v>43102</v>
      </c>
      <c r="F2245" s="6">
        <f t="shared" ca="1" si="169"/>
        <v>26.373237718985671</v>
      </c>
    </row>
    <row r="2246" spans="1:6">
      <c r="A2246" s="1">
        <v>9128032</v>
      </c>
      <c r="B2246" s="1">
        <f t="shared" ca="1" si="166"/>
        <v>0.73286127321089645</v>
      </c>
      <c r="C2246" s="1">
        <f t="shared" ca="1" si="165"/>
        <v>18</v>
      </c>
      <c r="D2246" s="1">
        <f t="shared" ca="1" si="167"/>
        <v>511</v>
      </c>
      <c r="E2246" s="2">
        <f t="shared" ca="1" si="168"/>
        <v>42816</v>
      </c>
      <c r="F2246" s="6">
        <f t="shared" ca="1" si="169"/>
        <v>3.253783717077062</v>
      </c>
    </row>
    <row r="2247" spans="1:6">
      <c r="A2247" s="1">
        <v>9128035</v>
      </c>
      <c r="B2247" s="1">
        <f t="shared" ca="1" si="166"/>
        <v>0.79135594358340677</v>
      </c>
      <c r="C2247" s="1">
        <f t="shared" ca="1" si="165"/>
        <v>50</v>
      </c>
      <c r="D2247" s="1">
        <f t="shared" ca="1" si="167"/>
        <v>415</v>
      </c>
      <c r="E2247" s="2">
        <f t="shared" ca="1" si="168"/>
        <v>42877</v>
      </c>
      <c r="F2247" s="6">
        <f t="shared" ca="1" si="169"/>
        <v>23.586243474950862</v>
      </c>
    </row>
    <row r="2248" spans="1:6">
      <c r="A2248" s="1">
        <v>9128038</v>
      </c>
      <c r="B2248" s="1">
        <f t="shared" ca="1" si="166"/>
        <v>6.7371954852695093E-2</v>
      </c>
      <c r="C2248" s="1">
        <f t="shared" ca="1" si="165"/>
        <v>21</v>
      </c>
      <c r="D2248" s="1">
        <f t="shared" ca="1" si="167"/>
        <v>566</v>
      </c>
      <c r="E2248" s="2">
        <f t="shared" ca="1" si="168"/>
        <v>43280</v>
      </c>
      <c r="F2248" s="6">
        <f t="shared" ca="1" si="169"/>
        <v>34.247466019926186</v>
      </c>
    </row>
    <row r="2249" spans="1:6">
      <c r="A2249" s="1">
        <v>9128041</v>
      </c>
      <c r="B2249" s="1">
        <f t="shared" ca="1" si="166"/>
        <v>3.6468944687353622E-2</v>
      </c>
      <c r="C2249" s="1">
        <f t="shared" ca="1" si="165"/>
        <v>1</v>
      </c>
      <c r="D2249" s="1">
        <f t="shared" ca="1" si="167"/>
        <v>474</v>
      </c>
      <c r="E2249" s="2">
        <f t="shared" ca="1" si="168"/>
        <v>42741</v>
      </c>
      <c r="F2249" s="6">
        <f t="shared" ca="1" si="169"/>
        <v>5.9161613814865008</v>
      </c>
    </row>
    <row r="2250" spans="1:6">
      <c r="A2250" s="1">
        <v>9128044</v>
      </c>
      <c r="B2250" s="1">
        <f t="shared" ca="1" si="166"/>
        <v>0.94860134859372125</v>
      </c>
      <c r="C2250" s="1">
        <f t="shared" ca="1" si="165"/>
        <v>4</v>
      </c>
      <c r="D2250" s="1">
        <f t="shared" ca="1" si="167"/>
        <v>493</v>
      </c>
      <c r="E2250" s="2">
        <f t="shared" ca="1" si="168"/>
        <v>43483</v>
      </c>
      <c r="F2250" s="6">
        <f t="shared" ca="1" si="169"/>
        <v>10.476861272064884</v>
      </c>
    </row>
    <row r="2251" spans="1:6">
      <c r="A2251" s="1">
        <v>9128047</v>
      </c>
      <c r="B2251" s="1">
        <f t="shared" ca="1" si="166"/>
        <v>0.10541675094918712</v>
      </c>
      <c r="C2251" s="1">
        <f t="shared" ca="1" si="165"/>
        <v>17</v>
      </c>
      <c r="D2251" s="1">
        <f t="shared" ca="1" si="167"/>
        <v>165</v>
      </c>
      <c r="E2251" s="2">
        <f t="shared" ca="1" si="168"/>
        <v>42889</v>
      </c>
      <c r="F2251" s="6">
        <f t="shared" ca="1" si="169"/>
        <v>278.59635548741232</v>
      </c>
    </row>
    <row r="2252" spans="1:6">
      <c r="A2252" s="1">
        <v>9128050</v>
      </c>
      <c r="B2252" s="1">
        <f t="shared" ca="1" si="166"/>
        <v>0.45051265990877787</v>
      </c>
      <c r="C2252" s="1">
        <f t="shared" ca="1" si="165"/>
        <v>3</v>
      </c>
      <c r="D2252" s="1">
        <f t="shared" ca="1" si="167"/>
        <v>263</v>
      </c>
      <c r="E2252" s="2">
        <f t="shared" ca="1" si="168"/>
        <v>42876</v>
      </c>
      <c r="F2252" s="6">
        <f t="shared" ca="1" si="169"/>
        <v>62.716805760736037</v>
      </c>
    </row>
    <row r="2253" spans="1:6">
      <c r="A2253" s="1">
        <v>9128053</v>
      </c>
      <c r="B2253" s="1">
        <f t="shared" ca="1" si="166"/>
        <v>0.24584412667340627</v>
      </c>
      <c r="C2253" s="1">
        <f t="shared" ca="1" si="165"/>
        <v>1</v>
      </c>
      <c r="D2253" s="1">
        <f t="shared" ca="1" si="167"/>
        <v>474</v>
      </c>
      <c r="E2253" s="2">
        <f t="shared" ca="1" si="168"/>
        <v>43411</v>
      </c>
      <c r="F2253" s="6">
        <f t="shared" ca="1" si="169"/>
        <v>3.8900083395679332</v>
      </c>
    </row>
    <row r="2254" spans="1:6">
      <c r="A2254" s="1">
        <v>9128056</v>
      </c>
      <c r="B2254" s="1">
        <f t="shared" ca="1" si="166"/>
        <v>0.84877677397316276</v>
      </c>
      <c r="C2254" s="1">
        <f t="shared" ca="1" si="165"/>
        <v>1</v>
      </c>
      <c r="D2254" s="1">
        <f t="shared" ca="1" si="167"/>
        <v>474</v>
      </c>
      <c r="E2254" s="2">
        <f t="shared" ca="1" si="168"/>
        <v>43364</v>
      </c>
      <c r="F2254" s="6">
        <f t="shared" ca="1" si="169"/>
        <v>129.18421104845223</v>
      </c>
    </row>
    <row r="2255" spans="1:6">
      <c r="A2255" s="1">
        <v>9128059</v>
      </c>
      <c r="B2255" s="1">
        <f t="shared" ca="1" si="166"/>
        <v>2.3758619012612558E-2</v>
      </c>
      <c r="C2255" s="1">
        <f t="shared" ca="1" si="165"/>
        <v>6</v>
      </c>
      <c r="D2255" s="1">
        <f t="shared" ca="1" si="167"/>
        <v>208</v>
      </c>
      <c r="E2255" s="2">
        <f t="shared" ca="1" si="168"/>
        <v>42916</v>
      </c>
      <c r="F2255" s="6">
        <f t="shared" ca="1" si="169"/>
        <v>38.887256223839181</v>
      </c>
    </row>
    <row r="2256" spans="1:6">
      <c r="A2256" s="1">
        <v>9128062</v>
      </c>
      <c r="B2256" s="1">
        <f t="shared" ca="1" si="166"/>
        <v>0.66189458994117201</v>
      </c>
      <c r="C2256" s="1">
        <f t="shared" ca="1" si="165"/>
        <v>1</v>
      </c>
      <c r="D2256" s="1">
        <f t="shared" ca="1" si="167"/>
        <v>474</v>
      </c>
      <c r="E2256" s="2">
        <f t="shared" ca="1" si="168"/>
        <v>43075</v>
      </c>
      <c r="F2256" s="6">
        <f t="shared" ca="1" si="169"/>
        <v>26.501036783839719</v>
      </c>
    </row>
    <row r="2257" spans="1:6">
      <c r="A2257" s="1">
        <v>9128065</v>
      </c>
      <c r="B2257" s="1">
        <f t="shared" ca="1" si="166"/>
        <v>0.54643064392707819</v>
      </c>
      <c r="C2257" s="1">
        <f t="shared" ca="1" si="165"/>
        <v>14</v>
      </c>
      <c r="D2257" s="1">
        <f t="shared" ca="1" si="167"/>
        <v>576</v>
      </c>
      <c r="E2257" s="2">
        <f t="shared" ca="1" si="168"/>
        <v>43191</v>
      </c>
      <c r="F2257" s="6">
        <f t="shared" ca="1" si="169"/>
        <v>96.760647483531969</v>
      </c>
    </row>
    <row r="2258" spans="1:6">
      <c r="A2258" s="1">
        <v>9128068</v>
      </c>
      <c r="B2258" s="1">
        <f t="shared" ca="1" si="166"/>
        <v>0.44208518487833026</v>
      </c>
      <c r="C2258" s="1">
        <f t="shared" ca="1" si="165"/>
        <v>17</v>
      </c>
      <c r="D2258" s="1">
        <f t="shared" ca="1" si="167"/>
        <v>165</v>
      </c>
      <c r="E2258" s="2">
        <f t="shared" ca="1" si="168"/>
        <v>43395</v>
      </c>
      <c r="F2258" s="6">
        <f t="shared" ca="1" si="169"/>
        <v>12.939445627059166</v>
      </c>
    </row>
    <row r="2259" spans="1:6">
      <c r="A2259" s="1">
        <v>9128071</v>
      </c>
      <c r="B2259" s="1">
        <f t="shared" ca="1" si="166"/>
        <v>0.27549341893563339</v>
      </c>
      <c r="C2259" s="1">
        <f t="shared" ca="1" si="165"/>
        <v>137</v>
      </c>
      <c r="D2259" s="1">
        <f t="shared" ca="1" si="167"/>
        <v>101</v>
      </c>
      <c r="E2259" s="2">
        <f t="shared" ca="1" si="168"/>
        <v>43214</v>
      </c>
      <c r="F2259" s="6">
        <f t="shared" ca="1" si="169"/>
        <v>415.68080983511999</v>
      </c>
    </row>
    <row r="2260" spans="1:6">
      <c r="A2260" s="1">
        <v>9128074</v>
      </c>
      <c r="B2260" s="1">
        <f t="shared" ca="1" si="166"/>
        <v>0.44621702196762647</v>
      </c>
      <c r="C2260" s="1">
        <f t="shared" ca="1" si="165"/>
        <v>3</v>
      </c>
      <c r="D2260" s="1">
        <f t="shared" ca="1" si="167"/>
        <v>263</v>
      </c>
      <c r="E2260" s="2">
        <f t="shared" ca="1" si="168"/>
        <v>42898</v>
      </c>
      <c r="F2260" s="6">
        <f t="shared" ca="1" si="169"/>
        <v>31.408303582056206</v>
      </c>
    </row>
    <row r="2261" spans="1:6">
      <c r="A2261" s="1">
        <v>9128077</v>
      </c>
      <c r="B2261" s="1">
        <f t="shared" ca="1" si="166"/>
        <v>0.84399968441799211</v>
      </c>
      <c r="C2261" s="1">
        <f t="shared" ca="1" si="165"/>
        <v>99</v>
      </c>
      <c r="D2261" s="1">
        <f t="shared" ca="1" si="167"/>
        <v>464</v>
      </c>
      <c r="E2261" s="2">
        <f t="shared" ca="1" si="168"/>
        <v>43181</v>
      </c>
      <c r="F2261" s="6">
        <f t="shared" ca="1" si="169"/>
        <v>18.972041313109436</v>
      </c>
    </row>
    <row r="2262" spans="1:6">
      <c r="A2262" s="1">
        <v>9128080</v>
      </c>
      <c r="B2262" s="1">
        <f t="shared" ca="1" si="166"/>
        <v>0.47965174689742129</v>
      </c>
      <c r="C2262" s="1">
        <f t="shared" ca="1" si="165"/>
        <v>230</v>
      </c>
      <c r="D2262" s="1">
        <f t="shared" ca="1" si="167"/>
        <v>2</v>
      </c>
      <c r="E2262" s="2">
        <f t="shared" ca="1" si="168"/>
        <v>42946</v>
      </c>
      <c r="F2262" s="6">
        <f t="shared" ca="1" si="169"/>
        <v>13.51006742629683</v>
      </c>
    </row>
    <row r="2263" spans="1:6">
      <c r="A2263" s="1">
        <v>9128083</v>
      </c>
      <c r="B2263" s="1">
        <f t="shared" ca="1" si="166"/>
        <v>0.77702590237601177</v>
      </c>
      <c r="C2263" s="1">
        <f t="shared" ca="1" si="165"/>
        <v>1</v>
      </c>
      <c r="D2263" s="1">
        <f t="shared" ca="1" si="167"/>
        <v>474</v>
      </c>
      <c r="E2263" s="2">
        <f t="shared" ca="1" si="168"/>
        <v>43153</v>
      </c>
      <c r="F2263" s="6">
        <f t="shared" ca="1" si="169"/>
        <v>26.151711360809639</v>
      </c>
    </row>
    <row r="2264" spans="1:6">
      <c r="A2264" s="1">
        <v>9128086</v>
      </c>
      <c r="B2264" s="1">
        <f t="shared" ca="1" si="166"/>
        <v>0.38714177184574983</v>
      </c>
      <c r="C2264" s="1">
        <f t="shared" ca="1" si="165"/>
        <v>38</v>
      </c>
      <c r="D2264" s="1">
        <f t="shared" ca="1" si="167"/>
        <v>400</v>
      </c>
      <c r="E2264" s="2">
        <f t="shared" ca="1" si="168"/>
        <v>42845</v>
      </c>
      <c r="F2264" s="6">
        <f t="shared" ca="1" si="169"/>
        <v>14.463043534401397</v>
      </c>
    </row>
    <row r="2265" spans="1:6">
      <c r="A2265" s="1">
        <v>9128089</v>
      </c>
      <c r="B2265" s="1">
        <f t="shared" ca="1" si="166"/>
        <v>0.81819098874101437</v>
      </c>
      <c r="C2265" s="1">
        <f t="shared" ca="1" si="165"/>
        <v>2</v>
      </c>
      <c r="D2265" s="1">
        <f t="shared" ca="1" si="167"/>
        <v>30</v>
      </c>
      <c r="E2265" s="2">
        <f t="shared" ca="1" si="168"/>
        <v>42965</v>
      </c>
      <c r="F2265" s="6">
        <f t="shared" ca="1" si="169"/>
        <v>142.28331043122358</v>
      </c>
    </row>
    <row r="2266" spans="1:6">
      <c r="A2266" s="1">
        <v>9128092</v>
      </c>
      <c r="B2266" s="1">
        <f t="shared" ca="1" si="166"/>
        <v>0.4600840982853952</v>
      </c>
      <c r="C2266" s="1">
        <f t="shared" ca="1" si="165"/>
        <v>9</v>
      </c>
      <c r="D2266" s="1">
        <f t="shared" ca="1" si="167"/>
        <v>278</v>
      </c>
      <c r="E2266" s="2">
        <f t="shared" ca="1" si="168"/>
        <v>42959</v>
      </c>
      <c r="F2266" s="6">
        <f t="shared" ca="1" si="169"/>
        <v>30.418133369596092</v>
      </c>
    </row>
    <row r="2267" spans="1:6">
      <c r="A2267" s="1">
        <v>9128095</v>
      </c>
      <c r="B2267" s="1">
        <f t="shared" ca="1" si="166"/>
        <v>5.9203712393434693E-2</v>
      </c>
      <c r="C2267" s="1">
        <f t="shared" ref="C2267:C2330" ca="1" si="170">ROUND(_xlfn.GAMMA.INV(RAND(),$J$11,$J$12)*100,0)+1</f>
        <v>74</v>
      </c>
      <c r="D2267" s="1">
        <f t="shared" ca="1" si="167"/>
        <v>450</v>
      </c>
      <c r="E2267" s="2">
        <f t="shared" ca="1" si="168"/>
        <v>43206</v>
      </c>
      <c r="F2267" s="6">
        <f t="shared" ca="1" si="169"/>
        <v>52.391720164851385</v>
      </c>
    </row>
    <row r="2268" spans="1:6">
      <c r="A2268" s="1">
        <v>9128098</v>
      </c>
      <c r="B2268" s="1">
        <f t="shared" ca="1" si="166"/>
        <v>0.14499640779649181</v>
      </c>
      <c r="C2268" s="1">
        <f t="shared" ca="1" si="170"/>
        <v>15</v>
      </c>
      <c r="D2268" s="1">
        <f t="shared" ca="1" si="167"/>
        <v>284</v>
      </c>
      <c r="E2268" s="2">
        <f t="shared" ca="1" si="168"/>
        <v>43407</v>
      </c>
      <c r="F2268" s="6">
        <f t="shared" ca="1" si="169"/>
        <v>342.16274338775764</v>
      </c>
    </row>
    <row r="2269" spans="1:6">
      <c r="A2269" s="1">
        <v>9128101</v>
      </c>
      <c r="B2269" s="1">
        <f t="shared" ca="1" si="166"/>
        <v>0.90923433085370853</v>
      </c>
      <c r="C2269" s="1">
        <f t="shared" ca="1" si="170"/>
        <v>4</v>
      </c>
      <c r="D2269" s="1">
        <f t="shared" ca="1" si="167"/>
        <v>493</v>
      </c>
      <c r="E2269" s="2">
        <f t="shared" ca="1" si="168"/>
        <v>42921</v>
      </c>
      <c r="F2269" s="6">
        <f t="shared" ca="1" si="169"/>
        <v>8.6302032823214976</v>
      </c>
    </row>
    <row r="2270" spans="1:6">
      <c r="A2270" s="1">
        <v>9128104</v>
      </c>
      <c r="B2270" s="1">
        <f t="shared" ca="1" si="166"/>
        <v>0.84214418801086921</v>
      </c>
      <c r="C2270" s="1">
        <f t="shared" ca="1" si="170"/>
        <v>174</v>
      </c>
      <c r="D2270" s="1">
        <f t="shared" ca="1" si="167"/>
        <v>309</v>
      </c>
      <c r="E2270" s="2">
        <f t="shared" ca="1" si="168"/>
        <v>43328</v>
      </c>
      <c r="F2270" s="6">
        <f t="shared" ca="1" si="169"/>
        <v>12.375776219408101</v>
      </c>
    </row>
    <row r="2271" spans="1:6">
      <c r="A2271" s="1">
        <v>9128107</v>
      </c>
      <c r="B2271" s="1">
        <f t="shared" ca="1" si="166"/>
        <v>8.4441548474714856E-2</v>
      </c>
      <c r="C2271" s="1">
        <f t="shared" ca="1" si="170"/>
        <v>307</v>
      </c>
      <c r="D2271" s="1">
        <f t="shared" ca="1" si="167"/>
        <v>592</v>
      </c>
      <c r="E2271" s="2">
        <f t="shared" ca="1" si="168"/>
        <v>43007</v>
      </c>
      <c r="F2271" s="6">
        <f t="shared" ca="1" si="169"/>
        <v>3.3029980390894962</v>
      </c>
    </row>
    <row r="2272" spans="1:6">
      <c r="A2272" s="1">
        <v>9128110</v>
      </c>
      <c r="B2272" s="1">
        <f t="shared" ca="1" si="166"/>
        <v>0.71591358517275239</v>
      </c>
      <c r="C2272" s="1">
        <f t="shared" ca="1" si="170"/>
        <v>59</v>
      </c>
      <c r="D2272" s="1">
        <f t="shared" ca="1" si="167"/>
        <v>95</v>
      </c>
      <c r="E2272" s="2">
        <f t="shared" ca="1" si="168"/>
        <v>43280</v>
      </c>
      <c r="F2272" s="6">
        <f t="shared" ca="1" si="169"/>
        <v>11.388571543558854</v>
      </c>
    </row>
    <row r="2273" spans="1:6">
      <c r="A2273" s="1">
        <v>9128113</v>
      </c>
      <c r="B2273" s="1">
        <f t="shared" ca="1" si="166"/>
        <v>0.44025227203117856</v>
      </c>
      <c r="C2273" s="1">
        <f t="shared" ca="1" si="170"/>
        <v>31</v>
      </c>
      <c r="D2273" s="1">
        <f t="shared" ca="1" si="167"/>
        <v>535</v>
      </c>
      <c r="E2273" s="2">
        <f t="shared" ca="1" si="168"/>
        <v>42800</v>
      </c>
      <c r="F2273" s="6">
        <f t="shared" ca="1" si="169"/>
        <v>4.3798303400012761</v>
      </c>
    </row>
    <row r="2274" spans="1:6">
      <c r="A2274" s="1">
        <v>9128116</v>
      </c>
      <c r="B2274" s="1">
        <f t="shared" ca="1" si="166"/>
        <v>0.54230008843105115</v>
      </c>
      <c r="C2274" s="1">
        <f t="shared" ca="1" si="170"/>
        <v>50</v>
      </c>
      <c r="D2274" s="1">
        <f t="shared" ca="1" si="167"/>
        <v>415</v>
      </c>
      <c r="E2274" s="2">
        <f t="shared" ca="1" si="168"/>
        <v>42810</v>
      </c>
      <c r="F2274" s="6">
        <f t="shared" ca="1" si="169"/>
        <v>13.823738352229986</v>
      </c>
    </row>
    <row r="2275" spans="1:6">
      <c r="A2275" s="1">
        <v>9128119</v>
      </c>
      <c r="B2275" s="1">
        <f t="shared" ca="1" si="166"/>
        <v>0.71861187193404541</v>
      </c>
      <c r="C2275" s="1">
        <f t="shared" ca="1" si="170"/>
        <v>2</v>
      </c>
      <c r="D2275" s="1">
        <f t="shared" ca="1" si="167"/>
        <v>30</v>
      </c>
      <c r="E2275" s="2">
        <f t="shared" ca="1" si="168"/>
        <v>42916</v>
      </c>
      <c r="F2275" s="6">
        <f t="shared" ca="1" si="169"/>
        <v>3.166779474314168</v>
      </c>
    </row>
    <row r="2276" spans="1:6">
      <c r="A2276" s="1">
        <v>9128122</v>
      </c>
      <c r="B2276" s="1">
        <f t="shared" ca="1" si="166"/>
        <v>0.47921702887513284</v>
      </c>
      <c r="C2276" s="1">
        <f t="shared" ca="1" si="170"/>
        <v>4</v>
      </c>
      <c r="D2276" s="1">
        <f t="shared" ca="1" si="167"/>
        <v>493</v>
      </c>
      <c r="E2276" s="2">
        <f t="shared" ca="1" si="168"/>
        <v>43298</v>
      </c>
      <c r="F2276" s="6">
        <f t="shared" ca="1" si="169"/>
        <v>11.674031592662484</v>
      </c>
    </row>
    <row r="2277" spans="1:6">
      <c r="A2277" s="1">
        <v>9128125</v>
      </c>
      <c r="B2277" s="1">
        <f t="shared" ca="1" si="166"/>
        <v>0.40916546020359645</v>
      </c>
      <c r="C2277" s="1">
        <f t="shared" ca="1" si="170"/>
        <v>108</v>
      </c>
      <c r="D2277" s="1">
        <f t="shared" ca="1" si="167"/>
        <v>530</v>
      </c>
      <c r="E2277" s="2">
        <f t="shared" ca="1" si="168"/>
        <v>43143</v>
      </c>
      <c r="F2277" s="6">
        <f t="shared" ca="1" si="169"/>
        <v>21.79726002923784</v>
      </c>
    </row>
    <row r="2278" spans="1:6">
      <c r="A2278" s="1">
        <v>9128128</v>
      </c>
      <c r="B2278" s="1">
        <f t="shared" ca="1" si="166"/>
        <v>0.77306919879116742</v>
      </c>
      <c r="C2278" s="1">
        <f t="shared" ca="1" si="170"/>
        <v>2</v>
      </c>
      <c r="D2278" s="1">
        <f t="shared" ca="1" si="167"/>
        <v>30</v>
      </c>
      <c r="E2278" s="2">
        <f t="shared" ca="1" si="168"/>
        <v>42746</v>
      </c>
      <c r="F2278" s="6">
        <f t="shared" ca="1" si="169"/>
        <v>79.857179968255238</v>
      </c>
    </row>
    <row r="2279" spans="1:6">
      <c r="A2279" s="1">
        <v>9128131</v>
      </c>
      <c r="B2279" s="1">
        <f t="shared" ca="1" si="166"/>
        <v>0.78626145868901842</v>
      </c>
      <c r="C2279" s="1">
        <f t="shared" ca="1" si="170"/>
        <v>9</v>
      </c>
      <c r="D2279" s="1">
        <f t="shared" ca="1" si="167"/>
        <v>278</v>
      </c>
      <c r="E2279" s="2">
        <f t="shared" ca="1" si="168"/>
        <v>43088</v>
      </c>
      <c r="F2279" s="6">
        <f t="shared" ca="1" si="169"/>
        <v>4.5904992918852061</v>
      </c>
    </row>
    <row r="2280" spans="1:6">
      <c r="A2280" s="1">
        <v>9128134</v>
      </c>
      <c r="B2280" s="1">
        <f t="shared" ca="1" si="166"/>
        <v>0.20698801355253349</v>
      </c>
      <c r="C2280" s="1">
        <f t="shared" ca="1" si="170"/>
        <v>30</v>
      </c>
      <c r="D2280" s="1">
        <f t="shared" ca="1" si="167"/>
        <v>53</v>
      </c>
      <c r="E2280" s="2">
        <f t="shared" ca="1" si="168"/>
        <v>43388</v>
      </c>
      <c r="F2280" s="6">
        <f t="shared" ca="1" si="169"/>
        <v>105.67290194627803</v>
      </c>
    </row>
    <row r="2281" spans="1:6">
      <c r="A2281" s="1">
        <v>9128137</v>
      </c>
      <c r="B2281" s="1">
        <f t="shared" ca="1" si="166"/>
        <v>0.28096075165604106</v>
      </c>
      <c r="C2281" s="1">
        <f t="shared" ca="1" si="170"/>
        <v>213</v>
      </c>
      <c r="D2281" s="1">
        <f t="shared" ca="1" si="167"/>
        <v>361</v>
      </c>
      <c r="E2281" s="2">
        <f t="shared" ca="1" si="168"/>
        <v>43109</v>
      </c>
      <c r="F2281" s="6">
        <f t="shared" ca="1" si="169"/>
        <v>39.253014564420987</v>
      </c>
    </row>
    <row r="2282" spans="1:6">
      <c r="A2282" s="1">
        <v>9128140</v>
      </c>
      <c r="B2282" s="1">
        <f t="shared" ca="1" si="166"/>
        <v>0.67422789774602843</v>
      </c>
      <c r="C2282" s="1">
        <f t="shared" ca="1" si="170"/>
        <v>69</v>
      </c>
      <c r="D2282" s="1">
        <f t="shared" ca="1" si="167"/>
        <v>142</v>
      </c>
      <c r="E2282" s="2">
        <f t="shared" ca="1" si="168"/>
        <v>43447</v>
      </c>
      <c r="F2282" s="6">
        <f t="shared" ca="1" si="169"/>
        <v>101.1265117577245</v>
      </c>
    </row>
    <row r="2283" spans="1:6">
      <c r="A2283" s="1">
        <v>9128143</v>
      </c>
      <c r="B2283" s="1">
        <f t="shared" ca="1" si="166"/>
        <v>0.75120733690951103</v>
      </c>
      <c r="C2283" s="1">
        <f t="shared" ca="1" si="170"/>
        <v>2</v>
      </c>
      <c r="D2283" s="1">
        <f t="shared" ca="1" si="167"/>
        <v>30</v>
      </c>
      <c r="E2283" s="2">
        <f t="shared" ca="1" si="168"/>
        <v>43336</v>
      </c>
      <c r="F2283" s="6">
        <f t="shared" ca="1" si="169"/>
        <v>3.7028613592195456</v>
      </c>
    </row>
    <row r="2284" spans="1:6">
      <c r="A2284" s="1">
        <v>9128146</v>
      </c>
      <c r="B2284" s="1">
        <f t="shared" ca="1" si="166"/>
        <v>0.11561289835316291</v>
      </c>
      <c r="C2284" s="1">
        <f t="shared" ca="1" si="170"/>
        <v>34</v>
      </c>
      <c r="D2284" s="1">
        <f t="shared" ca="1" si="167"/>
        <v>503</v>
      </c>
      <c r="E2284" s="2">
        <f t="shared" ca="1" si="168"/>
        <v>43125</v>
      </c>
      <c r="F2284" s="6">
        <f t="shared" ca="1" si="169"/>
        <v>15.461084163107476</v>
      </c>
    </row>
    <row r="2285" spans="1:6">
      <c r="A2285" s="1">
        <v>9128149</v>
      </c>
      <c r="B2285" s="1">
        <f t="shared" ca="1" si="166"/>
        <v>0.46345753014764335</v>
      </c>
      <c r="C2285" s="1">
        <f t="shared" ca="1" si="170"/>
        <v>75</v>
      </c>
      <c r="D2285" s="1">
        <f t="shared" ca="1" si="167"/>
        <v>599</v>
      </c>
      <c r="E2285" s="2">
        <f t="shared" ca="1" si="168"/>
        <v>43330</v>
      </c>
      <c r="F2285" s="6">
        <f t="shared" ca="1" si="169"/>
        <v>3.0912370070761783</v>
      </c>
    </row>
    <row r="2286" spans="1:6">
      <c r="A2286" s="1">
        <v>9128152</v>
      </c>
      <c r="B2286" s="1">
        <f t="shared" ca="1" si="166"/>
        <v>0.46119992385171349</v>
      </c>
      <c r="C2286" s="1">
        <f t="shared" ca="1" si="170"/>
        <v>3</v>
      </c>
      <c r="D2286" s="1">
        <f t="shared" ca="1" si="167"/>
        <v>263</v>
      </c>
      <c r="E2286" s="2">
        <f t="shared" ca="1" si="168"/>
        <v>43223</v>
      </c>
      <c r="F2286" s="6">
        <f t="shared" ca="1" si="169"/>
        <v>14.435410636660766</v>
      </c>
    </row>
    <row r="2287" spans="1:6">
      <c r="A2287" s="1">
        <v>9128155</v>
      </c>
      <c r="B2287" s="1">
        <f t="shared" ca="1" si="166"/>
        <v>0.53907670457673218</v>
      </c>
      <c r="C2287" s="1">
        <f t="shared" ca="1" si="170"/>
        <v>67</v>
      </c>
      <c r="D2287" s="1">
        <f t="shared" ca="1" si="167"/>
        <v>259</v>
      </c>
      <c r="E2287" s="2">
        <f t="shared" ca="1" si="168"/>
        <v>42898</v>
      </c>
      <c r="F2287" s="6">
        <f t="shared" ca="1" si="169"/>
        <v>58.022198888264029</v>
      </c>
    </row>
    <row r="2288" spans="1:6">
      <c r="A2288" s="1">
        <v>9128158</v>
      </c>
      <c r="B2288" s="1">
        <f t="shared" ca="1" si="166"/>
        <v>0.24688202224229117</v>
      </c>
      <c r="C2288" s="1">
        <f t="shared" ca="1" si="170"/>
        <v>3</v>
      </c>
      <c r="D2288" s="1">
        <f t="shared" ca="1" si="167"/>
        <v>263</v>
      </c>
      <c r="E2288" s="2">
        <f t="shared" ca="1" si="168"/>
        <v>43422</v>
      </c>
      <c r="F2288" s="6">
        <f t="shared" ca="1" si="169"/>
        <v>26.936905717694096</v>
      </c>
    </row>
    <row r="2289" spans="1:6">
      <c r="A2289" s="1">
        <v>9128161</v>
      </c>
      <c r="B2289" s="1">
        <f t="shared" ca="1" si="166"/>
        <v>0.84299368188028778</v>
      </c>
      <c r="C2289" s="1">
        <f t="shared" ca="1" si="170"/>
        <v>65</v>
      </c>
      <c r="D2289" s="1">
        <f t="shared" ca="1" si="167"/>
        <v>463</v>
      </c>
      <c r="E2289" s="2">
        <f t="shared" ca="1" si="168"/>
        <v>43419</v>
      </c>
      <c r="F2289" s="6">
        <f t="shared" ca="1" si="169"/>
        <v>9.8256650125615632</v>
      </c>
    </row>
    <row r="2290" spans="1:6">
      <c r="A2290" s="1">
        <v>9128164</v>
      </c>
      <c r="B2290" s="1">
        <f t="shared" ca="1" si="166"/>
        <v>0.85075158358381753</v>
      </c>
      <c r="C2290" s="1">
        <f t="shared" ca="1" si="170"/>
        <v>277</v>
      </c>
      <c r="D2290" s="1">
        <f t="shared" ca="1" si="167"/>
        <v>215</v>
      </c>
      <c r="E2290" s="2">
        <f t="shared" ca="1" si="168"/>
        <v>42894</v>
      </c>
      <c r="F2290" s="6">
        <f t="shared" ca="1" si="169"/>
        <v>5.4339985080716549</v>
      </c>
    </row>
    <row r="2291" spans="1:6">
      <c r="A2291" s="1">
        <v>9128167</v>
      </c>
      <c r="B2291" s="1">
        <f t="shared" ca="1" si="166"/>
        <v>0.70309957201418138</v>
      </c>
      <c r="C2291" s="1">
        <f t="shared" ca="1" si="170"/>
        <v>68</v>
      </c>
      <c r="D2291" s="1">
        <f t="shared" ca="1" si="167"/>
        <v>467</v>
      </c>
      <c r="E2291" s="2">
        <f t="shared" ca="1" si="168"/>
        <v>43094</v>
      </c>
      <c r="F2291" s="6">
        <f t="shared" ca="1" si="169"/>
        <v>175.93578383929446</v>
      </c>
    </row>
    <row r="2292" spans="1:6">
      <c r="A2292" s="1">
        <v>9128170</v>
      </c>
      <c r="B2292" s="1">
        <f t="shared" ca="1" si="166"/>
        <v>2.4688010617296419E-3</v>
      </c>
      <c r="C2292" s="1">
        <f t="shared" ca="1" si="170"/>
        <v>7</v>
      </c>
      <c r="D2292" s="1">
        <f t="shared" ca="1" si="167"/>
        <v>138</v>
      </c>
      <c r="E2292" s="2">
        <f t="shared" ca="1" si="168"/>
        <v>42791</v>
      </c>
      <c r="F2292" s="6">
        <f t="shared" ca="1" si="169"/>
        <v>16.345926979068079</v>
      </c>
    </row>
    <row r="2293" spans="1:6">
      <c r="A2293" s="1">
        <v>9128173</v>
      </c>
      <c r="B2293" s="1">
        <f t="shared" ca="1" si="166"/>
        <v>0.33618058003981899</v>
      </c>
      <c r="C2293" s="1">
        <f t="shared" ca="1" si="170"/>
        <v>88</v>
      </c>
      <c r="D2293" s="1">
        <f t="shared" ca="1" si="167"/>
        <v>253</v>
      </c>
      <c r="E2293" s="2">
        <f t="shared" ca="1" si="168"/>
        <v>42758</v>
      </c>
      <c r="F2293" s="6">
        <f t="shared" ca="1" si="169"/>
        <v>35.986575317660069</v>
      </c>
    </row>
    <row r="2294" spans="1:6">
      <c r="A2294" s="1">
        <v>9128176</v>
      </c>
      <c r="B2294" s="1">
        <f t="shared" ca="1" si="166"/>
        <v>0.34569426455111096</v>
      </c>
      <c r="C2294" s="1">
        <f t="shared" ca="1" si="170"/>
        <v>16</v>
      </c>
      <c r="D2294" s="1">
        <f t="shared" ca="1" si="167"/>
        <v>465</v>
      </c>
      <c r="E2294" s="2">
        <f t="shared" ca="1" si="168"/>
        <v>42799</v>
      </c>
      <c r="F2294" s="6">
        <f t="shared" ca="1" si="169"/>
        <v>60.007842231885455</v>
      </c>
    </row>
    <row r="2295" spans="1:6">
      <c r="A2295" s="1">
        <v>9128179</v>
      </c>
      <c r="B2295" s="1">
        <f t="shared" ca="1" si="166"/>
        <v>7.7484018539957011E-2</v>
      </c>
      <c r="C2295" s="1">
        <f t="shared" ca="1" si="170"/>
        <v>60</v>
      </c>
      <c r="D2295" s="1">
        <f t="shared" ca="1" si="167"/>
        <v>422</v>
      </c>
      <c r="E2295" s="2">
        <f t="shared" ca="1" si="168"/>
        <v>42861</v>
      </c>
      <c r="F2295" s="6">
        <f t="shared" ca="1" si="169"/>
        <v>39.64793153864818</v>
      </c>
    </row>
    <row r="2296" spans="1:6">
      <c r="A2296" s="1">
        <v>9128182</v>
      </c>
      <c r="B2296" s="1">
        <f t="shared" ca="1" si="166"/>
        <v>0.30414878801497303</v>
      </c>
      <c r="C2296" s="1">
        <f t="shared" ca="1" si="170"/>
        <v>4</v>
      </c>
      <c r="D2296" s="1">
        <f t="shared" ca="1" si="167"/>
        <v>493</v>
      </c>
      <c r="E2296" s="2">
        <f t="shared" ca="1" si="168"/>
        <v>42999</v>
      </c>
      <c r="F2296" s="6">
        <f t="shared" ca="1" si="169"/>
        <v>19.100239424965292</v>
      </c>
    </row>
    <row r="2297" spans="1:6">
      <c r="A2297" s="1">
        <v>9128185</v>
      </c>
      <c r="B2297" s="1">
        <f t="shared" ca="1" si="166"/>
        <v>0.58803753220396981</v>
      </c>
      <c r="C2297" s="1">
        <f t="shared" ca="1" si="170"/>
        <v>110</v>
      </c>
      <c r="D2297" s="1">
        <f t="shared" ca="1" si="167"/>
        <v>144</v>
      </c>
      <c r="E2297" s="2">
        <f t="shared" ca="1" si="168"/>
        <v>43089</v>
      </c>
      <c r="F2297" s="6">
        <f t="shared" ca="1" si="169"/>
        <v>7.7789476997484241</v>
      </c>
    </row>
    <row r="2298" spans="1:6">
      <c r="A2298" s="1">
        <v>9128188</v>
      </c>
      <c r="B2298" s="1">
        <f t="shared" ca="1" si="166"/>
        <v>0.79749082056353482</v>
      </c>
      <c r="C2298" s="1">
        <f t="shared" ca="1" si="170"/>
        <v>7</v>
      </c>
      <c r="D2298" s="1">
        <f t="shared" ca="1" si="167"/>
        <v>138</v>
      </c>
      <c r="E2298" s="2">
        <f t="shared" ca="1" si="168"/>
        <v>43024</v>
      </c>
      <c r="F2298" s="6">
        <f t="shared" ca="1" si="169"/>
        <v>27.158342066089116</v>
      </c>
    </row>
    <row r="2299" spans="1:6">
      <c r="A2299" s="1">
        <v>9128191</v>
      </c>
      <c r="B2299" s="1">
        <f t="shared" ca="1" si="166"/>
        <v>0.89700603680980318</v>
      </c>
      <c r="C2299" s="1">
        <f t="shared" ca="1" si="170"/>
        <v>6</v>
      </c>
      <c r="D2299" s="1">
        <f t="shared" ca="1" si="167"/>
        <v>208</v>
      </c>
      <c r="E2299" s="2">
        <f t="shared" ca="1" si="168"/>
        <v>43418</v>
      </c>
      <c r="F2299" s="6">
        <f t="shared" ca="1" si="169"/>
        <v>7.379137911335917</v>
      </c>
    </row>
    <row r="2300" spans="1:6">
      <c r="A2300" s="1">
        <v>9128194</v>
      </c>
      <c r="B2300" s="1">
        <f t="shared" ca="1" si="166"/>
        <v>0.10750736119488868</v>
      </c>
      <c r="C2300" s="1">
        <f t="shared" ca="1" si="170"/>
        <v>2</v>
      </c>
      <c r="D2300" s="1">
        <f t="shared" ca="1" si="167"/>
        <v>30</v>
      </c>
      <c r="E2300" s="2">
        <f t="shared" ca="1" si="168"/>
        <v>42920</v>
      </c>
      <c r="F2300" s="6">
        <f t="shared" ca="1" si="169"/>
        <v>135.41925734369991</v>
      </c>
    </row>
    <row r="2301" spans="1:6">
      <c r="A2301" s="1">
        <v>9128197</v>
      </c>
      <c r="B2301" s="1">
        <f t="shared" ca="1" si="166"/>
        <v>0.53244698203500596</v>
      </c>
      <c r="C2301" s="1">
        <f t="shared" ca="1" si="170"/>
        <v>4</v>
      </c>
      <c r="D2301" s="1">
        <f t="shared" ca="1" si="167"/>
        <v>493</v>
      </c>
      <c r="E2301" s="2">
        <f t="shared" ca="1" si="168"/>
        <v>43166</v>
      </c>
      <c r="F2301" s="6">
        <f t="shared" ca="1" si="169"/>
        <v>3.7961383859389235</v>
      </c>
    </row>
    <row r="2302" spans="1:6">
      <c r="A2302" s="1">
        <v>9128200</v>
      </c>
      <c r="B2302" s="1">
        <f t="shared" ca="1" si="166"/>
        <v>0.92497521208611455</v>
      </c>
      <c r="C2302" s="1">
        <f t="shared" ca="1" si="170"/>
        <v>7</v>
      </c>
      <c r="D2302" s="1">
        <f t="shared" ca="1" si="167"/>
        <v>138</v>
      </c>
      <c r="E2302" s="2">
        <f t="shared" ca="1" si="168"/>
        <v>42863</v>
      </c>
      <c r="F2302" s="6">
        <f t="shared" ca="1" si="169"/>
        <v>13.673834133026237</v>
      </c>
    </row>
    <row r="2303" spans="1:6">
      <c r="A2303" s="1">
        <v>9128203</v>
      </c>
      <c r="B2303" s="1">
        <f t="shared" ca="1" si="166"/>
        <v>0.85383605313040212</v>
      </c>
      <c r="C2303" s="1">
        <f t="shared" ca="1" si="170"/>
        <v>77</v>
      </c>
      <c r="D2303" s="1">
        <f t="shared" ca="1" si="167"/>
        <v>552</v>
      </c>
      <c r="E2303" s="2">
        <f t="shared" ca="1" si="168"/>
        <v>43051</v>
      </c>
      <c r="F2303" s="6">
        <f t="shared" ca="1" si="169"/>
        <v>16.647155956309035</v>
      </c>
    </row>
    <row r="2304" spans="1:6">
      <c r="A2304" s="1">
        <v>9128206</v>
      </c>
      <c r="B2304" s="1">
        <f t="shared" ca="1" si="166"/>
        <v>0.15674841424735741</v>
      </c>
      <c r="C2304" s="1">
        <f t="shared" ca="1" si="170"/>
        <v>35</v>
      </c>
      <c r="D2304" s="1">
        <f t="shared" ca="1" si="167"/>
        <v>423</v>
      </c>
      <c r="E2304" s="2">
        <f t="shared" ca="1" si="168"/>
        <v>43258</v>
      </c>
      <c r="F2304" s="6">
        <f t="shared" ca="1" si="169"/>
        <v>135.37168433728903</v>
      </c>
    </row>
    <row r="2305" spans="1:6">
      <c r="A2305" s="1">
        <v>9128209</v>
      </c>
      <c r="B2305" s="1">
        <f t="shared" ca="1" si="166"/>
        <v>0.97653504094398624</v>
      </c>
      <c r="C2305" s="1">
        <f t="shared" ca="1" si="170"/>
        <v>165</v>
      </c>
      <c r="D2305" s="1">
        <f t="shared" ca="1" si="167"/>
        <v>354</v>
      </c>
      <c r="E2305" s="2">
        <f t="shared" ca="1" si="168"/>
        <v>43407</v>
      </c>
      <c r="F2305" s="6">
        <f t="shared" ca="1" si="169"/>
        <v>21.482595163058711</v>
      </c>
    </row>
    <row r="2306" spans="1:6">
      <c r="A2306" s="1">
        <v>9128212</v>
      </c>
      <c r="B2306" s="1">
        <f t="shared" ref="B2306:B2369" ca="1" si="171">RAND()</f>
        <v>0.55948546131467713</v>
      </c>
      <c r="C2306" s="1">
        <f t="shared" ca="1" si="170"/>
        <v>27</v>
      </c>
      <c r="D2306" s="1">
        <f t="shared" ca="1" si="167"/>
        <v>398</v>
      </c>
      <c r="E2306" s="2">
        <f t="shared" ca="1" si="168"/>
        <v>43319</v>
      </c>
      <c r="F2306" s="6">
        <f t="shared" ca="1" si="169"/>
        <v>8.5997938914095684</v>
      </c>
    </row>
    <row r="2307" spans="1:6">
      <c r="A2307" s="1">
        <v>9128215</v>
      </c>
      <c r="B2307" s="1">
        <f t="shared" ca="1" si="171"/>
        <v>0.29357969777567561</v>
      </c>
      <c r="C2307" s="1">
        <f t="shared" ca="1" si="170"/>
        <v>6</v>
      </c>
      <c r="D2307" s="1">
        <f t="shared" ref="D2307:D2370" ca="1" si="172">VLOOKUP(SMALL($B$2:$B$601,C2307),$B$2:$C$601,2,FALSE)</f>
        <v>208</v>
      </c>
      <c r="E2307" s="2">
        <f t="shared" ref="E2307:E2370" ca="1" si="173">RANDBETWEEN("1/1/17","2/1/19")</f>
        <v>42930</v>
      </c>
      <c r="F2307" s="6">
        <f t="shared" ref="F2307:F2370" ca="1" si="174">_xlfn.GAMMA.INV(RAND(),$J$6,$J$7)*100+3</f>
        <v>10.789853893504041</v>
      </c>
    </row>
    <row r="2308" spans="1:6">
      <c r="A2308" s="1">
        <v>9128218</v>
      </c>
      <c r="B2308" s="1">
        <f t="shared" ca="1" si="171"/>
        <v>0.93319674238843198</v>
      </c>
      <c r="C2308" s="1">
        <f t="shared" ca="1" si="170"/>
        <v>25</v>
      </c>
      <c r="D2308" s="1">
        <f t="shared" ca="1" si="172"/>
        <v>257</v>
      </c>
      <c r="E2308" s="2">
        <f t="shared" ca="1" si="173"/>
        <v>42956</v>
      </c>
      <c r="F2308" s="6">
        <f t="shared" ca="1" si="174"/>
        <v>125.99649866636241</v>
      </c>
    </row>
    <row r="2309" spans="1:6">
      <c r="A2309" s="1">
        <v>9128221</v>
      </c>
      <c r="B2309" s="1">
        <f t="shared" ca="1" si="171"/>
        <v>0.39669553279684411</v>
      </c>
      <c r="C2309" s="1">
        <f t="shared" ca="1" si="170"/>
        <v>1</v>
      </c>
      <c r="D2309" s="1">
        <f t="shared" ca="1" si="172"/>
        <v>474</v>
      </c>
      <c r="E2309" s="2">
        <f t="shared" ca="1" si="173"/>
        <v>43283</v>
      </c>
      <c r="F2309" s="6">
        <f t="shared" ca="1" si="174"/>
        <v>45.230963858149281</v>
      </c>
    </row>
    <row r="2310" spans="1:6">
      <c r="A2310" s="1">
        <v>9128224</v>
      </c>
      <c r="B2310" s="1">
        <f t="shared" ca="1" si="171"/>
        <v>0.57687786451412881</v>
      </c>
      <c r="C2310" s="1">
        <f t="shared" ca="1" si="170"/>
        <v>3</v>
      </c>
      <c r="D2310" s="1">
        <f t="shared" ca="1" si="172"/>
        <v>263</v>
      </c>
      <c r="E2310" s="2">
        <f t="shared" ca="1" si="173"/>
        <v>43052</v>
      </c>
      <c r="F2310" s="6">
        <f t="shared" ca="1" si="174"/>
        <v>3.87290331883493</v>
      </c>
    </row>
    <row r="2311" spans="1:6">
      <c r="A2311" s="1">
        <v>9128227</v>
      </c>
      <c r="B2311" s="1">
        <f t="shared" ca="1" si="171"/>
        <v>0.92864435790280175</v>
      </c>
      <c r="C2311" s="1">
        <f t="shared" ca="1" si="170"/>
        <v>107</v>
      </c>
      <c r="D2311" s="1">
        <f t="shared" ca="1" si="172"/>
        <v>173</v>
      </c>
      <c r="E2311" s="2">
        <f t="shared" ca="1" si="173"/>
        <v>43292</v>
      </c>
      <c r="F2311" s="6">
        <f t="shared" ca="1" si="174"/>
        <v>323.89165379153485</v>
      </c>
    </row>
    <row r="2312" spans="1:6">
      <c r="A2312" s="1">
        <v>9128230</v>
      </c>
      <c r="B2312" s="1">
        <f t="shared" ca="1" si="171"/>
        <v>0.13187670654698014</v>
      </c>
      <c r="C2312" s="1">
        <f t="shared" ca="1" si="170"/>
        <v>61</v>
      </c>
      <c r="D2312" s="1">
        <f t="shared" ca="1" si="172"/>
        <v>92</v>
      </c>
      <c r="E2312" s="2">
        <f t="shared" ca="1" si="173"/>
        <v>43188</v>
      </c>
      <c r="F2312" s="6">
        <f t="shared" ca="1" si="174"/>
        <v>33.659241321918856</v>
      </c>
    </row>
    <row r="2313" spans="1:6">
      <c r="A2313" s="1">
        <v>9128233</v>
      </c>
      <c r="B2313" s="1">
        <f t="shared" ca="1" si="171"/>
        <v>8.5114447815995309E-2</v>
      </c>
      <c r="C2313" s="1">
        <f t="shared" ca="1" si="170"/>
        <v>237</v>
      </c>
      <c r="D2313" s="1">
        <f t="shared" ca="1" si="172"/>
        <v>469</v>
      </c>
      <c r="E2313" s="2">
        <f t="shared" ca="1" si="173"/>
        <v>43317</v>
      </c>
      <c r="F2313" s="6">
        <f t="shared" ca="1" si="174"/>
        <v>21.638168460164856</v>
      </c>
    </row>
    <row r="2314" spans="1:6">
      <c r="A2314" s="1">
        <v>9128236</v>
      </c>
      <c r="B2314" s="1">
        <f t="shared" ca="1" si="171"/>
        <v>0.73301533565760513</v>
      </c>
      <c r="C2314" s="1">
        <f t="shared" ca="1" si="170"/>
        <v>1</v>
      </c>
      <c r="D2314" s="1">
        <f t="shared" ca="1" si="172"/>
        <v>474</v>
      </c>
      <c r="E2314" s="2">
        <f t="shared" ca="1" si="173"/>
        <v>43259</v>
      </c>
      <c r="F2314" s="6">
        <f t="shared" ca="1" si="174"/>
        <v>61.336651333984925</v>
      </c>
    </row>
    <row r="2315" spans="1:6">
      <c r="A2315" s="1">
        <v>9128239</v>
      </c>
      <c r="B2315" s="1">
        <f t="shared" ca="1" si="171"/>
        <v>0.33210962377490627</v>
      </c>
      <c r="C2315" s="1">
        <f t="shared" ca="1" si="170"/>
        <v>1</v>
      </c>
      <c r="D2315" s="1">
        <f t="shared" ca="1" si="172"/>
        <v>474</v>
      </c>
      <c r="E2315" s="2">
        <f t="shared" ca="1" si="173"/>
        <v>42845</v>
      </c>
      <c r="F2315" s="6">
        <f t="shared" ca="1" si="174"/>
        <v>3.9101308840069149</v>
      </c>
    </row>
    <row r="2316" spans="1:6">
      <c r="A2316" s="1">
        <v>9128242</v>
      </c>
      <c r="B2316" s="1">
        <f t="shared" ca="1" si="171"/>
        <v>0.23264635092685526</v>
      </c>
      <c r="C2316" s="1">
        <f t="shared" ca="1" si="170"/>
        <v>2</v>
      </c>
      <c r="D2316" s="1">
        <f t="shared" ca="1" si="172"/>
        <v>30</v>
      </c>
      <c r="E2316" s="2">
        <f t="shared" ca="1" si="173"/>
        <v>43314</v>
      </c>
      <c r="F2316" s="6">
        <f t="shared" ca="1" si="174"/>
        <v>179.38573725408926</v>
      </c>
    </row>
    <row r="2317" spans="1:6">
      <c r="A2317" s="1">
        <v>9128245</v>
      </c>
      <c r="B2317" s="1">
        <f t="shared" ca="1" si="171"/>
        <v>0.10228622965695666</v>
      </c>
      <c r="C2317" s="1">
        <f t="shared" ca="1" si="170"/>
        <v>1</v>
      </c>
      <c r="D2317" s="1">
        <f t="shared" ca="1" si="172"/>
        <v>474</v>
      </c>
      <c r="E2317" s="2">
        <f t="shared" ca="1" si="173"/>
        <v>43077</v>
      </c>
      <c r="F2317" s="6">
        <f t="shared" ca="1" si="174"/>
        <v>105.20240014639965</v>
      </c>
    </row>
    <row r="2318" spans="1:6">
      <c r="A2318" s="1">
        <v>9128248</v>
      </c>
      <c r="B2318" s="1">
        <f t="shared" ca="1" si="171"/>
        <v>0.80211265444841584</v>
      </c>
      <c r="C2318" s="1">
        <f t="shared" ca="1" si="170"/>
        <v>1</v>
      </c>
      <c r="D2318" s="1">
        <f t="shared" ca="1" si="172"/>
        <v>474</v>
      </c>
      <c r="E2318" s="2">
        <f t="shared" ca="1" si="173"/>
        <v>43308</v>
      </c>
      <c r="F2318" s="6">
        <f t="shared" ca="1" si="174"/>
        <v>38.828230040373697</v>
      </c>
    </row>
    <row r="2319" spans="1:6">
      <c r="A2319" s="1">
        <v>9128251</v>
      </c>
      <c r="B2319" s="1">
        <f t="shared" ca="1" si="171"/>
        <v>0.70543458399027936</v>
      </c>
      <c r="C2319" s="1">
        <f t="shared" ca="1" si="170"/>
        <v>20</v>
      </c>
      <c r="D2319" s="1">
        <f t="shared" ca="1" si="172"/>
        <v>444</v>
      </c>
      <c r="E2319" s="2">
        <f t="shared" ca="1" si="173"/>
        <v>42810</v>
      </c>
      <c r="F2319" s="6">
        <f t="shared" ca="1" si="174"/>
        <v>77.439107344830532</v>
      </c>
    </row>
    <row r="2320" spans="1:6">
      <c r="A2320" s="1">
        <v>9128254</v>
      </c>
      <c r="B2320" s="1">
        <f t="shared" ca="1" si="171"/>
        <v>0.9244766824552858</v>
      </c>
      <c r="C2320" s="1">
        <f t="shared" ca="1" si="170"/>
        <v>7</v>
      </c>
      <c r="D2320" s="1">
        <f t="shared" ca="1" si="172"/>
        <v>138</v>
      </c>
      <c r="E2320" s="2">
        <f t="shared" ca="1" si="173"/>
        <v>43067</v>
      </c>
      <c r="F2320" s="6">
        <f t="shared" ca="1" si="174"/>
        <v>11.431487609287174</v>
      </c>
    </row>
    <row r="2321" spans="1:6">
      <c r="A2321" s="1">
        <v>9128257</v>
      </c>
      <c r="B2321" s="1">
        <f t="shared" ca="1" si="171"/>
        <v>0.62312469957520611</v>
      </c>
      <c r="C2321" s="1">
        <f t="shared" ca="1" si="170"/>
        <v>9</v>
      </c>
      <c r="D2321" s="1">
        <f t="shared" ca="1" si="172"/>
        <v>278</v>
      </c>
      <c r="E2321" s="2">
        <f t="shared" ca="1" si="173"/>
        <v>43123</v>
      </c>
      <c r="F2321" s="6">
        <f t="shared" ca="1" si="174"/>
        <v>12.156008780217997</v>
      </c>
    </row>
    <row r="2322" spans="1:6">
      <c r="A2322" s="1">
        <v>9128260</v>
      </c>
      <c r="B2322" s="1">
        <f t="shared" ca="1" si="171"/>
        <v>0.23523532620436027</v>
      </c>
      <c r="C2322" s="1">
        <f t="shared" ca="1" si="170"/>
        <v>50</v>
      </c>
      <c r="D2322" s="1">
        <f t="shared" ca="1" si="172"/>
        <v>415</v>
      </c>
      <c r="E2322" s="2">
        <f t="shared" ca="1" si="173"/>
        <v>42903</v>
      </c>
      <c r="F2322" s="6">
        <f t="shared" ca="1" si="174"/>
        <v>90.90652668002889</v>
      </c>
    </row>
    <row r="2323" spans="1:6">
      <c r="A2323" s="1">
        <v>9128263</v>
      </c>
      <c r="B2323" s="1">
        <f t="shared" ca="1" si="171"/>
        <v>0.86419162045039744</v>
      </c>
      <c r="C2323" s="1">
        <f t="shared" ca="1" si="170"/>
        <v>24</v>
      </c>
      <c r="D2323" s="1">
        <f t="shared" ca="1" si="172"/>
        <v>334</v>
      </c>
      <c r="E2323" s="2">
        <f t="shared" ca="1" si="173"/>
        <v>43377</v>
      </c>
      <c r="F2323" s="6">
        <f t="shared" ca="1" si="174"/>
        <v>106.88236420537052</v>
      </c>
    </row>
    <row r="2324" spans="1:6">
      <c r="A2324" s="1">
        <v>9128266</v>
      </c>
      <c r="B2324" s="1">
        <f t="shared" ca="1" si="171"/>
        <v>0.34903483297806814</v>
      </c>
      <c r="C2324" s="1">
        <f t="shared" ca="1" si="170"/>
        <v>1</v>
      </c>
      <c r="D2324" s="1">
        <f t="shared" ca="1" si="172"/>
        <v>474</v>
      </c>
      <c r="E2324" s="2">
        <f t="shared" ca="1" si="173"/>
        <v>43456</v>
      </c>
      <c r="F2324" s="6">
        <f t="shared" ca="1" si="174"/>
        <v>6.8769896183610832</v>
      </c>
    </row>
    <row r="2325" spans="1:6">
      <c r="A2325" s="1">
        <v>9128269</v>
      </c>
      <c r="B2325" s="1">
        <f t="shared" ca="1" si="171"/>
        <v>0.77614915807978002</v>
      </c>
      <c r="C2325" s="1">
        <f t="shared" ca="1" si="170"/>
        <v>62</v>
      </c>
      <c r="D2325" s="1">
        <f t="shared" ca="1" si="172"/>
        <v>235</v>
      </c>
      <c r="E2325" s="2">
        <f t="shared" ca="1" si="173"/>
        <v>42763</v>
      </c>
      <c r="F2325" s="6">
        <f t="shared" ca="1" si="174"/>
        <v>12.971071392500452</v>
      </c>
    </row>
    <row r="2326" spans="1:6">
      <c r="A2326" s="1">
        <v>9128272</v>
      </c>
      <c r="B2326" s="1">
        <f t="shared" ca="1" si="171"/>
        <v>0.11155915466499633</v>
      </c>
      <c r="C2326" s="1">
        <f t="shared" ca="1" si="170"/>
        <v>3</v>
      </c>
      <c r="D2326" s="1">
        <f t="shared" ca="1" si="172"/>
        <v>263</v>
      </c>
      <c r="E2326" s="2">
        <f t="shared" ca="1" si="173"/>
        <v>43490</v>
      </c>
      <c r="F2326" s="6">
        <f t="shared" ca="1" si="174"/>
        <v>55.391214712426915</v>
      </c>
    </row>
    <row r="2327" spans="1:6">
      <c r="A2327" s="1">
        <v>9128275</v>
      </c>
      <c r="B2327" s="1">
        <f t="shared" ca="1" si="171"/>
        <v>4.743157713035473E-2</v>
      </c>
      <c r="C2327" s="1">
        <f t="shared" ca="1" si="170"/>
        <v>9</v>
      </c>
      <c r="D2327" s="1">
        <f t="shared" ca="1" si="172"/>
        <v>278</v>
      </c>
      <c r="E2327" s="2">
        <f t="shared" ca="1" si="173"/>
        <v>43134</v>
      </c>
      <c r="F2327" s="6">
        <f t="shared" ca="1" si="174"/>
        <v>8.4315141485896561</v>
      </c>
    </row>
    <row r="2328" spans="1:6">
      <c r="A2328" s="1">
        <v>9128278</v>
      </c>
      <c r="B2328" s="1">
        <f t="shared" ca="1" si="171"/>
        <v>0.45175644777512536</v>
      </c>
      <c r="C2328" s="1">
        <f t="shared" ca="1" si="170"/>
        <v>38</v>
      </c>
      <c r="D2328" s="1">
        <f t="shared" ca="1" si="172"/>
        <v>400</v>
      </c>
      <c r="E2328" s="2">
        <f t="shared" ca="1" si="173"/>
        <v>43112</v>
      </c>
      <c r="F2328" s="6">
        <f t="shared" ca="1" si="174"/>
        <v>47.166979263491221</v>
      </c>
    </row>
    <row r="2329" spans="1:6">
      <c r="A2329" s="1">
        <v>9128281</v>
      </c>
      <c r="B2329" s="1">
        <f t="shared" ca="1" si="171"/>
        <v>0.21562556304243363</v>
      </c>
      <c r="C2329" s="1">
        <f t="shared" ca="1" si="170"/>
        <v>1</v>
      </c>
      <c r="D2329" s="1">
        <f t="shared" ca="1" si="172"/>
        <v>474</v>
      </c>
      <c r="E2329" s="2">
        <f t="shared" ca="1" si="173"/>
        <v>43239</v>
      </c>
      <c r="F2329" s="6">
        <f t="shared" ca="1" si="174"/>
        <v>10.32125929283449</v>
      </c>
    </row>
    <row r="2330" spans="1:6">
      <c r="A2330" s="1">
        <v>9128284</v>
      </c>
      <c r="B2330" s="1">
        <f t="shared" ca="1" si="171"/>
        <v>0.13177578879550289</v>
      </c>
      <c r="C2330" s="1">
        <f t="shared" ca="1" si="170"/>
        <v>41</v>
      </c>
      <c r="D2330" s="1">
        <f t="shared" ca="1" si="172"/>
        <v>37</v>
      </c>
      <c r="E2330" s="2">
        <f t="shared" ca="1" si="173"/>
        <v>42791</v>
      </c>
      <c r="F2330" s="6">
        <f t="shared" ca="1" si="174"/>
        <v>3.7320556067964969</v>
      </c>
    </row>
    <row r="2331" spans="1:6">
      <c r="A2331" s="1">
        <v>9128287</v>
      </c>
      <c r="B2331" s="1">
        <f t="shared" ca="1" si="171"/>
        <v>0.78069034977021556</v>
      </c>
      <c r="C2331" s="1">
        <f t="shared" ref="C2331:C2394" ca="1" si="175">ROUND(_xlfn.GAMMA.INV(RAND(),$J$11,$J$12)*100,0)+1</f>
        <v>52</v>
      </c>
      <c r="D2331" s="1">
        <f t="shared" ca="1" si="172"/>
        <v>574</v>
      </c>
      <c r="E2331" s="2">
        <f t="shared" ca="1" si="173"/>
        <v>42903</v>
      </c>
      <c r="F2331" s="6">
        <f t="shared" ca="1" si="174"/>
        <v>17.079909162171518</v>
      </c>
    </row>
    <row r="2332" spans="1:6">
      <c r="A2332" s="1">
        <v>9128290</v>
      </c>
      <c r="B2332" s="1">
        <f t="shared" ca="1" si="171"/>
        <v>0.68709640808954997</v>
      </c>
      <c r="C2332" s="1">
        <f t="shared" ca="1" si="175"/>
        <v>206</v>
      </c>
      <c r="D2332" s="1">
        <f t="shared" ca="1" si="172"/>
        <v>412</v>
      </c>
      <c r="E2332" s="2">
        <f t="shared" ca="1" si="173"/>
        <v>43219</v>
      </c>
      <c r="F2332" s="6">
        <f t="shared" ca="1" si="174"/>
        <v>308.16924746452514</v>
      </c>
    </row>
    <row r="2333" spans="1:6">
      <c r="A2333" s="1">
        <v>9128293</v>
      </c>
      <c r="B2333" s="1">
        <f t="shared" ca="1" si="171"/>
        <v>6.2376834623192545E-2</v>
      </c>
      <c r="C2333" s="1">
        <f t="shared" ca="1" si="175"/>
        <v>99</v>
      </c>
      <c r="D2333" s="1">
        <f t="shared" ca="1" si="172"/>
        <v>464</v>
      </c>
      <c r="E2333" s="2">
        <f t="shared" ca="1" si="173"/>
        <v>43024</v>
      </c>
      <c r="F2333" s="6">
        <f t="shared" ca="1" si="174"/>
        <v>29.032127107784902</v>
      </c>
    </row>
    <row r="2334" spans="1:6">
      <c r="A2334" s="1">
        <v>9128296</v>
      </c>
      <c r="B2334" s="1">
        <f t="shared" ca="1" si="171"/>
        <v>5.6666091961086185E-2</v>
      </c>
      <c r="C2334" s="1">
        <f t="shared" ca="1" si="175"/>
        <v>10</v>
      </c>
      <c r="D2334" s="1">
        <f t="shared" ca="1" si="172"/>
        <v>236</v>
      </c>
      <c r="E2334" s="2">
        <f t="shared" ca="1" si="173"/>
        <v>42805</v>
      </c>
      <c r="F2334" s="6">
        <f t="shared" ca="1" si="174"/>
        <v>35.490322710559646</v>
      </c>
    </row>
    <row r="2335" spans="1:6">
      <c r="A2335" s="1">
        <v>9128299</v>
      </c>
      <c r="B2335" s="1">
        <f t="shared" ca="1" si="171"/>
        <v>0.70384009575139495</v>
      </c>
      <c r="C2335" s="1">
        <f t="shared" ca="1" si="175"/>
        <v>3</v>
      </c>
      <c r="D2335" s="1">
        <f t="shared" ca="1" si="172"/>
        <v>263</v>
      </c>
      <c r="E2335" s="2">
        <f t="shared" ca="1" si="173"/>
        <v>43461</v>
      </c>
      <c r="F2335" s="6">
        <f t="shared" ca="1" si="174"/>
        <v>39.684524205619248</v>
      </c>
    </row>
    <row r="2336" spans="1:6">
      <c r="A2336" s="1">
        <v>9128302</v>
      </c>
      <c r="B2336" s="1">
        <f t="shared" ca="1" si="171"/>
        <v>0.32295267682380924</v>
      </c>
      <c r="C2336" s="1">
        <f t="shared" ca="1" si="175"/>
        <v>3</v>
      </c>
      <c r="D2336" s="1">
        <f t="shared" ca="1" si="172"/>
        <v>263</v>
      </c>
      <c r="E2336" s="2">
        <f t="shared" ca="1" si="173"/>
        <v>42916</v>
      </c>
      <c r="F2336" s="6">
        <f t="shared" ca="1" si="174"/>
        <v>294.67784064287321</v>
      </c>
    </row>
    <row r="2337" spans="1:6">
      <c r="A2337" s="1">
        <v>9128305</v>
      </c>
      <c r="B2337" s="1">
        <f t="shared" ca="1" si="171"/>
        <v>0.34221114842331823</v>
      </c>
      <c r="C2337" s="1">
        <f t="shared" ca="1" si="175"/>
        <v>135</v>
      </c>
      <c r="D2337" s="1">
        <f t="shared" ca="1" si="172"/>
        <v>231</v>
      </c>
      <c r="E2337" s="2">
        <f t="shared" ca="1" si="173"/>
        <v>42874</v>
      </c>
      <c r="F2337" s="6">
        <f t="shared" ca="1" si="174"/>
        <v>15.58380947911631</v>
      </c>
    </row>
    <row r="2338" spans="1:6">
      <c r="A2338" s="1">
        <v>9128308</v>
      </c>
      <c r="B2338" s="1">
        <f t="shared" ca="1" si="171"/>
        <v>0.51689604633343988</v>
      </c>
      <c r="C2338" s="1">
        <f t="shared" ca="1" si="175"/>
        <v>36</v>
      </c>
      <c r="D2338" s="1">
        <f t="shared" ca="1" si="172"/>
        <v>529</v>
      </c>
      <c r="E2338" s="2">
        <f t="shared" ca="1" si="173"/>
        <v>43279</v>
      </c>
      <c r="F2338" s="6">
        <f t="shared" ca="1" si="174"/>
        <v>4.5598448985045499</v>
      </c>
    </row>
    <row r="2339" spans="1:6">
      <c r="A2339" s="1">
        <v>9128311</v>
      </c>
      <c r="B2339" s="1">
        <f t="shared" ca="1" si="171"/>
        <v>0.88754965051536183</v>
      </c>
      <c r="C2339" s="1">
        <f t="shared" ca="1" si="175"/>
        <v>27</v>
      </c>
      <c r="D2339" s="1">
        <f t="shared" ca="1" si="172"/>
        <v>398</v>
      </c>
      <c r="E2339" s="2">
        <f t="shared" ca="1" si="173"/>
        <v>42794</v>
      </c>
      <c r="F2339" s="6">
        <f t="shared" ca="1" si="174"/>
        <v>3.4806364875171165</v>
      </c>
    </row>
    <row r="2340" spans="1:6">
      <c r="A2340" s="1">
        <v>9128314</v>
      </c>
      <c r="B2340" s="1">
        <f t="shared" ca="1" si="171"/>
        <v>0.22967580380286301</v>
      </c>
      <c r="C2340" s="1">
        <f t="shared" ca="1" si="175"/>
        <v>64</v>
      </c>
      <c r="D2340" s="1">
        <f t="shared" ca="1" si="172"/>
        <v>1</v>
      </c>
      <c r="E2340" s="2">
        <f t="shared" ca="1" si="173"/>
        <v>43375</v>
      </c>
      <c r="F2340" s="6">
        <f t="shared" ca="1" si="174"/>
        <v>28.531447097338066</v>
      </c>
    </row>
    <row r="2341" spans="1:6">
      <c r="A2341" s="1">
        <v>9128317</v>
      </c>
      <c r="B2341" s="1">
        <f t="shared" ca="1" si="171"/>
        <v>0.97676784778811243</v>
      </c>
      <c r="C2341" s="1">
        <f t="shared" ca="1" si="175"/>
        <v>7</v>
      </c>
      <c r="D2341" s="1">
        <f t="shared" ca="1" si="172"/>
        <v>138</v>
      </c>
      <c r="E2341" s="2">
        <f t="shared" ca="1" si="173"/>
        <v>43359</v>
      </c>
      <c r="F2341" s="6">
        <f t="shared" ca="1" si="174"/>
        <v>4.320225739968353</v>
      </c>
    </row>
    <row r="2342" spans="1:6">
      <c r="A2342" s="1">
        <v>9128320</v>
      </c>
      <c r="B2342" s="1">
        <f t="shared" ca="1" si="171"/>
        <v>0.54620908091785558</v>
      </c>
      <c r="C2342" s="1">
        <f t="shared" ca="1" si="175"/>
        <v>4</v>
      </c>
      <c r="D2342" s="1">
        <f t="shared" ca="1" si="172"/>
        <v>493</v>
      </c>
      <c r="E2342" s="2">
        <f t="shared" ca="1" si="173"/>
        <v>43291</v>
      </c>
      <c r="F2342" s="6">
        <f t="shared" ca="1" si="174"/>
        <v>137.84934298485612</v>
      </c>
    </row>
    <row r="2343" spans="1:6">
      <c r="A2343" s="1">
        <v>9128323</v>
      </c>
      <c r="B2343" s="1">
        <f t="shared" ca="1" si="171"/>
        <v>0.67941419528955393</v>
      </c>
      <c r="C2343" s="1">
        <f t="shared" ca="1" si="175"/>
        <v>12</v>
      </c>
      <c r="D2343" s="1">
        <f t="shared" ca="1" si="172"/>
        <v>292</v>
      </c>
      <c r="E2343" s="2">
        <f t="shared" ca="1" si="173"/>
        <v>43424</v>
      </c>
      <c r="F2343" s="6">
        <f t="shared" ca="1" si="174"/>
        <v>85.371833796055213</v>
      </c>
    </row>
    <row r="2344" spans="1:6">
      <c r="A2344" s="1">
        <v>9128326</v>
      </c>
      <c r="B2344" s="1">
        <f t="shared" ca="1" si="171"/>
        <v>0.75539264261869443</v>
      </c>
      <c r="C2344" s="1">
        <f t="shared" ca="1" si="175"/>
        <v>393</v>
      </c>
      <c r="D2344" s="1">
        <f t="shared" ca="1" si="172"/>
        <v>528</v>
      </c>
      <c r="E2344" s="2">
        <f t="shared" ca="1" si="173"/>
        <v>42835</v>
      </c>
      <c r="F2344" s="6">
        <f t="shared" ca="1" si="174"/>
        <v>118.70927684005177</v>
      </c>
    </row>
    <row r="2345" spans="1:6">
      <c r="A2345" s="1">
        <v>9128329</v>
      </c>
      <c r="B2345" s="1">
        <f t="shared" ca="1" si="171"/>
        <v>0.6446099335216694</v>
      </c>
      <c r="C2345" s="1">
        <f t="shared" ca="1" si="175"/>
        <v>1</v>
      </c>
      <c r="D2345" s="1">
        <f t="shared" ca="1" si="172"/>
        <v>474</v>
      </c>
      <c r="E2345" s="2">
        <f t="shared" ca="1" si="173"/>
        <v>43088</v>
      </c>
      <c r="F2345" s="6">
        <f t="shared" ca="1" si="174"/>
        <v>63.206236241831199</v>
      </c>
    </row>
    <row r="2346" spans="1:6">
      <c r="A2346" s="1">
        <v>9128332</v>
      </c>
      <c r="B2346" s="1">
        <f t="shared" ca="1" si="171"/>
        <v>0.51758904985714171</v>
      </c>
      <c r="C2346" s="1">
        <f t="shared" ca="1" si="175"/>
        <v>34</v>
      </c>
      <c r="D2346" s="1">
        <f t="shared" ca="1" si="172"/>
        <v>503</v>
      </c>
      <c r="E2346" s="2">
        <f t="shared" ca="1" si="173"/>
        <v>43320</v>
      </c>
      <c r="F2346" s="6">
        <f t="shared" ca="1" si="174"/>
        <v>37.520936205627216</v>
      </c>
    </row>
    <row r="2347" spans="1:6">
      <c r="A2347" s="1">
        <v>9128335</v>
      </c>
      <c r="B2347" s="1">
        <f t="shared" ca="1" si="171"/>
        <v>0.39992125293488268</v>
      </c>
      <c r="C2347" s="1">
        <f t="shared" ca="1" si="175"/>
        <v>8</v>
      </c>
      <c r="D2347" s="1">
        <f t="shared" ca="1" si="172"/>
        <v>456</v>
      </c>
      <c r="E2347" s="2">
        <f t="shared" ca="1" si="173"/>
        <v>43447</v>
      </c>
      <c r="F2347" s="6">
        <f t="shared" ca="1" si="174"/>
        <v>41.882168789555649</v>
      </c>
    </row>
    <row r="2348" spans="1:6">
      <c r="A2348" s="1">
        <v>9128338</v>
      </c>
      <c r="B2348" s="1">
        <f t="shared" ca="1" si="171"/>
        <v>0.84747436437120371</v>
      </c>
      <c r="C2348" s="1">
        <f t="shared" ca="1" si="175"/>
        <v>3</v>
      </c>
      <c r="D2348" s="1">
        <f t="shared" ca="1" si="172"/>
        <v>263</v>
      </c>
      <c r="E2348" s="2">
        <f t="shared" ca="1" si="173"/>
        <v>43112</v>
      </c>
      <c r="F2348" s="6">
        <f t="shared" ca="1" si="174"/>
        <v>220.76692054722687</v>
      </c>
    </row>
    <row r="2349" spans="1:6">
      <c r="A2349" s="1">
        <v>9128341</v>
      </c>
      <c r="B2349" s="1">
        <f t="shared" ca="1" si="171"/>
        <v>0.13291826868264278</v>
      </c>
      <c r="C2349" s="1">
        <f t="shared" ca="1" si="175"/>
        <v>16</v>
      </c>
      <c r="D2349" s="1">
        <f t="shared" ca="1" si="172"/>
        <v>465</v>
      </c>
      <c r="E2349" s="2">
        <f t="shared" ca="1" si="173"/>
        <v>43404</v>
      </c>
      <c r="F2349" s="6">
        <f t="shared" ca="1" si="174"/>
        <v>10.825079244409487</v>
      </c>
    </row>
    <row r="2350" spans="1:6">
      <c r="A2350" s="1">
        <v>9128344</v>
      </c>
      <c r="B2350" s="1">
        <f t="shared" ca="1" si="171"/>
        <v>0.36889493708448351</v>
      </c>
      <c r="C2350" s="1">
        <f t="shared" ca="1" si="175"/>
        <v>76</v>
      </c>
      <c r="D2350" s="1">
        <f t="shared" ca="1" si="172"/>
        <v>293</v>
      </c>
      <c r="E2350" s="2">
        <f t="shared" ca="1" si="173"/>
        <v>43029</v>
      </c>
      <c r="F2350" s="6">
        <f t="shared" ca="1" si="174"/>
        <v>15.963523650435599</v>
      </c>
    </row>
    <row r="2351" spans="1:6">
      <c r="A2351" s="1">
        <v>9128347</v>
      </c>
      <c r="B2351" s="1">
        <f t="shared" ca="1" si="171"/>
        <v>0.12153325592224018</v>
      </c>
      <c r="C2351" s="1">
        <f t="shared" ca="1" si="175"/>
        <v>21</v>
      </c>
      <c r="D2351" s="1">
        <f t="shared" ca="1" si="172"/>
        <v>566</v>
      </c>
      <c r="E2351" s="2">
        <f t="shared" ca="1" si="173"/>
        <v>43454</v>
      </c>
      <c r="F2351" s="6">
        <f t="shared" ca="1" si="174"/>
        <v>6.5284064393715795</v>
      </c>
    </row>
    <row r="2352" spans="1:6">
      <c r="A2352" s="1">
        <v>9128350</v>
      </c>
      <c r="B2352" s="1">
        <f t="shared" ca="1" si="171"/>
        <v>7.1511931453549837E-2</v>
      </c>
      <c r="C2352" s="1">
        <f t="shared" ca="1" si="175"/>
        <v>13</v>
      </c>
      <c r="D2352" s="1">
        <f t="shared" ca="1" si="172"/>
        <v>80</v>
      </c>
      <c r="E2352" s="2">
        <f t="shared" ca="1" si="173"/>
        <v>42741</v>
      </c>
      <c r="F2352" s="6">
        <f t="shared" ca="1" si="174"/>
        <v>180.42092085225792</v>
      </c>
    </row>
    <row r="2353" spans="1:6">
      <c r="A2353" s="1">
        <v>9128353</v>
      </c>
      <c r="B2353" s="1">
        <f t="shared" ca="1" si="171"/>
        <v>5.6071941621974153E-2</v>
      </c>
      <c r="C2353" s="1">
        <f t="shared" ca="1" si="175"/>
        <v>1</v>
      </c>
      <c r="D2353" s="1">
        <f t="shared" ca="1" si="172"/>
        <v>474</v>
      </c>
      <c r="E2353" s="2">
        <f t="shared" ca="1" si="173"/>
        <v>42849</v>
      </c>
      <c r="F2353" s="6">
        <f t="shared" ca="1" si="174"/>
        <v>30.847501741635909</v>
      </c>
    </row>
    <row r="2354" spans="1:6">
      <c r="A2354" s="1">
        <v>9128356</v>
      </c>
      <c r="B2354" s="1">
        <f t="shared" ca="1" si="171"/>
        <v>0.55529783982832992</v>
      </c>
      <c r="C2354" s="1">
        <f t="shared" ca="1" si="175"/>
        <v>109</v>
      </c>
      <c r="D2354" s="1">
        <f t="shared" ca="1" si="172"/>
        <v>245</v>
      </c>
      <c r="E2354" s="2">
        <f t="shared" ca="1" si="173"/>
        <v>42739</v>
      </c>
      <c r="F2354" s="6">
        <f t="shared" ca="1" si="174"/>
        <v>26.02610122139993</v>
      </c>
    </row>
    <row r="2355" spans="1:6">
      <c r="A2355" s="1">
        <v>9128359</v>
      </c>
      <c r="B2355" s="1">
        <f t="shared" ca="1" si="171"/>
        <v>0.99709069577795595</v>
      </c>
      <c r="C2355" s="1">
        <f t="shared" ca="1" si="175"/>
        <v>77</v>
      </c>
      <c r="D2355" s="1">
        <f t="shared" ca="1" si="172"/>
        <v>552</v>
      </c>
      <c r="E2355" s="2">
        <f t="shared" ca="1" si="173"/>
        <v>43295</v>
      </c>
      <c r="F2355" s="6">
        <f t="shared" ca="1" si="174"/>
        <v>243.81384284804776</v>
      </c>
    </row>
    <row r="2356" spans="1:6">
      <c r="A2356" s="1">
        <v>9128362</v>
      </c>
      <c r="B2356" s="1">
        <f t="shared" ca="1" si="171"/>
        <v>0.23868444191566063</v>
      </c>
      <c r="C2356" s="1">
        <f t="shared" ca="1" si="175"/>
        <v>11</v>
      </c>
      <c r="D2356" s="1">
        <f t="shared" ca="1" si="172"/>
        <v>437</v>
      </c>
      <c r="E2356" s="2">
        <f t="shared" ca="1" si="173"/>
        <v>43006</v>
      </c>
      <c r="F2356" s="6">
        <f t="shared" ca="1" si="174"/>
        <v>7.3297926936066125</v>
      </c>
    </row>
    <row r="2357" spans="1:6">
      <c r="A2357" s="1">
        <v>9128365</v>
      </c>
      <c r="B2357" s="1">
        <f t="shared" ca="1" si="171"/>
        <v>0.53933588790864606</v>
      </c>
      <c r="C2357" s="1">
        <f t="shared" ca="1" si="175"/>
        <v>14</v>
      </c>
      <c r="D2357" s="1">
        <f t="shared" ca="1" si="172"/>
        <v>576</v>
      </c>
      <c r="E2357" s="2">
        <f t="shared" ca="1" si="173"/>
        <v>42736</v>
      </c>
      <c r="F2357" s="6">
        <f t="shared" ca="1" si="174"/>
        <v>3.847679351824012</v>
      </c>
    </row>
    <row r="2358" spans="1:6">
      <c r="A2358" s="1">
        <v>9128368</v>
      </c>
      <c r="B2358" s="1">
        <f t="shared" ca="1" si="171"/>
        <v>0.44706527878501234</v>
      </c>
      <c r="C2358" s="1">
        <f t="shared" ca="1" si="175"/>
        <v>4</v>
      </c>
      <c r="D2358" s="1">
        <f t="shared" ca="1" si="172"/>
        <v>493</v>
      </c>
      <c r="E2358" s="2">
        <f t="shared" ca="1" si="173"/>
        <v>43467</v>
      </c>
      <c r="F2358" s="6">
        <f t="shared" ca="1" si="174"/>
        <v>51.278181277884904</v>
      </c>
    </row>
    <row r="2359" spans="1:6">
      <c r="A2359" s="1">
        <v>9128371</v>
      </c>
      <c r="B2359" s="1">
        <f t="shared" ca="1" si="171"/>
        <v>0.60319286771869529</v>
      </c>
      <c r="C2359" s="1">
        <f t="shared" ca="1" si="175"/>
        <v>8</v>
      </c>
      <c r="D2359" s="1">
        <f t="shared" ca="1" si="172"/>
        <v>456</v>
      </c>
      <c r="E2359" s="2">
        <f t="shared" ca="1" si="173"/>
        <v>43224</v>
      </c>
      <c r="F2359" s="6">
        <f t="shared" ca="1" si="174"/>
        <v>25.719793947653873</v>
      </c>
    </row>
    <row r="2360" spans="1:6">
      <c r="A2360" s="1">
        <v>9128374</v>
      </c>
      <c r="B2360" s="1">
        <f t="shared" ca="1" si="171"/>
        <v>4.7618797810223823E-3</v>
      </c>
      <c r="C2360" s="1">
        <f t="shared" ca="1" si="175"/>
        <v>379</v>
      </c>
      <c r="D2360" s="1">
        <f t="shared" ca="1" si="172"/>
        <v>16</v>
      </c>
      <c r="E2360" s="2">
        <f t="shared" ca="1" si="173"/>
        <v>43172</v>
      </c>
      <c r="F2360" s="6">
        <f t="shared" ca="1" si="174"/>
        <v>8.8010324895150056</v>
      </c>
    </row>
    <row r="2361" spans="1:6">
      <c r="A2361" s="1">
        <v>9128377</v>
      </c>
      <c r="B2361" s="1">
        <f t="shared" ca="1" si="171"/>
        <v>0.2009616958478011</v>
      </c>
      <c r="C2361" s="1">
        <f t="shared" ca="1" si="175"/>
        <v>71</v>
      </c>
      <c r="D2361" s="1">
        <f t="shared" ca="1" si="172"/>
        <v>281</v>
      </c>
      <c r="E2361" s="2">
        <f t="shared" ca="1" si="173"/>
        <v>43146</v>
      </c>
      <c r="F2361" s="6">
        <f t="shared" ca="1" si="174"/>
        <v>78.499475982535117</v>
      </c>
    </row>
    <row r="2362" spans="1:6">
      <c r="A2362" s="1">
        <v>9128380</v>
      </c>
      <c r="B2362" s="1">
        <f t="shared" ca="1" si="171"/>
        <v>0.36546677790521442</v>
      </c>
      <c r="C2362" s="1">
        <f t="shared" ca="1" si="175"/>
        <v>28</v>
      </c>
      <c r="D2362" s="1">
        <f t="shared" ca="1" si="172"/>
        <v>401</v>
      </c>
      <c r="E2362" s="2">
        <f t="shared" ca="1" si="173"/>
        <v>43485</v>
      </c>
      <c r="F2362" s="6">
        <f t="shared" ca="1" si="174"/>
        <v>54.869528928883682</v>
      </c>
    </row>
    <row r="2363" spans="1:6">
      <c r="A2363" s="1">
        <v>9128383</v>
      </c>
      <c r="B2363" s="1">
        <f t="shared" ca="1" si="171"/>
        <v>0.63190955416756023</v>
      </c>
      <c r="C2363" s="1">
        <f t="shared" ca="1" si="175"/>
        <v>90</v>
      </c>
      <c r="D2363" s="1">
        <f t="shared" ca="1" si="172"/>
        <v>417</v>
      </c>
      <c r="E2363" s="2">
        <f t="shared" ca="1" si="173"/>
        <v>43319</v>
      </c>
      <c r="F2363" s="6">
        <f t="shared" ca="1" si="174"/>
        <v>45.69291556044729</v>
      </c>
    </row>
    <row r="2364" spans="1:6">
      <c r="A2364" s="1">
        <v>9128386</v>
      </c>
      <c r="B2364" s="1">
        <f t="shared" ca="1" si="171"/>
        <v>0.49352722909723956</v>
      </c>
      <c r="C2364" s="1">
        <f t="shared" ca="1" si="175"/>
        <v>4</v>
      </c>
      <c r="D2364" s="1">
        <f t="shared" ca="1" si="172"/>
        <v>493</v>
      </c>
      <c r="E2364" s="2">
        <f t="shared" ca="1" si="173"/>
        <v>43120</v>
      </c>
      <c r="F2364" s="6">
        <f t="shared" ca="1" si="174"/>
        <v>3.7084553025606963</v>
      </c>
    </row>
    <row r="2365" spans="1:6">
      <c r="A2365" s="1">
        <v>9128389</v>
      </c>
      <c r="B2365" s="1">
        <f t="shared" ca="1" si="171"/>
        <v>0.48086211384615152</v>
      </c>
      <c r="C2365" s="1">
        <f t="shared" ca="1" si="175"/>
        <v>84</v>
      </c>
      <c r="D2365" s="1">
        <f t="shared" ca="1" si="172"/>
        <v>536</v>
      </c>
      <c r="E2365" s="2">
        <f t="shared" ca="1" si="173"/>
        <v>42957</v>
      </c>
      <c r="F2365" s="6">
        <f t="shared" ca="1" si="174"/>
        <v>19.8203104677665</v>
      </c>
    </row>
    <row r="2366" spans="1:6">
      <c r="A2366" s="1">
        <v>9128392</v>
      </c>
      <c r="B2366" s="1">
        <f t="shared" ca="1" si="171"/>
        <v>0.68459177411820926</v>
      </c>
      <c r="C2366" s="1">
        <f t="shared" ca="1" si="175"/>
        <v>18</v>
      </c>
      <c r="D2366" s="1">
        <f t="shared" ca="1" si="172"/>
        <v>511</v>
      </c>
      <c r="E2366" s="2">
        <f t="shared" ca="1" si="173"/>
        <v>43085</v>
      </c>
      <c r="F2366" s="6">
        <f t="shared" ca="1" si="174"/>
        <v>70.78858577374028</v>
      </c>
    </row>
    <row r="2367" spans="1:6">
      <c r="A2367" s="1">
        <v>9128395</v>
      </c>
      <c r="B2367" s="1">
        <f t="shared" ca="1" si="171"/>
        <v>0.83404771547406131</v>
      </c>
      <c r="C2367" s="1">
        <f t="shared" ca="1" si="175"/>
        <v>1</v>
      </c>
      <c r="D2367" s="1">
        <f t="shared" ca="1" si="172"/>
        <v>474</v>
      </c>
      <c r="E2367" s="2">
        <f t="shared" ca="1" si="173"/>
        <v>43182</v>
      </c>
      <c r="F2367" s="6">
        <f t="shared" ca="1" si="174"/>
        <v>39.466557124060529</v>
      </c>
    </row>
    <row r="2368" spans="1:6">
      <c r="A2368" s="1">
        <v>9128398</v>
      </c>
      <c r="B2368" s="1">
        <f t="shared" ca="1" si="171"/>
        <v>0.61242447824590318</v>
      </c>
      <c r="C2368" s="1">
        <f t="shared" ca="1" si="175"/>
        <v>130</v>
      </c>
      <c r="D2368" s="1">
        <f t="shared" ca="1" si="172"/>
        <v>385</v>
      </c>
      <c r="E2368" s="2">
        <f t="shared" ca="1" si="173"/>
        <v>43043</v>
      </c>
      <c r="F2368" s="6">
        <f t="shared" ca="1" si="174"/>
        <v>3.1639873227906929</v>
      </c>
    </row>
    <row r="2369" spans="1:6">
      <c r="A2369" s="1">
        <v>9128401</v>
      </c>
      <c r="B2369" s="1">
        <f t="shared" ca="1" si="171"/>
        <v>0.97345786584296901</v>
      </c>
      <c r="C2369" s="1">
        <f t="shared" ca="1" si="175"/>
        <v>21</v>
      </c>
      <c r="D2369" s="1">
        <f t="shared" ca="1" si="172"/>
        <v>566</v>
      </c>
      <c r="E2369" s="2">
        <f t="shared" ca="1" si="173"/>
        <v>43306</v>
      </c>
      <c r="F2369" s="6">
        <f t="shared" ca="1" si="174"/>
        <v>21.484192896562789</v>
      </c>
    </row>
    <row r="2370" spans="1:6">
      <c r="A2370" s="1">
        <v>9128404</v>
      </c>
      <c r="B2370" s="1">
        <f t="shared" ref="B2370:B2433" ca="1" si="176">RAND()</f>
        <v>0.66491994717142633</v>
      </c>
      <c r="C2370" s="1">
        <f t="shared" ca="1" si="175"/>
        <v>44</v>
      </c>
      <c r="D2370" s="1">
        <f t="shared" ca="1" si="172"/>
        <v>427</v>
      </c>
      <c r="E2370" s="2">
        <f t="shared" ca="1" si="173"/>
        <v>42815</v>
      </c>
      <c r="F2370" s="6">
        <f t="shared" ca="1" si="174"/>
        <v>14.77345363940241</v>
      </c>
    </row>
    <row r="2371" spans="1:6">
      <c r="A2371" s="1">
        <v>9128407</v>
      </c>
      <c r="B2371" s="1">
        <f t="shared" ca="1" si="176"/>
        <v>0.63950286202005324</v>
      </c>
      <c r="C2371" s="1">
        <f t="shared" ca="1" si="175"/>
        <v>4</v>
      </c>
      <c r="D2371" s="1">
        <f t="shared" ref="D2371:D2434" ca="1" si="177">VLOOKUP(SMALL($B$2:$B$601,C2371),$B$2:$C$601,2,FALSE)</f>
        <v>493</v>
      </c>
      <c r="E2371" s="2">
        <f t="shared" ref="E2371:E2434" ca="1" si="178">RANDBETWEEN("1/1/17","2/1/19")</f>
        <v>42774</v>
      </c>
      <c r="F2371" s="6">
        <f t="shared" ref="F2371:F2434" ca="1" si="179">_xlfn.GAMMA.INV(RAND(),$J$6,$J$7)*100+3</f>
        <v>3.1914686562736212</v>
      </c>
    </row>
    <row r="2372" spans="1:6">
      <c r="A2372" s="1">
        <v>9128410</v>
      </c>
      <c r="B2372" s="1">
        <f t="shared" ca="1" si="176"/>
        <v>0.24641905569075695</v>
      </c>
      <c r="C2372" s="1">
        <f t="shared" ca="1" si="175"/>
        <v>52</v>
      </c>
      <c r="D2372" s="1">
        <f t="shared" ca="1" si="177"/>
        <v>574</v>
      </c>
      <c r="E2372" s="2">
        <f t="shared" ca="1" si="178"/>
        <v>42835</v>
      </c>
      <c r="F2372" s="6">
        <f t="shared" ca="1" si="179"/>
        <v>3.1208335959384779</v>
      </c>
    </row>
    <row r="2373" spans="1:6">
      <c r="A2373" s="1">
        <v>9128413</v>
      </c>
      <c r="B2373" s="1">
        <f t="shared" ca="1" si="176"/>
        <v>0.49228756442426291</v>
      </c>
      <c r="C2373" s="1">
        <f t="shared" ca="1" si="175"/>
        <v>83</v>
      </c>
      <c r="D2373" s="1">
        <f t="shared" ca="1" si="177"/>
        <v>47</v>
      </c>
      <c r="E2373" s="2">
        <f t="shared" ca="1" si="178"/>
        <v>43461</v>
      </c>
      <c r="F2373" s="6">
        <f t="shared" ca="1" si="179"/>
        <v>6.4955943892951353</v>
      </c>
    </row>
    <row r="2374" spans="1:6">
      <c r="A2374" s="1">
        <v>9128416</v>
      </c>
      <c r="B2374" s="1">
        <f t="shared" ca="1" si="176"/>
        <v>0.91648117436311227</v>
      </c>
      <c r="C2374" s="1">
        <f t="shared" ca="1" si="175"/>
        <v>17</v>
      </c>
      <c r="D2374" s="1">
        <f t="shared" ca="1" si="177"/>
        <v>165</v>
      </c>
      <c r="E2374" s="2">
        <f t="shared" ca="1" si="178"/>
        <v>42899</v>
      </c>
      <c r="F2374" s="6">
        <f t="shared" ca="1" si="179"/>
        <v>15.064918000330652</v>
      </c>
    </row>
    <row r="2375" spans="1:6">
      <c r="A2375" s="1">
        <v>9128419</v>
      </c>
      <c r="B2375" s="1">
        <f t="shared" ca="1" si="176"/>
        <v>0.7646379557144658</v>
      </c>
      <c r="C2375" s="1">
        <f t="shared" ca="1" si="175"/>
        <v>1</v>
      </c>
      <c r="D2375" s="1">
        <f t="shared" ca="1" si="177"/>
        <v>474</v>
      </c>
      <c r="E2375" s="2">
        <f t="shared" ca="1" si="178"/>
        <v>42976</v>
      </c>
      <c r="F2375" s="6">
        <f t="shared" ca="1" si="179"/>
        <v>4.5189491503559891</v>
      </c>
    </row>
    <row r="2376" spans="1:6">
      <c r="A2376" s="1">
        <v>9128422</v>
      </c>
      <c r="B2376" s="1">
        <f t="shared" ca="1" si="176"/>
        <v>0.64699765595716385</v>
      </c>
      <c r="C2376" s="1">
        <f t="shared" ca="1" si="175"/>
        <v>38</v>
      </c>
      <c r="D2376" s="1">
        <f t="shared" ca="1" si="177"/>
        <v>400</v>
      </c>
      <c r="E2376" s="2">
        <f t="shared" ca="1" si="178"/>
        <v>42852</v>
      </c>
      <c r="F2376" s="6">
        <f t="shared" ca="1" si="179"/>
        <v>81.50216408242845</v>
      </c>
    </row>
    <row r="2377" spans="1:6">
      <c r="A2377" s="1">
        <v>9128425</v>
      </c>
      <c r="B2377" s="1">
        <f t="shared" ca="1" si="176"/>
        <v>7.7819970703726149E-2</v>
      </c>
      <c r="C2377" s="1">
        <f t="shared" ca="1" si="175"/>
        <v>19</v>
      </c>
      <c r="D2377" s="1">
        <f t="shared" ca="1" si="177"/>
        <v>42</v>
      </c>
      <c r="E2377" s="2">
        <f t="shared" ca="1" si="178"/>
        <v>43193</v>
      </c>
      <c r="F2377" s="6">
        <f t="shared" ca="1" si="179"/>
        <v>4.5656603753599168</v>
      </c>
    </row>
    <row r="2378" spans="1:6">
      <c r="A2378" s="1">
        <v>9128428</v>
      </c>
      <c r="B2378" s="1">
        <f t="shared" ca="1" si="176"/>
        <v>0.38231550778221257</v>
      </c>
      <c r="C2378" s="1">
        <f t="shared" ca="1" si="175"/>
        <v>24</v>
      </c>
      <c r="D2378" s="1">
        <f t="shared" ca="1" si="177"/>
        <v>334</v>
      </c>
      <c r="E2378" s="2">
        <f t="shared" ca="1" si="178"/>
        <v>42763</v>
      </c>
      <c r="F2378" s="6">
        <f t="shared" ca="1" si="179"/>
        <v>42.57261622176236</v>
      </c>
    </row>
    <row r="2379" spans="1:6">
      <c r="A2379" s="1">
        <v>9128431</v>
      </c>
      <c r="B2379" s="1">
        <f t="shared" ca="1" si="176"/>
        <v>0.31806860843554474</v>
      </c>
      <c r="C2379" s="1">
        <f t="shared" ca="1" si="175"/>
        <v>35</v>
      </c>
      <c r="D2379" s="1">
        <f t="shared" ca="1" si="177"/>
        <v>423</v>
      </c>
      <c r="E2379" s="2">
        <f t="shared" ca="1" si="178"/>
        <v>43312</v>
      </c>
      <c r="F2379" s="6">
        <f t="shared" ca="1" si="179"/>
        <v>7.6683722084705064</v>
      </c>
    </row>
    <row r="2380" spans="1:6">
      <c r="A2380" s="1">
        <v>9128434</v>
      </c>
      <c r="B2380" s="1">
        <f t="shared" ca="1" si="176"/>
        <v>0.84535440058995914</v>
      </c>
      <c r="C2380" s="1">
        <f t="shared" ca="1" si="175"/>
        <v>128</v>
      </c>
      <c r="D2380" s="1">
        <f t="shared" ca="1" si="177"/>
        <v>317</v>
      </c>
      <c r="E2380" s="2">
        <f t="shared" ca="1" si="178"/>
        <v>42851</v>
      </c>
      <c r="F2380" s="6">
        <f t="shared" ca="1" si="179"/>
        <v>5.1146952845033642</v>
      </c>
    </row>
    <row r="2381" spans="1:6">
      <c r="A2381" s="1">
        <v>9128437</v>
      </c>
      <c r="B2381" s="1">
        <f t="shared" ca="1" si="176"/>
        <v>0.66925518102546699</v>
      </c>
      <c r="C2381" s="1">
        <f t="shared" ca="1" si="175"/>
        <v>162</v>
      </c>
      <c r="D2381" s="1">
        <f t="shared" ca="1" si="177"/>
        <v>186</v>
      </c>
      <c r="E2381" s="2">
        <f t="shared" ca="1" si="178"/>
        <v>42946</v>
      </c>
      <c r="F2381" s="6">
        <f t="shared" ca="1" si="179"/>
        <v>12.156208019040653</v>
      </c>
    </row>
    <row r="2382" spans="1:6">
      <c r="A2382" s="1">
        <v>9128440</v>
      </c>
      <c r="B2382" s="1">
        <f t="shared" ca="1" si="176"/>
        <v>0.79913825776531566</v>
      </c>
      <c r="C2382" s="1">
        <f t="shared" ca="1" si="175"/>
        <v>142</v>
      </c>
      <c r="D2382" s="1">
        <f t="shared" ca="1" si="177"/>
        <v>98</v>
      </c>
      <c r="E2382" s="2">
        <f t="shared" ca="1" si="178"/>
        <v>43335</v>
      </c>
      <c r="F2382" s="6">
        <f t="shared" ca="1" si="179"/>
        <v>244.27834585267922</v>
      </c>
    </row>
    <row r="2383" spans="1:6">
      <c r="A2383" s="1">
        <v>9128443</v>
      </c>
      <c r="B2383" s="1">
        <f t="shared" ca="1" si="176"/>
        <v>0.48505206492842279</v>
      </c>
      <c r="C2383" s="1">
        <f t="shared" ca="1" si="175"/>
        <v>223</v>
      </c>
      <c r="D2383" s="1">
        <f t="shared" ca="1" si="177"/>
        <v>294</v>
      </c>
      <c r="E2383" s="2">
        <f t="shared" ca="1" si="178"/>
        <v>42795</v>
      </c>
      <c r="F2383" s="6">
        <f t="shared" ca="1" si="179"/>
        <v>101.54778993931019</v>
      </c>
    </row>
    <row r="2384" spans="1:6">
      <c r="A2384" s="1">
        <v>9128446</v>
      </c>
      <c r="B2384" s="1">
        <f t="shared" ca="1" si="176"/>
        <v>0.77979712216930352</v>
      </c>
      <c r="C2384" s="1">
        <f t="shared" ca="1" si="175"/>
        <v>42</v>
      </c>
      <c r="D2384" s="1">
        <f t="shared" ca="1" si="177"/>
        <v>36</v>
      </c>
      <c r="E2384" s="2">
        <f t="shared" ca="1" si="178"/>
        <v>43127</v>
      </c>
      <c r="F2384" s="6">
        <f t="shared" ca="1" si="179"/>
        <v>6.1911792283860416</v>
      </c>
    </row>
    <row r="2385" spans="1:6">
      <c r="A2385" s="1">
        <v>9128449</v>
      </c>
      <c r="B2385" s="1">
        <f t="shared" ca="1" si="176"/>
        <v>0.31565588044514048</v>
      </c>
      <c r="C2385" s="1">
        <f t="shared" ca="1" si="175"/>
        <v>163</v>
      </c>
      <c r="D2385" s="1">
        <f t="shared" ca="1" si="177"/>
        <v>112</v>
      </c>
      <c r="E2385" s="2">
        <f t="shared" ca="1" si="178"/>
        <v>42852</v>
      </c>
      <c r="F2385" s="6">
        <f t="shared" ca="1" si="179"/>
        <v>22.288672644950186</v>
      </c>
    </row>
    <row r="2386" spans="1:6">
      <c r="A2386" s="1">
        <v>9128452</v>
      </c>
      <c r="B2386" s="1">
        <f t="shared" ca="1" si="176"/>
        <v>0.65583753387875932</v>
      </c>
      <c r="C2386" s="1">
        <f t="shared" ca="1" si="175"/>
        <v>10</v>
      </c>
      <c r="D2386" s="1">
        <f t="shared" ca="1" si="177"/>
        <v>236</v>
      </c>
      <c r="E2386" s="2">
        <f t="shared" ca="1" si="178"/>
        <v>43428</v>
      </c>
      <c r="F2386" s="6">
        <f t="shared" ca="1" si="179"/>
        <v>12.550874251161313</v>
      </c>
    </row>
    <row r="2387" spans="1:6">
      <c r="A2387" s="1">
        <v>9128455</v>
      </c>
      <c r="B2387" s="1">
        <f t="shared" ca="1" si="176"/>
        <v>0.49670687181561435</v>
      </c>
      <c r="C2387" s="1">
        <f t="shared" ca="1" si="175"/>
        <v>20</v>
      </c>
      <c r="D2387" s="1">
        <f t="shared" ca="1" si="177"/>
        <v>444</v>
      </c>
      <c r="E2387" s="2">
        <f t="shared" ca="1" si="178"/>
        <v>43069</v>
      </c>
      <c r="F2387" s="6">
        <f t="shared" ca="1" si="179"/>
        <v>11.176003490034802</v>
      </c>
    </row>
    <row r="2388" spans="1:6">
      <c r="A2388" s="1">
        <v>9128458</v>
      </c>
      <c r="B2388" s="1">
        <f t="shared" ca="1" si="176"/>
        <v>0.94861566518404872</v>
      </c>
      <c r="C2388" s="1">
        <f t="shared" ca="1" si="175"/>
        <v>2</v>
      </c>
      <c r="D2388" s="1">
        <f t="shared" ca="1" si="177"/>
        <v>30</v>
      </c>
      <c r="E2388" s="2">
        <f t="shared" ca="1" si="178"/>
        <v>43108</v>
      </c>
      <c r="F2388" s="6">
        <f t="shared" ca="1" si="179"/>
        <v>66.336081867155457</v>
      </c>
    </row>
    <row r="2389" spans="1:6">
      <c r="A2389" s="1">
        <v>9128461</v>
      </c>
      <c r="B2389" s="1">
        <f t="shared" ca="1" si="176"/>
        <v>0.20401398587892872</v>
      </c>
      <c r="C2389" s="1">
        <f t="shared" ca="1" si="175"/>
        <v>12</v>
      </c>
      <c r="D2389" s="1">
        <f t="shared" ca="1" si="177"/>
        <v>292</v>
      </c>
      <c r="E2389" s="2">
        <f t="shared" ca="1" si="178"/>
        <v>43104</v>
      </c>
      <c r="F2389" s="6">
        <f t="shared" ca="1" si="179"/>
        <v>39.971285968244167</v>
      </c>
    </row>
    <row r="2390" spans="1:6">
      <c r="A2390" s="1">
        <v>9128464</v>
      </c>
      <c r="B2390" s="1">
        <f t="shared" ca="1" si="176"/>
        <v>0.21523205077938701</v>
      </c>
      <c r="C2390" s="1">
        <f t="shared" ca="1" si="175"/>
        <v>5</v>
      </c>
      <c r="D2390" s="1">
        <f t="shared" ca="1" si="177"/>
        <v>363</v>
      </c>
      <c r="E2390" s="2">
        <f t="shared" ca="1" si="178"/>
        <v>43492</v>
      </c>
      <c r="F2390" s="6">
        <f t="shared" ca="1" si="179"/>
        <v>23.734600018306633</v>
      </c>
    </row>
    <row r="2391" spans="1:6">
      <c r="A2391" s="1">
        <v>9128467</v>
      </c>
      <c r="B2391" s="1">
        <f t="shared" ca="1" si="176"/>
        <v>0.6727726318209406</v>
      </c>
      <c r="C2391" s="1">
        <f t="shared" ca="1" si="175"/>
        <v>1</v>
      </c>
      <c r="D2391" s="1">
        <f t="shared" ca="1" si="177"/>
        <v>474</v>
      </c>
      <c r="E2391" s="2">
        <f t="shared" ca="1" si="178"/>
        <v>43468</v>
      </c>
      <c r="F2391" s="6">
        <f t="shared" ca="1" si="179"/>
        <v>74.099063093000112</v>
      </c>
    </row>
    <row r="2392" spans="1:6">
      <c r="A2392" s="1">
        <v>9128470</v>
      </c>
      <c r="B2392" s="1">
        <f t="shared" ca="1" si="176"/>
        <v>0.55628258165819899</v>
      </c>
      <c r="C2392" s="1">
        <f t="shared" ca="1" si="175"/>
        <v>8</v>
      </c>
      <c r="D2392" s="1">
        <f t="shared" ca="1" si="177"/>
        <v>456</v>
      </c>
      <c r="E2392" s="2">
        <f t="shared" ca="1" si="178"/>
        <v>42822</v>
      </c>
      <c r="F2392" s="6">
        <f t="shared" ca="1" si="179"/>
        <v>21.545982908620552</v>
      </c>
    </row>
    <row r="2393" spans="1:6">
      <c r="A2393" s="1">
        <v>9128473</v>
      </c>
      <c r="B2393" s="1">
        <f t="shared" ca="1" si="176"/>
        <v>9.304496792903505E-2</v>
      </c>
      <c r="C2393" s="1">
        <f t="shared" ca="1" si="175"/>
        <v>1</v>
      </c>
      <c r="D2393" s="1">
        <f t="shared" ca="1" si="177"/>
        <v>474</v>
      </c>
      <c r="E2393" s="2">
        <f t="shared" ca="1" si="178"/>
        <v>43181</v>
      </c>
      <c r="F2393" s="6">
        <f t="shared" ca="1" si="179"/>
        <v>64.986123999640242</v>
      </c>
    </row>
    <row r="2394" spans="1:6">
      <c r="A2394" s="1">
        <v>9128476</v>
      </c>
      <c r="B2394" s="1">
        <f t="shared" ca="1" si="176"/>
        <v>0.73632885611961196</v>
      </c>
      <c r="C2394" s="1">
        <f t="shared" ca="1" si="175"/>
        <v>20</v>
      </c>
      <c r="D2394" s="1">
        <f t="shared" ca="1" si="177"/>
        <v>444</v>
      </c>
      <c r="E2394" s="2">
        <f t="shared" ca="1" si="178"/>
        <v>43045</v>
      </c>
      <c r="F2394" s="6">
        <f t="shared" ca="1" si="179"/>
        <v>7.8329865875696152</v>
      </c>
    </row>
    <row r="2395" spans="1:6">
      <c r="A2395" s="1">
        <v>9128479</v>
      </c>
      <c r="B2395" s="1">
        <f t="shared" ca="1" si="176"/>
        <v>7.1295371806897823E-2</v>
      </c>
      <c r="C2395" s="1">
        <f t="shared" ref="C2395:C2458" ca="1" si="180">ROUND(_xlfn.GAMMA.INV(RAND(),$J$11,$J$12)*100,0)+1</f>
        <v>201</v>
      </c>
      <c r="D2395" s="1">
        <f t="shared" ca="1" si="177"/>
        <v>346</v>
      </c>
      <c r="E2395" s="2">
        <f t="shared" ca="1" si="178"/>
        <v>43358</v>
      </c>
      <c r="F2395" s="6">
        <f t="shared" ca="1" si="179"/>
        <v>19.68349544555717</v>
      </c>
    </row>
    <row r="2396" spans="1:6">
      <c r="A2396" s="1">
        <v>9128482</v>
      </c>
      <c r="B2396" s="1">
        <f t="shared" ca="1" si="176"/>
        <v>0.25117333672056441</v>
      </c>
      <c r="C2396" s="1">
        <f t="shared" ca="1" si="180"/>
        <v>3</v>
      </c>
      <c r="D2396" s="1">
        <f t="shared" ca="1" si="177"/>
        <v>263</v>
      </c>
      <c r="E2396" s="2">
        <f t="shared" ca="1" si="178"/>
        <v>43067</v>
      </c>
      <c r="F2396" s="6">
        <f t="shared" ca="1" si="179"/>
        <v>62.298593292355704</v>
      </c>
    </row>
    <row r="2397" spans="1:6">
      <c r="A2397" s="1">
        <v>9128485</v>
      </c>
      <c r="B2397" s="1">
        <f t="shared" ca="1" si="176"/>
        <v>0.73956944549282244</v>
      </c>
      <c r="C2397" s="1">
        <f t="shared" ca="1" si="180"/>
        <v>82</v>
      </c>
      <c r="D2397" s="1">
        <f t="shared" ca="1" si="177"/>
        <v>143</v>
      </c>
      <c r="E2397" s="2">
        <f t="shared" ca="1" si="178"/>
        <v>42931</v>
      </c>
      <c r="F2397" s="6">
        <f t="shared" ca="1" si="179"/>
        <v>22.296380113754989</v>
      </c>
    </row>
    <row r="2398" spans="1:6">
      <c r="A2398" s="1">
        <v>9128488</v>
      </c>
      <c r="B2398" s="1">
        <f t="shared" ca="1" si="176"/>
        <v>0.21528880038721199</v>
      </c>
      <c r="C2398" s="1">
        <f t="shared" ca="1" si="180"/>
        <v>21</v>
      </c>
      <c r="D2398" s="1">
        <f t="shared" ca="1" si="177"/>
        <v>566</v>
      </c>
      <c r="E2398" s="2">
        <f t="shared" ca="1" si="178"/>
        <v>43347</v>
      </c>
      <c r="F2398" s="6">
        <f t="shared" ca="1" si="179"/>
        <v>6.7037400936137237</v>
      </c>
    </row>
    <row r="2399" spans="1:6">
      <c r="A2399" s="1">
        <v>9128491</v>
      </c>
      <c r="B2399" s="1">
        <f t="shared" ca="1" si="176"/>
        <v>0.32703614923719437</v>
      </c>
      <c r="C2399" s="1">
        <f t="shared" ca="1" si="180"/>
        <v>20</v>
      </c>
      <c r="D2399" s="1">
        <f t="shared" ca="1" si="177"/>
        <v>444</v>
      </c>
      <c r="E2399" s="2">
        <f t="shared" ca="1" si="178"/>
        <v>43210</v>
      </c>
      <c r="F2399" s="6">
        <f t="shared" ca="1" si="179"/>
        <v>10.588741129741038</v>
      </c>
    </row>
    <row r="2400" spans="1:6">
      <c r="A2400" s="1">
        <v>9128494</v>
      </c>
      <c r="B2400" s="1">
        <f t="shared" ca="1" si="176"/>
        <v>0.48361905261323779</v>
      </c>
      <c r="C2400" s="1">
        <f t="shared" ca="1" si="180"/>
        <v>4</v>
      </c>
      <c r="D2400" s="1">
        <f t="shared" ca="1" si="177"/>
        <v>493</v>
      </c>
      <c r="E2400" s="2">
        <f t="shared" ca="1" si="178"/>
        <v>42915</v>
      </c>
      <c r="F2400" s="6">
        <f t="shared" ca="1" si="179"/>
        <v>4.6552692178512753</v>
      </c>
    </row>
    <row r="2401" spans="1:6">
      <c r="A2401" s="1">
        <v>9128497</v>
      </c>
      <c r="B2401" s="1">
        <f t="shared" ca="1" si="176"/>
        <v>0.50199437386307577</v>
      </c>
      <c r="C2401" s="1">
        <f t="shared" ca="1" si="180"/>
        <v>31</v>
      </c>
      <c r="D2401" s="1">
        <f t="shared" ca="1" si="177"/>
        <v>535</v>
      </c>
      <c r="E2401" s="2">
        <f t="shared" ca="1" si="178"/>
        <v>43113</v>
      </c>
      <c r="F2401" s="6">
        <f t="shared" ca="1" si="179"/>
        <v>10.514032421879648</v>
      </c>
    </row>
    <row r="2402" spans="1:6">
      <c r="A2402" s="1">
        <v>9128500</v>
      </c>
      <c r="B2402" s="1">
        <f t="shared" ca="1" si="176"/>
        <v>3.5381050577504958E-2</v>
      </c>
      <c r="C2402" s="1">
        <f t="shared" ca="1" si="180"/>
        <v>5</v>
      </c>
      <c r="D2402" s="1">
        <f t="shared" ca="1" si="177"/>
        <v>363</v>
      </c>
      <c r="E2402" s="2">
        <f t="shared" ca="1" si="178"/>
        <v>42836</v>
      </c>
      <c r="F2402" s="6">
        <f t="shared" ca="1" si="179"/>
        <v>4.2432033998558012</v>
      </c>
    </row>
    <row r="2403" spans="1:6">
      <c r="A2403" s="1">
        <v>9128503</v>
      </c>
      <c r="B2403" s="1">
        <f t="shared" ca="1" si="176"/>
        <v>0.2489223887373786</v>
      </c>
      <c r="C2403" s="1">
        <f t="shared" ca="1" si="180"/>
        <v>214</v>
      </c>
      <c r="D2403" s="1">
        <f t="shared" ca="1" si="177"/>
        <v>296</v>
      </c>
      <c r="E2403" s="2">
        <f t="shared" ca="1" si="178"/>
        <v>43430</v>
      </c>
      <c r="F2403" s="6">
        <f t="shared" ca="1" si="179"/>
        <v>46.485920927384093</v>
      </c>
    </row>
    <row r="2404" spans="1:6">
      <c r="A2404" s="1">
        <v>9128506</v>
      </c>
      <c r="B2404" s="1">
        <f t="shared" ca="1" si="176"/>
        <v>6.8570054136598446E-2</v>
      </c>
      <c r="C2404" s="1">
        <f t="shared" ca="1" si="180"/>
        <v>30</v>
      </c>
      <c r="D2404" s="1">
        <f t="shared" ca="1" si="177"/>
        <v>53</v>
      </c>
      <c r="E2404" s="2">
        <f t="shared" ca="1" si="178"/>
        <v>42829</v>
      </c>
      <c r="F2404" s="6">
        <f t="shared" ca="1" si="179"/>
        <v>4.6233220205768051</v>
      </c>
    </row>
    <row r="2405" spans="1:6">
      <c r="A2405" s="1">
        <v>9128509</v>
      </c>
      <c r="B2405" s="1">
        <f t="shared" ca="1" si="176"/>
        <v>0.60300898762534338</v>
      </c>
      <c r="C2405" s="1">
        <f t="shared" ca="1" si="180"/>
        <v>2</v>
      </c>
      <c r="D2405" s="1">
        <f t="shared" ca="1" si="177"/>
        <v>30</v>
      </c>
      <c r="E2405" s="2">
        <f t="shared" ca="1" si="178"/>
        <v>43392</v>
      </c>
      <c r="F2405" s="6">
        <f t="shared" ca="1" si="179"/>
        <v>13.514156679362523</v>
      </c>
    </row>
    <row r="2406" spans="1:6">
      <c r="A2406" s="1">
        <v>9128512</v>
      </c>
      <c r="B2406" s="1">
        <f t="shared" ca="1" si="176"/>
        <v>0.29210040580401231</v>
      </c>
      <c r="C2406" s="1">
        <f t="shared" ca="1" si="180"/>
        <v>115</v>
      </c>
      <c r="D2406" s="1">
        <f t="shared" ca="1" si="177"/>
        <v>508</v>
      </c>
      <c r="E2406" s="2">
        <f t="shared" ca="1" si="178"/>
        <v>43168</v>
      </c>
      <c r="F2406" s="6">
        <f t="shared" ca="1" si="179"/>
        <v>170.46367143405072</v>
      </c>
    </row>
    <row r="2407" spans="1:6">
      <c r="A2407" s="1">
        <v>9128515</v>
      </c>
      <c r="B2407" s="1">
        <f t="shared" ca="1" si="176"/>
        <v>0.43331644285981696</v>
      </c>
      <c r="C2407" s="1">
        <f t="shared" ca="1" si="180"/>
        <v>41</v>
      </c>
      <c r="D2407" s="1">
        <f t="shared" ca="1" si="177"/>
        <v>37</v>
      </c>
      <c r="E2407" s="2">
        <f t="shared" ca="1" si="178"/>
        <v>42952</v>
      </c>
      <c r="F2407" s="6">
        <f t="shared" ca="1" si="179"/>
        <v>5.5110480853253181</v>
      </c>
    </row>
    <row r="2408" spans="1:6">
      <c r="A2408" s="1">
        <v>9128518</v>
      </c>
      <c r="B2408" s="1">
        <f t="shared" ca="1" si="176"/>
        <v>0.85563710352718636</v>
      </c>
      <c r="C2408" s="1">
        <f t="shared" ca="1" si="180"/>
        <v>75</v>
      </c>
      <c r="D2408" s="1">
        <f t="shared" ca="1" si="177"/>
        <v>599</v>
      </c>
      <c r="E2408" s="2">
        <f t="shared" ca="1" si="178"/>
        <v>42971</v>
      </c>
      <c r="F2408" s="6">
        <f t="shared" ca="1" si="179"/>
        <v>64.092519908966537</v>
      </c>
    </row>
    <row r="2409" spans="1:6">
      <c r="A2409" s="1">
        <v>9128521</v>
      </c>
      <c r="B2409" s="1">
        <f t="shared" ca="1" si="176"/>
        <v>0.78208180909068525</v>
      </c>
      <c r="C2409" s="1">
        <f t="shared" ca="1" si="180"/>
        <v>17</v>
      </c>
      <c r="D2409" s="1">
        <f t="shared" ca="1" si="177"/>
        <v>165</v>
      </c>
      <c r="E2409" s="2">
        <f t="shared" ca="1" si="178"/>
        <v>42767</v>
      </c>
      <c r="F2409" s="6">
        <f t="shared" ca="1" si="179"/>
        <v>3.9484439109783795</v>
      </c>
    </row>
    <row r="2410" spans="1:6">
      <c r="A2410" s="1">
        <v>9128524</v>
      </c>
      <c r="B2410" s="1">
        <f t="shared" ca="1" si="176"/>
        <v>0.146020000697898</v>
      </c>
      <c r="C2410" s="1">
        <f t="shared" ca="1" si="180"/>
        <v>132</v>
      </c>
      <c r="D2410" s="1">
        <f t="shared" ca="1" si="177"/>
        <v>32</v>
      </c>
      <c r="E2410" s="2">
        <f t="shared" ca="1" si="178"/>
        <v>43180</v>
      </c>
      <c r="F2410" s="6">
        <f t="shared" ca="1" si="179"/>
        <v>71.456997632517641</v>
      </c>
    </row>
    <row r="2411" spans="1:6">
      <c r="A2411" s="1">
        <v>9128527</v>
      </c>
      <c r="B2411" s="1">
        <f t="shared" ca="1" si="176"/>
        <v>0.14078238475513694</v>
      </c>
      <c r="C2411" s="1">
        <f t="shared" ca="1" si="180"/>
        <v>1</v>
      </c>
      <c r="D2411" s="1">
        <f t="shared" ca="1" si="177"/>
        <v>474</v>
      </c>
      <c r="E2411" s="2">
        <f t="shared" ca="1" si="178"/>
        <v>42983</v>
      </c>
      <c r="F2411" s="6">
        <f t="shared" ca="1" si="179"/>
        <v>152.68639421737103</v>
      </c>
    </row>
    <row r="2412" spans="1:6">
      <c r="A2412" s="1">
        <v>9128530</v>
      </c>
      <c r="B2412" s="1">
        <f t="shared" ca="1" si="176"/>
        <v>2.0360449479943199E-2</v>
      </c>
      <c r="C2412" s="1">
        <f t="shared" ca="1" si="180"/>
        <v>92</v>
      </c>
      <c r="D2412" s="1">
        <f t="shared" ca="1" si="177"/>
        <v>458</v>
      </c>
      <c r="E2412" s="2">
        <f t="shared" ca="1" si="178"/>
        <v>42877</v>
      </c>
      <c r="F2412" s="6">
        <f t="shared" ca="1" si="179"/>
        <v>10.408422537464393</v>
      </c>
    </row>
    <row r="2413" spans="1:6">
      <c r="A2413" s="1">
        <v>9128533</v>
      </c>
      <c r="B2413" s="1">
        <f t="shared" ca="1" si="176"/>
        <v>0.68992653562066253</v>
      </c>
      <c r="C2413" s="1">
        <f t="shared" ca="1" si="180"/>
        <v>19</v>
      </c>
      <c r="D2413" s="1">
        <f t="shared" ca="1" si="177"/>
        <v>42</v>
      </c>
      <c r="E2413" s="2">
        <f t="shared" ca="1" si="178"/>
        <v>43061</v>
      </c>
      <c r="F2413" s="6">
        <f t="shared" ca="1" si="179"/>
        <v>13.044372394099689</v>
      </c>
    </row>
    <row r="2414" spans="1:6">
      <c r="A2414" s="1">
        <v>9128536</v>
      </c>
      <c r="B2414" s="1">
        <f t="shared" ca="1" si="176"/>
        <v>0.57393559148011919</v>
      </c>
      <c r="C2414" s="1">
        <f t="shared" ca="1" si="180"/>
        <v>1</v>
      </c>
      <c r="D2414" s="1">
        <f t="shared" ca="1" si="177"/>
        <v>474</v>
      </c>
      <c r="E2414" s="2">
        <f t="shared" ca="1" si="178"/>
        <v>42881</v>
      </c>
      <c r="F2414" s="6">
        <f t="shared" ca="1" si="179"/>
        <v>45.060926908175809</v>
      </c>
    </row>
    <row r="2415" spans="1:6">
      <c r="A2415" s="1">
        <v>9128539</v>
      </c>
      <c r="B2415" s="1">
        <f t="shared" ca="1" si="176"/>
        <v>0.41894336450813507</v>
      </c>
      <c r="C2415" s="1">
        <f t="shared" ca="1" si="180"/>
        <v>1</v>
      </c>
      <c r="D2415" s="1">
        <f t="shared" ca="1" si="177"/>
        <v>474</v>
      </c>
      <c r="E2415" s="2">
        <f t="shared" ca="1" si="178"/>
        <v>42944</v>
      </c>
      <c r="F2415" s="6">
        <f t="shared" ca="1" si="179"/>
        <v>6.2289671225461483</v>
      </c>
    </row>
    <row r="2416" spans="1:6">
      <c r="A2416" s="1">
        <v>9128542</v>
      </c>
      <c r="B2416" s="1">
        <f t="shared" ca="1" si="176"/>
        <v>0.93555514985500865</v>
      </c>
      <c r="C2416" s="1">
        <f t="shared" ca="1" si="180"/>
        <v>185</v>
      </c>
      <c r="D2416" s="1">
        <f t="shared" ca="1" si="177"/>
        <v>169</v>
      </c>
      <c r="E2416" s="2">
        <f t="shared" ca="1" si="178"/>
        <v>42870</v>
      </c>
      <c r="F2416" s="6">
        <f t="shared" ca="1" si="179"/>
        <v>79.406391773019152</v>
      </c>
    </row>
    <row r="2417" spans="1:6">
      <c r="A2417" s="1">
        <v>9128545</v>
      </c>
      <c r="B2417" s="1">
        <f t="shared" ca="1" si="176"/>
        <v>0.31967780681256741</v>
      </c>
      <c r="C2417" s="1">
        <f t="shared" ca="1" si="180"/>
        <v>10</v>
      </c>
      <c r="D2417" s="1">
        <f t="shared" ca="1" si="177"/>
        <v>236</v>
      </c>
      <c r="E2417" s="2">
        <f t="shared" ca="1" si="178"/>
        <v>43079</v>
      </c>
      <c r="F2417" s="6">
        <f t="shared" ca="1" si="179"/>
        <v>3.0552679281438127</v>
      </c>
    </row>
    <row r="2418" spans="1:6">
      <c r="A2418" s="1">
        <v>9128548</v>
      </c>
      <c r="B2418" s="1">
        <f t="shared" ca="1" si="176"/>
        <v>0.75490637050701026</v>
      </c>
      <c r="C2418" s="1">
        <f t="shared" ca="1" si="180"/>
        <v>1</v>
      </c>
      <c r="D2418" s="1">
        <f t="shared" ca="1" si="177"/>
        <v>474</v>
      </c>
      <c r="E2418" s="2">
        <f t="shared" ca="1" si="178"/>
        <v>42968</v>
      </c>
      <c r="F2418" s="6">
        <f t="shared" ca="1" si="179"/>
        <v>5.5076764604234754</v>
      </c>
    </row>
    <row r="2419" spans="1:6">
      <c r="A2419" s="1">
        <v>9128551</v>
      </c>
      <c r="B2419" s="1">
        <f t="shared" ca="1" si="176"/>
        <v>0.17674920935114669</v>
      </c>
      <c r="C2419" s="1">
        <f t="shared" ca="1" si="180"/>
        <v>115</v>
      </c>
      <c r="D2419" s="1">
        <f t="shared" ca="1" si="177"/>
        <v>508</v>
      </c>
      <c r="E2419" s="2">
        <f t="shared" ca="1" si="178"/>
        <v>43072</v>
      </c>
      <c r="F2419" s="6">
        <f t="shared" ca="1" si="179"/>
        <v>7.7709088224876801</v>
      </c>
    </row>
    <row r="2420" spans="1:6">
      <c r="A2420" s="1">
        <v>9128554</v>
      </c>
      <c r="B2420" s="1">
        <f t="shared" ca="1" si="176"/>
        <v>0.49360245782963175</v>
      </c>
      <c r="C2420" s="1">
        <f t="shared" ca="1" si="180"/>
        <v>4</v>
      </c>
      <c r="D2420" s="1">
        <f t="shared" ca="1" si="177"/>
        <v>493</v>
      </c>
      <c r="E2420" s="2">
        <f t="shared" ca="1" si="178"/>
        <v>42845</v>
      </c>
      <c r="F2420" s="6">
        <f t="shared" ca="1" si="179"/>
        <v>29.668378809914238</v>
      </c>
    </row>
    <row r="2421" spans="1:6">
      <c r="A2421" s="1">
        <v>9128557</v>
      </c>
      <c r="B2421" s="1">
        <f t="shared" ca="1" si="176"/>
        <v>0.8731924410530254</v>
      </c>
      <c r="C2421" s="1">
        <f t="shared" ca="1" si="180"/>
        <v>4</v>
      </c>
      <c r="D2421" s="1">
        <f t="shared" ca="1" si="177"/>
        <v>493</v>
      </c>
      <c r="E2421" s="2">
        <f t="shared" ca="1" si="178"/>
        <v>43260</v>
      </c>
      <c r="F2421" s="6">
        <f t="shared" ca="1" si="179"/>
        <v>16.694061772797117</v>
      </c>
    </row>
    <row r="2422" spans="1:6">
      <c r="A2422" s="1">
        <v>9128560</v>
      </c>
      <c r="B2422" s="1">
        <f t="shared" ca="1" si="176"/>
        <v>0.74997486710819627</v>
      </c>
      <c r="C2422" s="1">
        <f t="shared" ca="1" si="180"/>
        <v>2</v>
      </c>
      <c r="D2422" s="1">
        <f t="shared" ca="1" si="177"/>
        <v>30</v>
      </c>
      <c r="E2422" s="2">
        <f t="shared" ca="1" si="178"/>
        <v>43478</v>
      </c>
      <c r="F2422" s="6">
        <f t="shared" ca="1" si="179"/>
        <v>36.52117672106931</v>
      </c>
    </row>
    <row r="2423" spans="1:6">
      <c r="A2423" s="1">
        <v>9128563</v>
      </c>
      <c r="B2423" s="1">
        <f t="shared" ca="1" si="176"/>
        <v>0.72451528546705679</v>
      </c>
      <c r="C2423" s="1">
        <f t="shared" ca="1" si="180"/>
        <v>23</v>
      </c>
      <c r="D2423" s="1">
        <f t="shared" ca="1" si="177"/>
        <v>516</v>
      </c>
      <c r="E2423" s="2">
        <f t="shared" ca="1" si="178"/>
        <v>42940</v>
      </c>
      <c r="F2423" s="6">
        <f t="shared" ca="1" si="179"/>
        <v>3.0866811438957722</v>
      </c>
    </row>
    <row r="2424" spans="1:6">
      <c r="A2424" s="1">
        <v>9128566</v>
      </c>
      <c r="B2424" s="1">
        <f t="shared" ca="1" si="176"/>
        <v>0.88019354388796278</v>
      </c>
      <c r="C2424" s="1">
        <f t="shared" ca="1" si="180"/>
        <v>81</v>
      </c>
      <c r="D2424" s="1">
        <f t="shared" ca="1" si="177"/>
        <v>119</v>
      </c>
      <c r="E2424" s="2">
        <f t="shared" ca="1" si="178"/>
        <v>42809</v>
      </c>
      <c r="F2424" s="6">
        <f t="shared" ca="1" si="179"/>
        <v>47.738977378243291</v>
      </c>
    </row>
    <row r="2425" spans="1:6">
      <c r="A2425" s="1">
        <v>9128569</v>
      </c>
      <c r="B2425" s="1">
        <f t="shared" ca="1" si="176"/>
        <v>0.85080710194748765</v>
      </c>
      <c r="C2425" s="1">
        <f t="shared" ca="1" si="180"/>
        <v>3</v>
      </c>
      <c r="D2425" s="1">
        <f t="shared" ca="1" si="177"/>
        <v>263</v>
      </c>
      <c r="E2425" s="2">
        <f t="shared" ca="1" si="178"/>
        <v>43362</v>
      </c>
      <c r="F2425" s="6">
        <f t="shared" ca="1" si="179"/>
        <v>10.566390352686334</v>
      </c>
    </row>
    <row r="2426" spans="1:6">
      <c r="A2426" s="1">
        <v>9128572</v>
      </c>
      <c r="B2426" s="1">
        <f t="shared" ca="1" si="176"/>
        <v>0.24782845463491932</v>
      </c>
      <c r="C2426" s="1">
        <f t="shared" ca="1" si="180"/>
        <v>40</v>
      </c>
      <c r="D2426" s="1">
        <f t="shared" ca="1" si="177"/>
        <v>426</v>
      </c>
      <c r="E2426" s="2">
        <f t="shared" ca="1" si="178"/>
        <v>43159</v>
      </c>
      <c r="F2426" s="6">
        <f t="shared" ca="1" si="179"/>
        <v>121.83520951432074</v>
      </c>
    </row>
    <row r="2427" spans="1:6">
      <c r="A2427" s="1">
        <v>9128575</v>
      </c>
      <c r="B2427" s="1">
        <f t="shared" ca="1" si="176"/>
        <v>0.6990004446605057</v>
      </c>
      <c r="C2427" s="1">
        <f t="shared" ca="1" si="180"/>
        <v>89</v>
      </c>
      <c r="D2427" s="1">
        <f t="shared" ca="1" si="177"/>
        <v>340</v>
      </c>
      <c r="E2427" s="2">
        <f t="shared" ca="1" si="178"/>
        <v>42882</v>
      </c>
      <c r="F2427" s="6">
        <f t="shared" ca="1" si="179"/>
        <v>105.98428520730177</v>
      </c>
    </row>
    <row r="2428" spans="1:6">
      <c r="A2428" s="1">
        <v>9128578</v>
      </c>
      <c r="B2428" s="1">
        <f t="shared" ca="1" si="176"/>
        <v>0.42951574518752234</v>
      </c>
      <c r="C2428" s="1">
        <f t="shared" ca="1" si="180"/>
        <v>116</v>
      </c>
      <c r="D2428" s="1">
        <f t="shared" ca="1" si="177"/>
        <v>153</v>
      </c>
      <c r="E2428" s="2">
        <f t="shared" ca="1" si="178"/>
        <v>42919</v>
      </c>
      <c r="F2428" s="6">
        <f t="shared" ca="1" si="179"/>
        <v>12.306088614498069</v>
      </c>
    </row>
    <row r="2429" spans="1:6">
      <c r="A2429" s="1">
        <v>9128581</v>
      </c>
      <c r="B2429" s="1">
        <f t="shared" ca="1" si="176"/>
        <v>0.75626631292824131</v>
      </c>
      <c r="C2429" s="1">
        <f t="shared" ca="1" si="180"/>
        <v>32</v>
      </c>
      <c r="D2429" s="1">
        <f t="shared" ca="1" si="177"/>
        <v>497</v>
      </c>
      <c r="E2429" s="2">
        <f t="shared" ca="1" si="178"/>
        <v>43174</v>
      </c>
      <c r="F2429" s="6">
        <f t="shared" ca="1" si="179"/>
        <v>6.0874655638086725</v>
      </c>
    </row>
    <row r="2430" spans="1:6">
      <c r="A2430" s="1">
        <v>9128584</v>
      </c>
      <c r="B2430" s="1">
        <f t="shared" ca="1" si="176"/>
        <v>0.62692113136325611</v>
      </c>
      <c r="C2430" s="1">
        <f t="shared" ca="1" si="180"/>
        <v>8</v>
      </c>
      <c r="D2430" s="1">
        <f t="shared" ca="1" si="177"/>
        <v>456</v>
      </c>
      <c r="E2430" s="2">
        <f t="shared" ca="1" si="178"/>
        <v>43410</v>
      </c>
      <c r="F2430" s="6">
        <f t="shared" ca="1" si="179"/>
        <v>42.005477729952695</v>
      </c>
    </row>
    <row r="2431" spans="1:6">
      <c r="A2431" s="1">
        <v>9128587</v>
      </c>
      <c r="B2431" s="1">
        <f t="shared" ca="1" si="176"/>
        <v>0.16094350477519948</v>
      </c>
      <c r="C2431" s="1">
        <f t="shared" ca="1" si="180"/>
        <v>45</v>
      </c>
      <c r="D2431" s="1">
        <f t="shared" ca="1" si="177"/>
        <v>482</v>
      </c>
      <c r="E2431" s="2">
        <f t="shared" ca="1" si="178"/>
        <v>43143</v>
      </c>
      <c r="F2431" s="6">
        <f t="shared" ca="1" si="179"/>
        <v>77.322824953255733</v>
      </c>
    </row>
    <row r="2432" spans="1:6">
      <c r="A2432" s="1">
        <v>9128590</v>
      </c>
      <c r="B2432" s="1">
        <f t="shared" ca="1" si="176"/>
        <v>0.27714136450972227</v>
      </c>
      <c r="C2432" s="1">
        <f t="shared" ca="1" si="180"/>
        <v>7</v>
      </c>
      <c r="D2432" s="1">
        <f t="shared" ca="1" si="177"/>
        <v>138</v>
      </c>
      <c r="E2432" s="2">
        <f t="shared" ca="1" si="178"/>
        <v>43332</v>
      </c>
      <c r="F2432" s="6">
        <f t="shared" ca="1" si="179"/>
        <v>11.225601968935759</v>
      </c>
    </row>
    <row r="2433" spans="1:6">
      <c r="A2433" s="1">
        <v>9128593</v>
      </c>
      <c r="B2433" s="1">
        <f t="shared" ca="1" si="176"/>
        <v>0.59025896342950579</v>
      </c>
      <c r="C2433" s="1">
        <f t="shared" ca="1" si="180"/>
        <v>74</v>
      </c>
      <c r="D2433" s="1">
        <f t="shared" ca="1" si="177"/>
        <v>450</v>
      </c>
      <c r="E2433" s="2">
        <f t="shared" ca="1" si="178"/>
        <v>43305</v>
      </c>
      <c r="F2433" s="6">
        <f t="shared" ca="1" si="179"/>
        <v>24.737655878094021</v>
      </c>
    </row>
    <row r="2434" spans="1:6">
      <c r="A2434" s="1">
        <v>9128596</v>
      </c>
      <c r="B2434" s="1">
        <f t="shared" ref="B2434:B2497" ca="1" si="181">RAND()</f>
        <v>0.21614618055055179</v>
      </c>
      <c r="C2434" s="1">
        <f t="shared" ca="1" si="180"/>
        <v>90</v>
      </c>
      <c r="D2434" s="1">
        <f t="shared" ca="1" si="177"/>
        <v>417</v>
      </c>
      <c r="E2434" s="2">
        <f t="shared" ca="1" si="178"/>
        <v>43047</v>
      </c>
      <c r="F2434" s="6">
        <f t="shared" ca="1" si="179"/>
        <v>3.4040762540290466</v>
      </c>
    </row>
    <row r="2435" spans="1:6">
      <c r="A2435" s="1">
        <v>9128599</v>
      </c>
      <c r="B2435" s="1">
        <f t="shared" ca="1" si="181"/>
        <v>0.69240428390337516</v>
      </c>
      <c r="C2435" s="1">
        <f t="shared" ca="1" si="180"/>
        <v>26</v>
      </c>
      <c r="D2435" s="1">
        <f t="shared" ref="D2435:D2498" ca="1" si="182">VLOOKUP(SMALL($B$2:$B$601,C2435),$B$2:$C$601,2,FALSE)</f>
        <v>88</v>
      </c>
      <c r="E2435" s="2">
        <f t="shared" ref="E2435:E2498" ca="1" si="183">RANDBETWEEN("1/1/17","2/1/19")</f>
        <v>43277</v>
      </c>
      <c r="F2435" s="6">
        <f t="shared" ref="F2435:F2498" ca="1" si="184">_xlfn.GAMMA.INV(RAND(),$J$6,$J$7)*100+3</f>
        <v>77.960436619337884</v>
      </c>
    </row>
    <row r="2436" spans="1:6">
      <c r="A2436" s="1">
        <v>9128602</v>
      </c>
      <c r="B2436" s="1">
        <f t="shared" ca="1" si="181"/>
        <v>4.3327430986157545E-3</v>
      </c>
      <c r="C2436" s="1">
        <f t="shared" ca="1" si="180"/>
        <v>41</v>
      </c>
      <c r="D2436" s="1">
        <f t="shared" ca="1" si="182"/>
        <v>37</v>
      </c>
      <c r="E2436" s="2">
        <f t="shared" ca="1" si="183"/>
        <v>42799</v>
      </c>
      <c r="F2436" s="6">
        <f t="shared" ca="1" si="184"/>
        <v>27.949712184705145</v>
      </c>
    </row>
    <row r="2437" spans="1:6">
      <c r="A2437" s="1">
        <v>9128605</v>
      </c>
      <c r="B2437" s="1">
        <f t="shared" ca="1" si="181"/>
        <v>0.7913477449804136</v>
      </c>
      <c r="C2437" s="1">
        <f t="shared" ca="1" si="180"/>
        <v>17</v>
      </c>
      <c r="D2437" s="1">
        <f t="shared" ca="1" si="182"/>
        <v>165</v>
      </c>
      <c r="E2437" s="2">
        <f t="shared" ca="1" si="183"/>
        <v>43472</v>
      </c>
      <c r="F2437" s="6">
        <f t="shared" ca="1" si="184"/>
        <v>64.939527457139491</v>
      </c>
    </row>
    <row r="2438" spans="1:6">
      <c r="A2438" s="1">
        <v>9128608</v>
      </c>
      <c r="B2438" s="1">
        <f t="shared" ca="1" si="181"/>
        <v>0.25401867179681481</v>
      </c>
      <c r="C2438" s="1">
        <f t="shared" ca="1" si="180"/>
        <v>70</v>
      </c>
      <c r="D2438" s="1">
        <f t="shared" ca="1" si="182"/>
        <v>82</v>
      </c>
      <c r="E2438" s="2">
        <f t="shared" ca="1" si="183"/>
        <v>43127</v>
      </c>
      <c r="F2438" s="6">
        <f t="shared" ca="1" si="184"/>
        <v>33.50932585163153</v>
      </c>
    </row>
    <row r="2439" spans="1:6">
      <c r="A2439" s="1">
        <v>9128611</v>
      </c>
      <c r="B2439" s="1">
        <f t="shared" ca="1" si="181"/>
        <v>0.9661557955214658</v>
      </c>
      <c r="C2439" s="1">
        <f t="shared" ca="1" si="180"/>
        <v>5</v>
      </c>
      <c r="D2439" s="1">
        <f t="shared" ca="1" si="182"/>
        <v>363</v>
      </c>
      <c r="E2439" s="2">
        <f t="shared" ca="1" si="183"/>
        <v>42853</v>
      </c>
      <c r="F2439" s="6">
        <f t="shared" ca="1" si="184"/>
        <v>53.185213591401393</v>
      </c>
    </row>
    <row r="2440" spans="1:6">
      <c r="A2440" s="1">
        <v>9128614</v>
      </c>
      <c r="B2440" s="1">
        <f t="shared" ca="1" si="181"/>
        <v>0.28058443295470381</v>
      </c>
      <c r="C2440" s="1">
        <f t="shared" ca="1" si="180"/>
        <v>40</v>
      </c>
      <c r="D2440" s="1">
        <f t="shared" ca="1" si="182"/>
        <v>426</v>
      </c>
      <c r="E2440" s="2">
        <f t="shared" ca="1" si="183"/>
        <v>43179</v>
      </c>
      <c r="F2440" s="6">
        <f t="shared" ca="1" si="184"/>
        <v>8.5512878542080841</v>
      </c>
    </row>
    <row r="2441" spans="1:6">
      <c r="A2441" s="1">
        <v>9128617</v>
      </c>
      <c r="B2441" s="1">
        <f t="shared" ca="1" si="181"/>
        <v>0.7891035963772951</v>
      </c>
      <c r="C2441" s="1">
        <f t="shared" ca="1" si="180"/>
        <v>18</v>
      </c>
      <c r="D2441" s="1">
        <f t="shared" ca="1" si="182"/>
        <v>511</v>
      </c>
      <c r="E2441" s="2">
        <f t="shared" ca="1" si="183"/>
        <v>42983</v>
      </c>
      <c r="F2441" s="6">
        <f t="shared" ca="1" si="184"/>
        <v>4.7081943880136965</v>
      </c>
    </row>
    <row r="2442" spans="1:6">
      <c r="A2442" s="1">
        <v>9128620</v>
      </c>
      <c r="B2442" s="1">
        <f t="shared" ca="1" si="181"/>
        <v>0.41160012401488755</v>
      </c>
      <c r="C2442" s="1">
        <f t="shared" ca="1" si="180"/>
        <v>3</v>
      </c>
      <c r="D2442" s="1">
        <f t="shared" ca="1" si="182"/>
        <v>263</v>
      </c>
      <c r="E2442" s="2">
        <f t="shared" ca="1" si="183"/>
        <v>42919</v>
      </c>
      <c r="F2442" s="6">
        <f t="shared" ca="1" si="184"/>
        <v>4.2078310444510816</v>
      </c>
    </row>
    <row r="2443" spans="1:6">
      <c r="A2443" s="1">
        <v>9128623</v>
      </c>
      <c r="B2443" s="1">
        <f t="shared" ca="1" si="181"/>
        <v>0.2107924092262341</v>
      </c>
      <c r="C2443" s="1">
        <f t="shared" ca="1" si="180"/>
        <v>27</v>
      </c>
      <c r="D2443" s="1">
        <f t="shared" ca="1" si="182"/>
        <v>398</v>
      </c>
      <c r="E2443" s="2">
        <f t="shared" ca="1" si="183"/>
        <v>43435</v>
      </c>
      <c r="F2443" s="6">
        <f t="shared" ca="1" si="184"/>
        <v>105.62726287451174</v>
      </c>
    </row>
    <row r="2444" spans="1:6">
      <c r="A2444" s="1">
        <v>9128626</v>
      </c>
      <c r="B2444" s="1">
        <f t="shared" ca="1" si="181"/>
        <v>0.28119863903391884</v>
      </c>
      <c r="C2444" s="1">
        <f t="shared" ca="1" si="180"/>
        <v>87</v>
      </c>
      <c r="D2444" s="1">
        <f t="shared" ca="1" si="182"/>
        <v>551</v>
      </c>
      <c r="E2444" s="2">
        <f t="shared" ca="1" si="183"/>
        <v>43331</v>
      </c>
      <c r="F2444" s="6">
        <f t="shared" ca="1" si="184"/>
        <v>5.3256929430639888</v>
      </c>
    </row>
    <row r="2445" spans="1:6">
      <c r="A2445" s="1">
        <v>9128629</v>
      </c>
      <c r="B2445" s="1">
        <f t="shared" ca="1" si="181"/>
        <v>0.76570022672346627</v>
      </c>
      <c r="C2445" s="1">
        <f t="shared" ca="1" si="180"/>
        <v>3</v>
      </c>
      <c r="D2445" s="1">
        <f t="shared" ca="1" si="182"/>
        <v>263</v>
      </c>
      <c r="E2445" s="2">
        <f t="shared" ca="1" si="183"/>
        <v>43369</v>
      </c>
      <c r="F2445" s="6">
        <f t="shared" ca="1" si="184"/>
        <v>3.115751162997658</v>
      </c>
    </row>
    <row r="2446" spans="1:6">
      <c r="A2446" s="1">
        <v>9128632</v>
      </c>
      <c r="B2446" s="1">
        <f t="shared" ca="1" si="181"/>
        <v>0.9507245961961559</v>
      </c>
      <c r="C2446" s="1">
        <f t="shared" ca="1" si="180"/>
        <v>10</v>
      </c>
      <c r="D2446" s="1">
        <f t="shared" ca="1" si="182"/>
        <v>236</v>
      </c>
      <c r="E2446" s="2">
        <f t="shared" ca="1" si="183"/>
        <v>42738</v>
      </c>
      <c r="F2446" s="6">
        <f t="shared" ca="1" si="184"/>
        <v>16.186991849076282</v>
      </c>
    </row>
    <row r="2447" spans="1:6">
      <c r="A2447" s="1">
        <v>9128635</v>
      </c>
      <c r="B2447" s="1">
        <f t="shared" ca="1" si="181"/>
        <v>0.38984839047040998</v>
      </c>
      <c r="C2447" s="1">
        <f t="shared" ca="1" si="180"/>
        <v>2</v>
      </c>
      <c r="D2447" s="1">
        <f t="shared" ca="1" si="182"/>
        <v>30</v>
      </c>
      <c r="E2447" s="2">
        <f t="shared" ca="1" si="183"/>
        <v>43313</v>
      </c>
      <c r="F2447" s="6">
        <f t="shared" ca="1" si="184"/>
        <v>184.72240238846848</v>
      </c>
    </row>
    <row r="2448" spans="1:6">
      <c r="A2448" s="1">
        <v>9128638</v>
      </c>
      <c r="B2448" s="1">
        <f t="shared" ca="1" si="181"/>
        <v>0.27442563367861528</v>
      </c>
      <c r="C2448" s="1">
        <f t="shared" ca="1" si="180"/>
        <v>3</v>
      </c>
      <c r="D2448" s="1">
        <f t="shared" ca="1" si="182"/>
        <v>263</v>
      </c>
      <c r="E2448" s="2">
        <f t="shared" ca="1" si="183"/>
        <v>42870</v>
      </c>
      <c r="F2448" s="6">
        <f t="shared" ca="1" si="184"/>
        <v>139.50632577888885</v>
      </c>
    </row>
    <row r="2449" spans="1:6">
      <c r="A2449" s="1">
        <v>9128641</v>
      </c>
      <c r="B2449" s="1">
        <f t="shared" ca="1" si="181"/>
        <v>0.38610827077979837</v>
      </c>
      <c r="C2449" s="1">
        <f t="shared" ca="1" si="180"/>
        <v>22</v>
      </c>
      <c r="D2449" s="1">
        <f t="shared" ca="1" si="182"/>
        <v>413</v>
      </c>
      <c r="E2449" s="2">
        <f t="shared" ca="1" si="183"/>
        <v>43345</v>
      </c>
      <c r="F2449" s="6">
        <f t="shared" ca="1" si="184"/>
        <v>4.9380378839247809</v>
      </c>
    </row>
    <row r="2450" spans="1:6">
      <c r="A2450" s="1">
        <v>9128644</v>
      </c>
      <c r="B2450" s="1">
        <f t="shared" ca="1" si="181"/>
        <v>0.92372021473046773</v>
      </c>
      <c r="C2450" s="1">
        <f t="shared" ca="1" si="180"/>
        <v>261</v>
      </c>
      <c r="D2450" s="1">
        <f t="shared" ca="1" si="182"/>
        <v>187</v>
      </c>
      <c r="E2450" s="2">
        <f t="shared" ca="1" si="183"/>
        <v>43135</v>
      </c>
      <c r="F2450" s="6">
        <f t="shared" ca="1" si="184"/>
        <v>268.35234975444223</v>
      </c>
    </row>
    <row r="2451" spans="1:6">
      <c r="A2451" s="1">
        <v>9128647</v>
      </c>
      <c r="B2451" s="1">
        <f t="shared" ca="1" si="181"/>
        <v>0.17119310440449143</v>
      </c>
      <c r="C2451" s="1">
        <f t="shared" ca="1" si="180"/>
        <v>12</v>
      </c>
      <c r="D2451" s="1">
        <f t="shared" ca="1" si="182"/>
        <v>292</v>
      </c>
      <c r="E2451" s="2">
        <f t="shared" ca="1" si="183"/>
        <v>43262</v>
      </c>
      <c r="F2451" s="6">
        <f t="shared" ca="1" si="184"/>
        <v>8.1285941268889523</v>
      </c>
    </row>
    <row r="2452" spans="1:6">
      <c r="A2452" s="1">
        <v>9128650</v>
      </c>
      <c r="B2452" s="1">
        <f t="shared" ca="1" si="181"/>
        <v>0.60835235015481381</v>
      </c>
      <c r="C2452" s="1">
        <f t="shared" ca="1" si="180"/>
        <v>224</v>
      </c>
      <c r="D2452" s="1">
        <f t="shared" ca="1" si="182"/>
        <v>242</v>
      </c>
      <c r="E2452" s="2">
        <f t="shared" ca="1" si="183"/>
        <v>42988</v>
      </c>
      <c r="F2452" s="6">
        <f t="shared" ca="1" si="184"/>
        <v>408.95677715703823</v>
      </c>
    </row>
    <row r="2453" spans="1:6">
      <c r="A2453" s="1">
        <v>9128653</v>
      </c>
      <c r="B2453" s="1">
        <f t="shared" ca="1" si="181"/>
        <v>0.95297864110690977</v>
      </c>
      <c r="C2453" s="1">
        <f t="shared" ca="1" si="180"/>
        <v>51</v>
      </c>
      <c r="D2453" s="1">
        <f t="shared" ca="1" si="182"/>
        <v>93</v>
      </c>
      <c r="E2453" s="2">
        <f t="shared" ca="1" si="183"/>
        <v>42798</v>
      </c>
      <c r="F2453" s="6">
        <f t="shared" ca="1" si="184"/>
        <v>20.791738270663853</v>
      </c>
    </row>
    <row r="2454" spans="1:6">
      <c r="A2454" s="1">
        <v>9128656</v>
      </c>
      <c r="B2454" s="1">
        <f t="shared" ca="1" si="181"/>
        <v>0.77664915728911732</v>
      </c>
      <c r="C2454" s="1">
        <f t="shared" ca="1" si="180"/>
        <v>9</v>
      </c>
      <c r="D2454" s="1">
        <f t="shared" ca="1" si="182"/>
        <v>278</v>
      </c>
      <c r="E2454" s="2">
        <f t="shared" ca="1" si="183"/>
        <v>43234</v>
      </c>
      <c r="F2454" s="6">
        <f t="shared" ca="1" si="184"/>
        <v>18.845102624883218</v>
      </c>
    </row>
    <row r="2455" spans="1:6">
      <c r="A2455" s="1">
        <v>9128659</v>
      </c>
      <c r="B2455" s="1">
        <f t="shared" ca="1" si="181"/>
        <v>0.42756427842896672</v>
      </c>
      <c r="C2455" s="1">
        <f t="shared" ca="1" si="180"/>
        <v>16</v>
      </c>
      <c r="D2455" s="1">
        <f t="shared" ca="1" si="182"/>
        <v>465</v>
      </c>
      <c r="E2455" s="2">
        <f t="shared" ca="1" si="183"/>
        <v>43415</v>
      </c>
      <c r="F2455" s="6">
        <f t="shared" ca="1" si="184"/>
        <v>70.140851123044456</v>
      </c>
    </row>
    <row r="2456" spans="1:6">
      <c r="A2456" s="1">
        <v>9128662</v>
      </c>
      <c r="B2456" s="1">
        <f t="shared" ca="1" si="181"/>
        <v>0.50086671791451509</v>
      </c>
      <c r="C2456" s="1">
        <f t="shared" ca="1" si="180"/>
        <v>18</v>
      </c>
      <c r="D2456" s="1">
        <f t="shared" ca="1" si="182"/>
        <v>511</v>
      </c>
      <c r="E2456" s="2">
        <f t="shared" ca="1" si="183"/>
        <v>43440</v>
      </c>
      <c r="F2456" s="6">
        <f t="shared" ca="1" si="184"/>
        <v>149.32190558536112</v>
      </c>
    </row>
    <row r="2457" spans="1:6">
      <c r="A2457" s="1">
        <v>9128665</v>
      </c>
      <c r="B2457" s="1">
        <f t="shared" ca="1" si="181"/>
        <v>0.32710643977801179</v>
      </c>
      <c r="C2457" s="1">
        <f t="shared" ca="1" si="180"/>
        <v>45</v>
      </c>
      <c r="D2457" s="1">
        <f t="shared" ca="1" si="182"/>
        <v>482</v>
      </c>
      <c r="E2457" s="2">
        <f t="shared" ca="1" si="183"/>
        <v>43490</v>
      </c>
      <c r="F2457" s="6">
        <f t="shared" ca="1" si="184"/>
        <v>4.5020076071486308</v>
      </c>
    </row>
    <row r="2458" spans="1:6">
      <c r="A2458" s="1">
        <v>9128668</v>
      </c>
      <c r="B2458" s="1">
        <f t="shared" ca="1" si="181"/>
        <v>0.28263163935892155</v>
      </c>
      <c r="C2458" s="1">
        <f t="shared" ca="1" si="180"/>
        <v>1</v>
      </c>
      <c r="D2458" s="1">
        <f t="shared" ca="1" si="182"/>
        <v>474</v>
      </c>
      <c r="E2458" s="2">
        <f t="shared" ca="1" si="183"/>
        <v>43017</v>
      </c>
      <c r="F2458" s="6">
        <f t="shared" ca="1" si="184"/>
        <v>82.991449516048633</v>
      </c>
    </row>
    <row r="2459" spans="1:6">
      <c r="A2459" s="1">
        <v>9128671</v>
      </c>
      <c r="B2459" s="1">
        <f t="shared" ca="1" si="181"/>
        <v>0.51362986271884359</v>
      </c>
      <c r="C2459" s="1">
        <f t="shared" ref="C2459:C2522" ca="1" si="185">ROUND(_xlfn.GAMMA.INV(RAND(),$J$11,$J$12)*100,0)+1</f>
        <v>36</v>
      </c>
      <c r="D2459" s="1">
        <f t="shared" ca="1" si="182"/>
        <v>529</v>
      </c>
      <c r="E2459" s="2">
        <f t="shared" ca="1" si="183"/>
        <v>43181</v>
      </c>
      <c r="F2459" s="6">
        <f t="shared" ca="1" si="184"/>
        <v>30.956160270328223</v>
      </c>
    </row>
    <row r="2460" spans="1:6">
      <c r="A2460" s="1">
        <v>9128674</v>
      </c>
      <c r="B2460" s="1">
        <f t="shared" ca="1" si="181"/>
        <v>5.882932668672114E-2</v>
      </c>
      <c r="C2460" s="1">
        <f t="shared" ca="1" si="185"/>
        <v>29</v>
      </c>
      <c r="D2460" s="1">
        <f t="shared" ca="1" si="182"/>
        <v>514</v>
      </c>
      <c r="E2460" s="2">
        <f t="shared" ca="1" si="183"/>
        <v>42894</v>
      </c>
      <c r="F2460" s="6">
        <f t="shared" ca="1" si="184"/>
        <v>5.2865912281566043</v>
      </c>
    </row>
    <row r="2461" spans="1:6">
      <c r="A2461" s="1">
        <v>9128677</v>
      </c>
      <c r="B2461" s="1">
        <f t="shared" ca="1" si="181"/>
        <v>8.1144990801112149E-2</v>
      </c>
      <c r="C2461" s="1">
        <f t="shared" ca="1" si="185"/>
        <v>8</v>
      </c>
      <c r="D2461" s="1">
        <f t="shared" ca="1" si="182"/>
        <v>456</v>
      </c>
      <c r="E2461" s="2">
        <f t="shared" ca="1" si="183"/>
        <v>43102</v>
      </c>
      <c r="F2461" s="6">
        <f t="shared" ca="1" si="184"/>
        <v>143.04365251268035</v>
      </c>
    </row>
    <row r="2462" spans="1:6">
      <c r="A2462" s="1">
        <v>9128680</v>
      </c>
      <c r="B2462" s="1">
        <f t="shared" ca="1" si="181"/>
        <v>0.58511859971830182</v>
      </c>
      <c r="C2462" s="1">
        <f t="shared" ca="1" si="185"/>
        <v>116</v>
      </c>
      <c r="D2462" s="1">
        <f t="shared" ca="1" si="182"/>
        <v>153</v>
      </c>
      <c r="E2462" s="2">
        <f t="shared" ca="1" si="183"/>
        <v>42776</v>
      </c>
      <c r="F2462" s="6">
        <f t="shared" ca="1" si="184"/>
        <v>3.9154113547472473</v>
      </c>
    </row>
    <row r="2463" spans="1:6">
      <c r="A2463" s="1">
        <v>9128683</v>
      </c>
      <c r="B2463" s="1">
        <f t="shared" ca="1" si="181"/>
        <v>0.44924500164389536</v>
      </c>
      <c r="C2463" s="1">
        <f t="shared" ca="1" si="185"/>
        <v>33</v>
      </c>
      <c r="D2463" s="1">
        <f t="shared" ca="1" si="182"/>
        <v>501</v>
      </c>
      <c r="E2463" s="2">
        <f t="shared" ca="1" si="183"/>
        <v>42820</v>
      </c>
      <c r="F2463" s="6">
        <f t="shared" ca="1" si="184"/>
        <v>3.3655073711046386</v>
      </c>
    </row>
    <row r="2464" spans="1:6">
      <c r="A2464" s="1">
        <v>9128686</v>
      </c>
      <c r="B2464" s="1">
        <f t="shared" ca="1" si="181"/>
        <v>0.48746804970041047</v>
      </c>
      <c r="C2464" s="1">
        <f t="shared" ca="1" si="185"/>
        <v>15</v>
      </c>
      <c r="D2464" s="1">
        <f t="shared" ca="1" si="182"/>
        <v>284</v>
      </c>
      <c r="E2464" s="2">
        <f t="shared" ca="1" si="183"/>
        <v>43011</v>
      </c>
      <c r="F2464" s="6">
        <f t="shared" ca="1" si="184"/>
        <v>39.946308056168107</v>
      </c>
    </row>
    <row r="2465" spans="1:6">
      <c r="A2465" s="1">
        <v>9128689</v>
      </c>
      <c r="B2465" s="1">
        <f t="shared" ca="1" si="181"/>
        <v>0.50326829735084144</v>
      </c>
      <c r="C2465" s="1">
        <f t="shared" ca="1" si="185"/>
        <v>10</v>
      </c>
      <c r="D2465" s="1">
        <f t="shared" ca="1" si="182"/>
        <v>236</v>
      </c>
      <c r="E2465" s="2">
        <f t="shared" ca="1" si="183"/>
        <v>42786</v>
      </c>
      <c r="F2465" s="6">
        <f t="shared" ca="1" si="184"/>
        <v>23.977577817254836</v>
      </c>
    </row>
    <row r="2466" spans="1:6">
      <c r="A2466" s="1">
        <v>9128692</v>
      </c>
      <c r="B2466" s="1">
        <f t="shared" ca="1" si="181"/>
        <v>0.63295179026862258</v>
      </c>
      <c r="C2466" s="1">
        <f t="shared" ca="1" si="185"/>
        <v>50</v>
      </c>
      <c r="D2466" s="1">
        <f t="shared" ca="1" si="182"/>
        <v>415</v>
      </c>
      <c r="E2466" s="2">
        <f t="shared" ca="1" si="183"/>
        <v>43430</v>
      </c>
      <c r="F2466" s="6">
        <f t="shared" ca="1" si="184"/>
        <v>21.044691384785409</v>
      </c>
    </row>
    <row r="2467" spans="1:6">
      <c r="A2467" s="1">
        <v>9128695</v>
      </c>
      <c r="B2467" s="1">
        <f t="shared" ca="1" si="181"/>
        <v>0.54347971574149845</v>
      </c>
      <c r="C2467" s="1">
        <f t="shared" ca="1" si="185"/>
        <v>10</v>
      </c>
      <c r="D2467" s="1">
        <f t="shared" ca="1" si="182"/>
        <v>236</v>
      </c>
      <c r="E2467" s="2">
        <f t="shared" ca="1" si="183"/>
        <v>43483</v>
      </c>
      <c r="F2467" s="6">
        <f t="shared" ca="1" si="184"/>
        <v>12.57967160714332</v>
      </c>
    </row>
    <row r="2468" spans="1:6">
      <c r="A2468" s="1">
        <v>9128698</v>
      </c>
      <c r="B2468" s="1">
        <f t="shared" ca="1" si="181"/>
        <v>0.5984614616725723</v>
      </c>
      <c r="C2468" s="1">
        <f t="shared" ca="1" si="185"/>
        <v>140</v>
      </c>
      <c r="D2468" s="1">
        <f t="shared" ca="1" si="182"/>
        <v>195</v>
      </c>
      <c r="E2468" s="2">
        <f t="shared" ca="1" si="183"/>
        <v>43443</v>
      </c>
      <c r="F2468" s="6">
        <f t="shared" ca="1" si="184"/>
        <v>28.412488323197969</v>
      </c>
    </row>
    <row r="2469" spans="1:6">
      <c r="A2469" s="1">
        <v>9128701</v>
      </c>
      <c r="B2469" s="1">
        <f t="shared" ca="1" si="181"/>
        <v>0.40533039438271823</v>
      </c>
      <c r="C2469" s="1">
        <f t="shared" ca="1" si="185"/>
        <v>9</v>
      </c>
      <c r="D2469" s="1">
        <f t="shared" ca="1" si="182"/>
        <v>278</v>
      </c>
      <c r="E2469" s="2">
        <f t="shared" ca="1" si="183"/>
        <v>42899</v>
      </c>
      <c r="F2469" s="6">
        <f t="shared" ca="1" si="184"/>
        <v>7.1116683785462387</v>
      </c>
    </row>
    <row r="2470" spans="1:6">
      <c r="A2470" s="1">
        <v>9128704</v>
      </c>
      <c r="B2470" s="1">
        <f t="shared" ca="1" si="181"/>
        <v>0.25741773160016268</v>
      </c>
      <c r="C2470" s="1">
        <f t="shared" ca="1" si="185"/>
        <v>21</v>
      </c>
      <c r="D2470" s="1">
        <f t="shared" ca="1" si="182"/>
        <v>566</v>
      </c>
      <c r="E2470" s="2">
        <f t="shared" ca="1" si="183"/>
        <v>43395</v>
      </c>
      <c r="F2470" s="6">
        <f t="shared" ca="1" si="184"/>
        <v>3.0991810338835895</v>
      </c>
    </row>
    <row r="2471" spans="1:6">
      <c r="A2471" s="1">
        <v>9128707</v>
      </c>
      <c r="B2471" s="1">
        <f t="shared" ca="1" si="181"/>
        <v>0.99981271407783234</v>
      </c>
      <c r="C2471" s="1">
        <f t="shared" ca="1" si="185"/>
        <v>24</v>
      </c>
      <c r="D2471" s="1">
        <f t="shared" ca="1" si="182"/>
        <v>334</v>
      </c>
      <c r="E2471" s="2">
        <f t="shared" ca="1" si="183"/>
        <v>42766</v>
      </c>
      <c r="F2471" s="6">
        <f t="shared" ca="1" si="184"/>
        <v>7.2586684215152424</v>
      </c>
    </row>
    <row r="2472" spans="1:6">
      <c r="A2472" s="1">
        <v>9128710</v>
      </c>
      <c r="B2472" s="1">
        <f t="shared" ca="1" si="181"/>
        <v>0.5613860209266619</v>
      </c>
      <c r="C2472" s="1">
        <f t="shared" ca="1" si="185"/>
        <v>39</v>
      </c>
      <c r="D2472" s="1">
        <f t="shared" ca="1" si="182"/>
        <v>402</v>
      </c>
      <c r="E2472" s="2">
        <f t="shared" ca="1" si="183"/>
        <v>43318</v>
      </c>
      <c r="F2472" s="6">
        <f t="shared" ca="1" si="184"/>
        <v>9.2926186398834556</v>
      </c>
    </row>
    <row r="2473" spans="1:6">
      <c r="A2473" s="1">
        <v>9128713</v>
      </c>
      <c r="B2473" s="1">
        <f t="shared" ca="1" si="181"/>
        <v>0.26467529856730798</v>
      </c>
      <c r="C2473" s="1">
        <f t="shared" ca="1" si="185"/>
        <v>141</v>
      </c>
      <c r="D2473" s="1">
        <f t="shared" ca="1" si="182"/>
        <v>130</v>
      </c>
      <c r="E2473" s="2">
        <f t="shared" ca="1" si="183"/>
        <v>42938</v>
      </c>
      <c r="F2473" s="6">
        <f t="shared" ca="1" si="184"/>
        <v>14.552175991375281</v>
      </c>
    </row>
    <row r="2474" spans="1:6">
      <c r="A2474" s="1">
        <v>9128716</v>
      </c>
      <c r="B2474" s="1">
        <f t="shared" ca="1" si="181"/>
        <v>0.93826697909055956</v>
      </c>
      <c r="C2474" s="1">
        <f t="shared" ca="1" si="185"/>
        <v>10</v>
      </c>
      <c r="D2474" s="1">
        <f t="shared" ca="1" si="182"/>
        <v>236</v>
      </c>
      <c r="E2474" s="2">
        <f t="shared" ca="1" si="183"/>
        <v>43327</v>
      </c>
      <c r="F2474" s="6">
        <f t="shared" ca="1" si="184"/>
        <v>18.980937356821144</v>
      </c>
    </row>
    <row r="2475" spans="1:6">
      <c r="A2475" s="1">
        <v>9128719</v>
      </c>
      <c r="B2475" s="1">
        <f t="shared" ca="1" si="181"/>
        <v>0.3597426251494672</v>
      </c>
      <c r="C2475" s="1">
        <f t="shared" ca="1" si="185"/>
        <v>2</v>
      </c>
      <c r="D2475" s="1">
        <f t="shared" ca="1" si="182"/>
        <v>30</v>
      </c>
      <c r="E2475" s="2">
        <f t="shared" ca="1" si="183"/>
        <v>42887</v>
      </c>
      <c r="F2475" s="6">
        <f t="shared" ca="1" si="184"/>
        <v>256.57527963014797</v>
      </c>
    </row>
    <row r="2476" spans="1:6">
      <c r="A2476" s="1">
        <v>9128722</v>
      </c>
      <c r="B2476" s="1">
        <f t="shared" ca="1" si="181"/>
        <v>7.4751927954183617E-2</v>
      </c>
      <c r="C2476" s="1">
        <f t="shared" ca="1" si="185"/>
        <v>31</v>
      </c>
      <c r="D2476" s="1">
        <f t="shared" ca="1" si="182"/>
        <v>535</v>
      </c>
      <c r="E2476" s="2">
        <f t="shared" ca="1" si="183"/>
        <v>42979</v>
      </c>
      <c r="F2476" s="6">
        <f t="shared" ca="1" si="184"/>
        <v>70.8961430269255</v>
      </c>
    </row>
    <row r="2477" spans="1:6">
      <c r="A2477" s="1">
        <v>9128725</v>
      </c>
      <c r="B2477" s="1">
        <f t="shared" ca="1" si="181"/>
        <v>0.86804066068408692</v>
      </c>
      <c r="C2477" s="1">
        <f t="shared" ca="1" si="185"/>
        <v>28</v>
      </c>
      <c r="D2477" s="1">
        <f t="shared" ca="1" si="182"/>
        <v>401</v>
      </c>
      <c r="E2477" s="2">
        <f t="shared" ca="1" si="183"/>
        <v>43116</v>
      </c>
      <c r="F2477" s="6">
        <f t="shared" ca="1" si="184"/>
        <v>24.365530401150483</v>
      </c>
    </row>
    <row r="2478" spans="1:6">
      <c r="A2478" s="1">
        <v>9128728</v>
      </c>
      <c r="B2478" s="1">
        <f t="shared" ca="1" si="181"/>
        <v>0.93308737499888217</v>
      </c>
      <c r="C2478" s="1">
        <f t="shared" ca="1" si="185"/>
        <v>1</v>
      </c>
      <c r="D2478" s="1">
        <f t="shared" ca="1" si="182"/>
        <v>474</v>
      </c>
      <c r="E2478" s="2">
        <f t="shared" ca="1" si="183"/>
        <v>43042</v>
      </c>
      <c r="F2478" s="6">
        <f t="shared" ca="1" si="184"/>
        <v>20.79536708875392</v>
      </c>
    </row>
    <row r="2479" spans="1:6">
      <c r="A2479" s="1">
        <v>9128731</v>
      </c>
      <c r="B2479" s="1">
        <f t="shared" ca="1" si="181"/>
        <v>0.82776304278413371</v>
      </c>
      <c r="C2479" s="1">
        <f t="shared" ca="1" si="185"/>
        <v>1</v>
      </c>
      <c r="D2479" s="1">
        <f t="shared" ca="1" si="182"/>
        <v>474</v>
      </c>
      <c r="E2479" s="2">
        <f t="shared" ca="1" si="183"/>
        <v>42898</v>
      </c>
      <c r="F2479" s="6">
        <f t="shared" ca="1" si="184"/>
        <v>44.455151579217706</v>
      </c>
    </row>
    <row r="2480" spans="1:6">
      <c r="A2480" s="1">
        <v>9128734</v>
      </c>
      <c r="B2480" s="1">
        <f t="shared" ca="1" si="181"/>
        <v>0.39425465195737319</v>
      </c>
      <c r="C2480" s="1">
        <f t="shared" ca="1" si="185"/>
        <v>24</v>
      </c>
      <c r="D2480" s="1">
        <f t="shared" ca="1" si="182"/>
        <v>334</v>
      </c>
      <c r="E2480" s="2">
        <f t="shared" ca="1" si="183"/>
        <v>43168</v>
      </c>
      <c r="F2480" s="6">
        <f t="shared" ca="1" si="184"/>
        <v>266.92168051891031</v>
      </c>
    </row>
    <row r="2481" spans="1:6">
      <c r="A2481" s="1">
        <v>9128737</v>
      </c>
      <c r="B2481" s="1">
        <f t="shared" ca="1" si="181"/>
        <v>0.57076240308479143</v>
      </c>
      <c r="C2481" s="1">
        <f t="shared" ca="1" si="185"/>
        <v>114</v>
      </c>
      <c r="D2481" s="1">
        <f t="shared" ca="1" si="182"/>
        <v>581</v>
      </c>
      <c r="E2481" s="2">
        <f t="shared" ca="1" si="183"/>
        <v>43379</v>
      </c>
      <c r="F2481" s="6">
        <f t="shared" ca="1" si="184"/>
        <v>3.162883611378656</v>
      </c>
    </row>
    <row r="2482" spans="1:6">
      <c r="A2482" s="1">
        <v>9128740</v>
      </c>
      <c r="B2482" s="1">
        <f t="shared" ca="1" si="181"/>
        <v>0.95493214887233624</v>
      </c>
      <c r="C2482" s="1">
        <f t="shared" ca="1" si="185"/>
        <v>1</v>
      </c>
      <c r="D2482" s="1">
        <f t="shared" ca="1" si="182"/>
        <v>474</v>
      </c>
      <c r="E2482" s="2">
        <f t="shared" ca="1" si="183"/>
        <v>42986</v>
      </c>
      <c r="F2482" s="6">
        <f t="shared" ca="1" si="184"/>
        <v>67.351327751173358</v>
      </c>
    </row>
    <row r="2483" spans="1:6">
      <c r="A2483" s="1">
        <v>9128743</v>
      </c>
      <c r="B2483" s="1">
        <f t="shared" ca="1" si="181"/>
        <v>0.66279880913629707</v>
      </c>
      <c r="C2483" s="1">
        <f t="shared" ca="1" si="185"/>
        <v>19</v>
      </c>
      <c r="D2483" s="1">
        <f t="shared" ca="1" si="182"/>
        <v>42</v>
      </c>
      <c r="E2483" s="2">
        <f t="shared" ca="1" si="183"/>
        <v>43185</v>
      </c>
      <c r="F2483" s="6">
        <f t="shared" ca="1" si="184"/>
        <v>6.2219417424216381</v>
      </c>
    </row>
    <row r="2484" spans="1:6">
      <c r="A2484" s="1">
        <v>9128746</v>
      </c>
      <c r="B2484" s="1">
        <f t="shared" ca="1" si="181"/>
        <v>0.97348647464362115</v>
      </c>
      <c r="C2484" s="1">
        <f t="shared" ca="1" si="185"/>
        <v>8</v>
      </c>
      <c r="D2484" s="1">
        <f t="shared" ca="1" si="182"/>
        <v>456</v>
      </c>
      <c r="E2484" s="2">
        <f t="shared" ca="1" si="183"/>
        <v>43298</v>
      </c>
      <c r="F2484" s="6">
        <f t="shared" ca="1" si="184"/>
        <v>59.590662840565095</v>
      </c>
    </row>
    <row r="2485" spans="1:6">
      <c r="A2485" s="1">
        <v>9128749</v>
      </c>
      <c r="B2485" s="1">
        <f t="shared" ca="1" si="181"/>
        <v>0.30145684849433552</v>
      </c>
      <c r="C2485" s="1">
        <f t="shared" ca="1" si="185"/>
        <v>2</v>
      </c>
      <c r="D2485" s="1">
        <f t="shared" ca="1" si="182"/>
        <v>30</v>
      </c>
      <c r="E2485" s="2">
        <f t="shared" ca="1" si="183"/>
        <v>42813</v>
      </c>
      <c r="F2485" s="6">
        <f t="shared" ca="1" si="184"/>
        <v>17.813077466955281</v>
      </c>
    </row>
    <row r="2486" spans="1:6">
      <c r="A2486" s="1">
        <v>9128752</v>
      </c>
      <c r="B2486" s="1">
        <f t="shared" ca="1" si="181"/>
        <v>0.75559598107112658</v>
      </c>
      <c r="C2486" s="1">
        <f t="shared" ca="1" si="185"/>
        <v>11</v>
      </c>
      <c r="D2486" s="1">
        <f t="shared" ca="1" si="182"/>
        <v>437</v>
      </c>
      <c r="E2486" s="2">
        <f t="shared" ca="1" si="183"/>
        <v>43173</v>
      </c>
      <c r="F2486" s="6">
        <f t="shared" ca="1" si="184"/>
        <v>3.0525937278051951</v>
      </c>
    </row>
    <row r="2487" spans="1:6">
      <c r="A2487" s="1">
        <v>9128755</v>
      </c>
      <c r="B2487" s="1">
        <f t="shared" ca="1" si="181"/>
        <v>0.72964170792599325</v>
      </c>
      <c r="C2487" s="1">
        <f t="shared" ca="1" si="185"/>
        <v>22</v>
      </c>
      <c r="D2487" s="1">
        <f t="shared" ca="1" si="182"/>
        <v>413</v>
      </c>
      <c r="E2487" s="2">
        <f t="shared" ca="1" si="183"/>
        <v>43014</v>
      </c>
      <c r="F2487" s="6">
        <f t="shared" ca="1" si="184"/>
        <v>22.870469004902429</v>
      </c>
    </row>
    <row r="2488" spans="1:6">
      <c r="A2488" s="1">
        <v>9128758</v>
      </c>
      <c r="B2488" s="1">
        <f t="shared" ca="1" si="181"/>
        <v>0.78380932295165329</v>
      </c>
      <c r="C2488" s="1">
        <f t="shared" ca="1" si="185"/>
        <v>7</v>
      </c>
      <c r="D2488" s="1">
        <f t="shared" ca="1" si="182"/>
        <v>138</v>
      </c>
      <c r="E2488" s="2">
        <f t="shared" ca="1" si="183"/>
        <v>43367</v>
      </c>
      <c r="F2488" s="6">
        <f t="shared" ca="1" si="184"/>
        <v>65.39061331230306</v>
      </c>
    </row>
    <row r="2489" spans="1:6">
      <c r="A2489" s="1">
        <v>9128761</v>
      </c>
      <c r="B2489" s="1">
        <f t="shared" ca="1" si="181"/>
        <v>0.65463353753905229</v>
      </c>
      <c r="C2489" s="1">
        <f t="shared" ca="1" si="185"/>
        <v>7</v>
      </c>
      <c r="D2489" s="1">
        <f t="shared" ca="1" si="182"/>
        <v>138</v>
      </c>
      <c r="E2489" s="2">
        <f t="shared" ca="1" si="183"/>
        <v>42800</v>
      </c>
      <c r="F2489" s="6">
        <f t="shared" ca="1" si="184"/>
        <v>3.6961023298092686</v>
      </c>
    </row>
    <row r="2490" spans="1:6">
      <c r="A2490" s="1">
        <v>9128764</v>
      </c>
      <c r="B2490" s="1">
        <f t="shared" ca="1" si="181"/>
        <v>7.7127030547302966E-2</v>
      </c>
      <c r="C2490" s="1">
        <f t="shared" ca="1" si="185"/>
        <v>44</v>
      </c>
      <c r="D2490" s="1">
        <f t="shared" ca="1" si="182"/>
        <v>427</v>
      </c>
      <c r="E2490" s="2">
        <f t="shared" ca="1" si="183"/>
        <v>42902</v>
      </c>
      <c r="F2490" s="6">
        <f t="shared" ca="1" si="184"/>
        <v>57.434483106721643</v>
      </c>
    </row>
    <row r="2491" spans="1:6">
      <c r="A2491" s="1">
        <v>9128767</v>
      </c>
      <c r="B2491" s="1">
        <f t="shared" ca="1" si="181"/>
        <v>0.63263539171030825</v>
      </c>
      <c r="C2491" s="1">
        <f t="shared" ca="1" si="185"/>
        <v>54</v>
      </c>
      <c r="D2491" s="1">
        <f t="shared" ca="1" si="182"/>
        <v>168</v>
      </c>
      <c r="E2491" s="2">
        <f t="shared" ca="1" si="183"/>
        <v>42846</v>
      </c>
      <c r="F2491" s="6">
        <f t="shared" ca="1" si="184"/>
        <v>111.40193288757007</v>
      </c>
    </row>
    <row r="2492" spans="1:6">
      <c r="A2492" s="1">
        <v>9128770</v>
      </c>
      <c r="B2492" s="1">
        <f t="shared" ca="1" si="181"/>
        <v>0.80340931899273749</v>
      </c>
      <c r="C2492" s="1">
        <f t="shared" ca="1" si="185"/>
        <v>52</v>
      </c>
      <c r="D2492" s="1">
        <f t="shared" ca="1" si="182"/>
        <v>574</v>
      </c>
      <c r="E2492" s="2">
        <f t="shared" ca="1" si="183"/>
        <v>42955</v>
      </c>
      <c r="F2492" s="6">
        <f t="shared" ca="1" si="184"/>
        <v>39.703358409064066</v>
      </c>
    </row>
    <row r="2493" spans="1:6">
      <c r="A2493" s="1">
        <v>9128773</v>
      </c>
      <c r="B2493" s="1">
        <f t="shared" ca="1" si="181"/>
        <v>0.14232199255051592</v>
      </c>
      <c r="C2493" s="1">
        <f t="shared" ca="1" si="185"/>
        <v>9</v>
      </c>
      <c r="D2493" s="1">
        <f t="shared" ca="1" si="182"/>
        <v>278</v>
      </c>
      <c r="E2493" s="2">
        <f t="shared" ca="1" si="183"/>
        <v>42862</v>
      </c>
      <c r="F2493" s="6">
        <f t="shared" ca="1" si="184"/>
        <v>15.722992249963156</v>
      </c>
    </row>
    <row r="2494" spans="1:6">
      <c r="A2494" s="1">
        <v>9128776</v>
      </c>
      <c r="B2494" s="1">
        <f t="shared" ca="1" si="181"/>
        <v>0.59789894374914354</v>
      </c>
      <c r="C2494" s="1">
        <f t="shared" ca="1" si="185"/>
        <v>90</v>
      </c>
      <c r="D2494" s="1">
        <f t="shared" ca="1" si="182"/>
        <v>417</v>
      </c>
      <c r="E2494" s="2">
        <f t="shared" ca="1" si="183"/>
        <v>42988</v>
      </c>
      <c r="F2494" s="6">
        <f t="shared" ca="1" si="184"/>
        <v>3.164536956236184</v>
      </c>
    </row>
    <row r="2495" spans="1:6">
      <c r="A2495" s="1">
        <v>9128779</v>
      </c>
      <c r="B2495" s="1">
        <f t="shared" ca="1" si="181"/>
        <v>0.94747825833179211</v>
      </c>
      <c r="C2495" s="1">
        <f t="shared" ca="1" si="185"/>
        <v>111</v>
      </c>
      <c r="D2495" s="1">
        <f t="shared" ca="1" si="182"/>
        <v>230</v>
      </c>
      <c r="E2495" s="2">
        <f t="shared" ca="1" si="183"/>
        <v>43320</v>
      </c>
      <c r="F2495" s="6">
        <f t="shared" ca="1" si="184"/>
        <v>130.6374453689059</v>
      </c>
    </row>
    <row r="2496" spans="1:6">
      <c r="A2496" s="1">
        <v>9128782</v>
      </c>
      <c r="B2496" s="1">
        <f t="shared" ca="1" si="181"/>
        <v>0.77633263714880107</v>
      </c>
      <c r="C2496" s="1">
        <f t="shared" ca="1" si="185"/>
        <v>6</v>
      </c>
      <c r="D2496" s="1">
        <f t="shared" ca="1" si="182"/>
        <v>208</v>
      </c>
      <c r="E2496" s="2">
        <f t="shared" ca="1" si="183"/>
        <v>43090</v>
      </c>
      <c r="F2496" s="6">
        <f t="shared" ca="1" si="184"/>
        <v>4.3826732838179581</v>
      </c>
    </row>
    <row r="2497" spans="1:6">
      <c r="A2497" s="1">
        <v>9128785</v>
      </c>
      <c r="B2497" s="1">
        <f t="shared" ca="1" si="181"/>
        <v>6.1227929288746541E-2</v>
      </c>
      <c r="C2497" s="1">
        <f t="shared" ca="1" si="185"/>
        <v>173</v>
      </c>
      <c r="D2497" s="1">
        <f t="shared" ca="1" si="182"/>
        <v>523</v>
      </c>
      <c r="E2497" s="2">
        <f t="shared" ca="1" si="183"/>
        <v>43475</v>
      </c>
      <c r="F2497" s="6">
        <f t="shared" ca="1" si="184"/>
        <v>5.6592665831907443</v>
      </c>
    </row>
    <row r="2498" spans="1:6">
      <c r="A2498" s="1">
        <v>9128788</v>
      </c>
      <c r="B2498" s="1">
        <f t="shared" ref="B2498:B2561" ca="1" si="186">RAND()</f>
        <v>1.8868184980782354E-2</v>
      </c>
      <c r="C2498" s="1">
        <f t="shared" ca="1" si="185"/>
        <v>161</v>
      </c>
      <c r="D2498" s="1">
        <f t="shared" ca="1" si="182"/>
        <v>318</v>
      </c>
      <c r="E2498" s="2">
        <f t="shared" ca="1" si="183"/>
        <v>43139</v>
      </c>
      <c r="F2498" s="6">
        <f t="shared" ca="1" si="184"/>
        <v>14.031976584231321</v>
      </c>
    </row>
    <row r="2499" spans="1:6">
      <c r="A2499" s="1">
        <v>9128791</v>
      </c>
      <c r="B2499" s="1">
        <f t="shared" ca="1" si="186"/>
        <v>0.26915669500875927</v>
      </c>
      <c r="C2499" s="1">
        <f t="shared" ca="1" si="185"/>
        <v>48</v>
      </c>
      <c r="D2499" s="1">
        <f t="shared" ref="D2499:D2562" ca="1" si="187">VLOOKUP(SMALL($B$2:$B$601,C2499),$B$2:$C$601,2,FALSE)</f>
        <v>424</v>
      </c>
      <c r="E2499" s="2">
        <f t="shared" ref="E2499:E2562" ca="1" si="188">RANDBETWEEN("1/1/17","2/1/19")</f>
        <v>43198</v>
      </c>
      <c r="F2499" s="6">
        <f t="shared" ref="F2499:F2562" ca="1" si="189">_xlfn.GAMMA.INV(RAND(),$J$6,$J$7)*100+3</f>
        <v>141.19729203246825</v>
      </c>
    </row>
    <row r="2500" spans="1:6">
      <c r="A2500" s="1">
        <v>9128794</v>
      </c>
      <c r="B2500" s="1">
        <f t="shared" ca="1" si="186"/>
        <v>0.25492183911681465</v>
      </c>
      <c r="C2500" s="1">
        <f t="shared" ca="1" si="185"/>
        <v>53</v>
      </c>
      <c r="D2500" s="1">
        <f t="shared" ca="1" si="187"/>
        <v>155</v>
      </c>
      <c r="E2500" s="2">
        <f t="shared" ca="1" si="188"/>
        <v>43339</v>
      </c>
      <c r="F2500" s="6">
        <f t="shared" ca="1" si="189"/>
        <v>79.022908063221379</v>
      </c>
    </row>
    <row r="2501" spans="1:6">
      <c r="A2501" s="1">
        <v>9128797</v>
      </c>
      <c r="B2501" s="1">
        <f t="shared" ca="1" si="186"/>
        <v>0.88066493574377158</v>
      </c>
      <c r="C2501" s="1">
        <f t="shared" ca="1" si="185"/>
        <v>504</v>
      </c>
      <c r="D2501" s="1">
        <f t="shared" ca="1" si="187"/>
        <v>170</v>
      </c>
      <c r="E2501" s="2">
        <f t="shared" ca="1" si="188"/>
        <v>43093</v>
      </c>
      <c r="F2501" s="6">
        <f t="shared" ca="1" si="189"/>
        <v>34.713146318028933</v>
      </c>
    </row>
    <row r="2502" spans="1:6">
      <c r="A2502" s="1">
        <v>9128800</v>
      </c>
      <c r="B2502" s="1">
        <f t="shared" ca="1" si="186"/>
        <v>0.10642924538721055</v>
      </c>
      <c r="C2502" s="1">
        <f t="shared" ca="1" si="185"/>
        <v>123</v>
      </c>
      <c r="D2502" s="1">
        <f t="shared" ca="1" si="187"/>
        <v>288</v>
      </c>
      <c r="E2502" s="2">
        <f t="shared" ca="1" si="188"/>
        <v>43226</v>
      </c>
      <c r="F2502" s="6">
        <f t="shared" ca="1" si="189"/>
        <v>12.758004150098925</v>
      </c>
    </row>
    <row r="2503" spans="1:6">
      <c r="A2503" s="1">
        <v>9128803</v>
      </c>
      <c r="B2503" s="1">
        <f t="shared" ca="1" si="186"/>
        <v>0.60356758769790175</v>
      </c>
      <c r="C2503" s="1">
        <f t="shared" ca="1" si="185"/>
        <v>201</v>
      </c>
      <c r="D2503" s="1">
        <f t="shared" ca="1" si="187"/>
        <v>346</v>
      </c>
      <c r="E2503" s="2">
        <f t="shared" ca="1" si="188"/>
        <v>42750</v>
      </c>
      <c r="F2503" s="6">
        <f t="shared" ca="1" si="189"/>
        <v>7.3238216836882293</v>
      </c>
    </row>
    <row r="2504" spans="1:6">
      <c r="A2504" s="1">
        <v>9128806</v>
      </c>
      <c r="B2504" s="1">
        <f t="shared" ca="1" si="186"/>
        <v>0.83919900368828892</v>
      </c>
      <c r="C2504" s="1">
        <f t="shared" ca="1" si="185"/>
        <v>27</v>
      </c>
      <c r="D2504" s="1">
        <f t="shared" ca="1" si="187"/>
        <v>398</v>
      </c>
      <c r="E2504" s="2">
        <f t="shared" ca="1" si="188"/>
        <v>43353</v>
      </c>
      <c r="F2504" s="6">
        <f t="shared" ca="1" si="189"/>
        <v>94.830289497305913</v>
      </c>
    </row>
    <row r="2505" spans="1:6">
      <c r="A2505" s="1">
        <v>9128809</v>
      </c>
      <c r="B2505" s="1">
        <f t="shared" ca="1" si="186"/>
        <v>0.85151884606285078</v>
      </c>
      <c r="C2505" s="1">
        <f t="shared" ca="1" si="185"/>
        <v>94</v>
      </c>
      <c r="D2505" s="1">
        <f t="shared" ca="1" si="187"/>
        <v>87</v>
      </c>
      <c r="E2505" s="2">
        <f t="shared" ca="1" si="188"/>
        <v>43409</v>
      </c>
      <c r="F2505" s="6">
        <f t="shared" ca="1" si="189"/>
        <v>19.632883602863295</v>
      </c>
    </row>
    <row r="2506" spans="1:6">
      <c r="A2506" s="1">
        <v>9128812</v>
      </c>
      <c r="B2506" s="1">
        <f t="shared" ca="1" si="186"/>
        <v>0.18928384315734659</v>
      </c>
      <c r="C2506" s="1">
        <f t="shared" ca="1" si="185"/>
        <v>27</v>
      </c>
      <c r="D2506" s="1">
        <f t="shared" ca="1" si="187"/>
        <v>398</v>
      </c>
      <c r="E2506" s="2">
        <f t="shared" ca="1" si="188"/>
        <v>42828</v>
      </c>
      <c r="F2506" s="6">
        <f t="shared" ca="1" si="189"/>
        <v>24.55521987884169</v>
      </c>
    </row>
    <row r="2507" spans="1:6">
      <c r="A2507" s="1">
        <v>9128815</v>
      </c>
      <c r="B2507" s="1">
        <f t="shared" ca="1" si="186"/>
        <v>0.19359509442950651</v>
      </c>
      <c r="C2507" s="1">
        <f t="shared" ca="1" si="185"/>
        <v>31</v>
      </c>
      <c r="D2507" s="1">
        <f t="shared" ca="1" si="187"/>
        <v>535</v>
      </c>
      <c r="E2507" s="2">
        <f t="shared" ca="1" si="188"/>
        <v>43076</v>
      </c>
      <c r="F2507" s="6">
        <f t="shared" ca="1" si="189"/>
        <v>70.249351915866924</v>
      </c>
    </row>
    <row r="2508" spans="1:6">
      <c r="A2508" s="1">
        <v>9128818</v>
      </c>
      <c r="B2508" s="1">
        <f t="shared" ca="1" si="186"/>
        <v>0.78989460030211756</v>
      </c>
      <c r="C2508" s="1">
        <f t="shared" ca="1" si="185"/>
        <v>23</v>
      </c>
      <c r="D2508" s="1">
        <f t="shared" ca="1" si="187"/>
        <v>516</v>
      </c>
      <c r="E2508" s="2">
        <f t="shared" ca="1" si="188"/>
        <v>42987</v>
      </c>
      <c r="F2508" s="6">
        <f t="shared" ca="1" si="189"/>
        <v>11.911036793830911</v>
      </c>
    </row>
    <row r="2509" spans="1:6">
      <c r="A2509" s="1">
        <v>9128821</v>
      </c>
      <c r="B2509" s="1">
        <f t="shared" ca="1" si="186"/>
        <v>0.97041092498144033</v>
      </c>
      <c r="C2509" s="1">
        <f t="shared" ca="1" si="185"/>
        <v>1</v>
      </c>
      <c r="D2509" s="1">
        <f t="shared" ca="1" si="187"/>
        <v>474</v>
      </c>
      <c r="E2509" s="2">
        <f t="shared" ca="1" si="188"/>
        <v>43187</v>
      </c>
      <c r="F2509" s="6">
        <f t="shared" ca="1" si="189"/>
        <v>13.378144412190398</v>
      </c>
    </row>
    <row r="2510" spans="1:6">
      <c r="A2510" s="1">
        <v>9128824</v>
      </c>
      <c r="B2510" s="1">
        <f t="shared" ca="1" si="186"/>
        <v>0.35577270053660548</v>
      </c>
      <c r="C2510" s="1">
        <f t="shared" ca="1" si="185"/>
        <v>1</v>
      </c>
      <c r="D2510" s="1">
        <f t="shared" ca="1" si="187"/>
        <v>474</v>
      </c>
      <c r="E2510" s="2">
        <f t="shared" ca="1" si="188"/>
        <v>43259</v>
      </c>
      <c r="F2510" s="6">
        <f t="shared" ca="1" si="189"/>
        <v>3.1738964513916335</v>
      </c>
    </row>
    <row r="2511" spans="1:6">
      <c r="A2511" s="1">
        <v>9128827</v>
      </c>
      <c r="B2511" s="1">
        <f t="shared" ca="1" si="186"/>
        <v>0.90596721619670628</v>
      </c>
      <c r="C2511" s="1">
        <f t="shared" ca="1" si="185"/>
        <v>9</v>
      </c>
      <c r="D2511" s="1">
        <f t="shared" ca="1" si="187"/>
        <v>278</v>
      </c>
      <c r="E2511" s="2">
        <f t="shared" ca="1" si="188"/>
        <v>43020</v>
      </c>
      <c r="F2511" s="6">
        <f t="shared" ca="1" si="189"/>
        <v>289.83338599096618</v>
      </c>
    </row>
    <row r="2512" spans="1:6">
      <c r="A2512" s="1">
        <v>9128830</v>
      </c>
      <c r="B2512" s="1">
        <f t="shared" ca="1" si="186"/>
        <v>0.66962248444644945</v>
      </c>
      <c r="C2512" s="1">
        <f t="shared" ca="1" si="185"/>
        <v>46</v>
      </c>
      <c r="D2512" s="1">
        <f t="shared" ca="1" si="187"/>
        <v>192</v>
      </c>
      <c r="E2512" s="2">
        <f t="shared" ca="1" si="188"/>
        <v>43283</v>
      </c>
      <c r="F2512" s="6">
        <f t="shared" ca="1" si="189"/>
        <v>109.79940892652257</v>
      </c>
    </row>
    <row r="2513" spans="1:6">
      <c r="A2513" s="1">
        <v>9128833</v>
      </c>
      <c r="B2513" s="1">
        <f t="shared" ca="1" si="186"/>
        <v>0.93443995025079141</v>
      </c>
      <c r="C2513" s="1">
        <f t="shared" ca="1" si="185"/>
        <v>190</v>
      </c>
      <c r="D2513" s="1">
        <f t="shared" ca="1" si="187"/>
        <v>206</v>
      </c>
      <c r="E2513" s="2">
        <f t="shared" ca="1" si="188"/>
        <v>43447</v>
      </c>
      <c r="F2513" s="6">
        <f t="shared" ca="1" si="189"/>
        <v>10.30052458723852</v>
      </c>
    </row>
    <row r="2514" spans="1:6">
      <c r="A2514" s="1">
        <v>9128836</v>
      </c>
      <c r="B2514" s="1">
        <f t="shared" ca="1" si="186"/>
        <v>2.7244436712869358E-2</v>
      </c>
      <c r="C2514" s="1">
        <f t="shared" ca="1" si="185"/>
        <v>63</v>
      </c>
      <c r="D2514" s="1">
        <f t="shared" ca="1" si="187"/>
        <v>571</v>
      </c>
      <c r="E2514" s="2">
        <f t="shared" ca="1" si="188"/>
        <v>43113</v>
      </c>
      <c r="F2514" s="6">
        <f t="shared" ca="1" si="189"/>
        <v>23.141182511550788</v>
      </c>
    </row>
    <row r="2515" spans="1:6">
      <c r="A2515" s="1">
        <v>9128839</v>
      </c>
      <c r="B2515" s="1">
        <f t="shared" ca="1" si="186"/>
        <v>0.29742406228555862</v>
      </c>
      <c r="C2515" s="1">
        <f t="shared" ca="1" si="185"/>
        <v>304</v>
      </c>
      <c r="D2515" s="1">
        <f t="shared" ca="1" si="187"/>
        <v>266</v>
      </c>
      <c r="E2515" s="2">
        <f t="shared" ca="1" si="188"/>
        <v>42959</v>
      </c>
      <c r="F2515" s="6">
        <f t="shared" ca="1" si="189"/>
        <v>111.71195552037649</v>
      </c>
    </row>
    <row r="2516" spans="1:6">
      <c r="A2516" s="1">
        <v>9128842</v>
      </c>
      <c r="B2516" s="1">
        <f t="shared" ca="1" si="186"/>
        <v>0.46152286198316139</v>
      </c>
      <c r="C2516" s="1">
        <f t="shared" ca="1" si="185"/>
        <v>39</v>
      </c>
      <c r="D2516" s="1">
        <f t="shared" ca="1" si="187"/>
        <v>402</v>
      </c>
      <c r="E2516" s="2">
        <f t="shared" ca="1" si="188"/>
        <v>42989</v>
      </c>
      <c r="F2516" s="6">
        <f t="shared" ca="1" si="189"/>
        <v>114.05744462456354</v>
      </c>
    </row>
    <row r="2517" spans="1:6">
      <c r="A2517" s="1">
        <v>9128845</v>
      </c>
      <c r="B2517" s="1">
        <f t="shared" ca="1" si="186"/>
        <v>0.63206397284708404</v>
      </c>
      <c r="C2517" s="1">
        <f t="shared" ca="1" si="185"/>
        <v>12</v>
      </c>
      <c r="D2517" s="1">
        <f t="shared" ca="1" si="187"/>
        <v>292</v>
      </c>
      <c r="E2517" s="2">
        <f t="shared" ca="1" si="188"/>
        <v>43475</v>
      </c>
      <c r="F2517" s="6">
        <f t="shared" ca="1" si="189"/>
        <v>67.863342726358042</v>
      </c>
    </row>
    <row r="2518" spans="1:6">
      <c r="A2518" s="1">
        <v>9128848</v>
      </c>
      <c r="B2518" s="1">
        <f t="shared" ca="1" si="186"/>
        <v>0.25133482939268303</v>
      </c>
      <c r="C2518" s="1">
        <f t="shared" ca="1" si="185"/>
        <v>5</v>
      </c>
      <c r="D2518" s="1">
        <f t="shared" ca="1" si="187"/>
        <v>363</v>
      </c>
      <c r="E2518" s="2">
        <f t="shared" ca="1" si="188"/>
        <v>42741</v>
      </c>
      <c r="F2518" s="6">
        <f t="shared" ca="1" si="189"/>
        <v>48.821544036840351</v>
      </c>
    </row>
    <row r="2519" spans="1:6">
      <c r="A2519" s="1">
        <v>9128851</v>
      </c>
      <c r="B2519" s="1">
        <f t="shared" ca="1" si="186"/>
        <v>0.32269910486151387</v>
      </c>
      <c r="C2519" s="1">
        <f t="shared" ca="1" si="185"/>
        <v>27</v>
      </c>
      <c r="D2519" s="1">
        <f t="shared" ca="1" si="187"/>
        <v>398</v>
      </c>
      <c r="E2519" s="2">
        <f t="shared" ca="1" si="188"/>
        <v>43041</v>
      </c>
      <c r="F2519" s="6">
        <f t="shared" ca="1" si="189"/>
        <v>54.943964170898305</v>
      </c>
    </row>
    <row r="2520" spans="1:6">
      <c r="A2520" s="1">
        <v>9128854</v>
      </c>
      <c r="B2520" s="1">
        <f t="shared" ca="1" si="186"/>
        <v>0.82960091179075668</v>
      </c>
      <c r="C2520" s="1">
        <f t="shared" ca="1" si="185"/>
        <v>11</v>
      </c>
      <c r="D2520" s="1">
        <f t="shared" ca="1" si="187"/>
        <v>437</v>
      </c>
      <c r="E2520" s="2">
        <f t="shared" ca="1" si="188"/>
        <v>43222</v>
      </c>
      <c r="F2520" s="6">
        <f t="shared" ca="1" si="189"/>
        <v>78.223251370575625</v>
      </c>
    </row>
    <row r="2521" spans="1:6">
      <c r="A2521" s="1">
        <v>9128857</v>
      </c>
      <c r="B2521" s="1">
        <f t="shared" ca="1" si="186"/>
        <v>0.14422424093734409</v>
      </c>
      <c r="C2521" s="1">
        <f t="shared" ca="1" si="185"/>
        <v>83</v>
      </c>
      <c r="D2521" s="1">
        <f t="shared" ca="1" si="187"/>
        <v>47</v>
      </c>
      <c r="E2521" s="2">
        <f t="shared" ca="1" si="188"/>
        <v>43387</v>
      </c>
      <c r="F2521" s="6">
        <f t="shared" ca="1" si="189"/>
        <v>49.437997006128363</v>
      </c>
    </row>
    <row r="2522" spans="1:6">
      <c r="A2522" s="1">
        <v>9128860</v>
      </c>
      <c r="B2522" s="1">
        <f t="shared" ca="1" si="186"/>
        <v>0.78561001819786325</v>
      </c>
      <c r="C2522" s="1">
        <f t="shared" ca="1" si="185"/>
        <v>53</v>
      </c>
      <c r="D2522" s="1">
        <f t="shared" ca="1" si="187"/>
        <v>155</v>
      </c>
      <c r="E2522" s="2">
        <f t="shared" ca="1" si="188"/>
        <v>42768</v>
      </c>
      <c r="F2522" s="6">
        <f t="shared" ca="1" si="189"/>
        <v>30.741184302421431</v>
      </c>
    </row>
    <row r="2523" spans="1:6">
      <c r="A2523" s="1">
        <v>9128863</v>
      </c>
      <c r="B2523" s="1">
        <f t="shared" ca="1" si="186"/>
        <v>0.14574623238845352</v>
      </c>
      <c r="C2523" s="1">
        <f t="shared" ref="C2523:C2586" ca="1" si="190">ROUND(_xlfn.GAMMA.INV(RAND(),$J$11,$J$12)*100,0)+1</f>
        <v>22</v>
      </c>
      <c r="D2523" s="1">
        <f t="shared" ca="1" si="187"/>
        <v>413</v>
      </c>
      <c r="E2523" s="2">
        <f t="shared" ca="1" si="188"/>
        <v>42825</v>
      </c>
      <c r="F2523" s="6">
        <f t="shared" ca="1" si="189"/>
        <v>9.2364216069155027</v>
      </c>
    </row>
    <row r="2524" spans="1:6">
      <c r="A2524" s="1">
        <v>9128866</v>
      </c>
      <c r="B2524" s="1">
        <f t="shared" ca="1" si="186"/>
        <v>0.86496300021922168</v>
      </c>
      <c r="C2524" s="1">
        <f t="shared" ca="1" si="190"/>
        <v>28</v>
      </c>
      <c r="D2524" s="1">
        <f t="shared" ca="1" si="187"/>
        <v>401</v>
      </c>
      <c r="E2524" s="2">
        <f t="shared" ca="1" si="188"/>
        <v>42804</v>
      </c>
      <c r="F2524" s="6">
        <f t="shared" ca="1" si="189"/>
        <v>5.2603458334176754</v>
      </c>
    </row>
    <row r="2525" spans="1:6">
      <c r="A2525" s="1">
        <v>9128869</v>
      </c>
      <c r="B2525" s="1">
        <f t="shared" ca="1" si="186"/>
        <v>0.41243774055496818</v>
      </c>
      <c r="C2525" s="1">
        <f t="shared" ca="1" si="190"/>
        <v>28</v>
      </c>
      <c r="D2525" s="1">
        <f t="shared" ca="1" si="187"/>
        <v>401</v>
      </c>
      <c r="E2525" s="2">
        <f t="shared" ca="1" si="188"/>
        <v>43221</v>
      </c>
      <c r="F2525" s="6">
        <f t="shared" ca="1" si="189"/>
        <v>175.70917773172226</v>
      </c>
    </row>
    <row r="2526" spans="1:6">
      <c r="A2526" s="1">
        <v>9128872</v>
      </c>
      <c r="B2526" s="1">
        <f t="shared" ca="1" si="186"/>
        <v>0.7350116866424723</v>
      </c>
      <c r="C2526" s="1">
        <f t="shared" ca="1" si="190"/>
        <v>262</v>
      </c>
      <c r="D2526" s="1">
        <f t="shared" ca="1" si="187"/>
        <v>329</v>
      </c>
      <c r="E2526" s="2">
        <f t="shared" ca="1" si="188"/>
        <v>42888</v>
      </c>
      <c r="F2526" s="6">
        <f t="shared" ca="1" si="189"/>
        <v>116.97102060452188</v>
      </c>
    </row>
    <row r="2527" spans="1:6">
      <c r="A2527" s="1">
        <v>9128875</v>
      </c>
      <c r="B2527" s="1">
        <f t="shared" ca="1" si="186"/>
        <v>5.6732077683248727E-2</v>
      </c>
      <c r="C2527" s="1">
        <f t="shared" ca="1" si="190"/>
        <v>26</v>
      </c>
      <c r="D2527" s="1">
        <f t="shared" ca="1" si="187"/>
        <v>88</v>
      </c>
      <c r="E2527" s="2">
        <f t="shared" ca="1" si="188"/>
        <v>43351</v>
      </c>
      <c r="F2527" s="6">
        <f t="shared" ca="1" si="189"/>
        <v>116.57125206623083</v>
      </c>
    </row>
    <row r="2528" spans="1:6">
      <c r="A2528" s="1">
        <v>9128878</v>
      </c>
      <c r="B2528" s="1">
        <f t="shared" ca="1" si="186"/>
        <v>5.4851390178658255E-2</v>
      </c>
      <c r="C2528" s="1">
        <f t="shared" ca="1" si="190"/>
        <v>10</v>
      </c>
      <c r="D2528" s="1">
        <f t="shared" ca="1" si="187"/>
        <v>236</v>
      </c>
      <c r="E2528" s="2">
        <f t="shared" ca="1" si="188"/>
        <v>43301</v>
      </c>
      <c r="F2528" s="6">
        <f t="shared" ca="1" si="189"/>
        <v>63.576838115633215</v>
      </c>
    </row>
    <row r="2529" spans="1:6">
      <c r="A2529" s="1">
        <v>9128881</v>
      </c>
      <c r="B2529" s="1">
        <f t="shared" ca="1" si="186"/>
        <v>0.3190059290743732</v>
      </c>
      <c r="C2529" s="1">
        <f t="shared" ca="1" si="190"/>
        <v>2</v>
      </c>
      <c r="D2529" s="1">
        <f t="shared" ca="1" si="187"/>
        <v>30</v>
      </c>
      <c r="E2529" s="2">
        <f t="shared" ca="1" si="188"/>
        <v>42836</v>
      </c>
      <c r="F2529" s="6">
        <f t="shared" ca="1" si="189"/>
        <v>87.357838804764413</v>
      </c>
    </row>
    <row r="2530" spans="1:6">
      <c r="A2530" s="1">
        <v>9128884</v>
      </c>
      <c r="B2530" s="1">
        <f t="shared" ca="1" si="186"/>
        <v>0.89135926415693756</v>
      </c>
      <c r="C2530" s="1">
        <f t="shared" ca="1" si="190"/>
        <v>39</v>
      </c>
      <c r="D2530" s="1">
        <f t="shared" ca="1" si="187"/>
        <v>402</v>
      </c>
      <c r="E2530" s="2">
        <f t="shared" ca="1" si="188"/>
        <v>43074</v>
      </c>
      <c r="F2530" s="6">
        <f t="shared" ca="1" si="189"/>
        <v>4.5863701001287192</v>
      </c>
    </row>
    <row r="2531" spans="1:6">
      <c r="A2531" s="1">
        <v>9128887</v>
      </c>
      <c r="B2531" s="1">
        <f t="shared" ca="1" si="186"/>
        <v>6.7765600852680574E-2</v>
      </c>
      <c r="C2531" s="1">
        <f t="shared" ca="1" si="190"/>
        <v>123</v>
      </c>
      <c r="D2531" s="1">
        <f t="shared" ca="1" si="187"/>
        <v>288</v>
      </c>
      <c r="E2531" s="2">
        <f t="shared" ca="1" si="188"/>
        <v>42929</v>
      </c>
      <c r="F2531" s="6">
        <f t="shared" ca="1" si="189"/>
        <v>15.284986315691938</v>
      </c>
    </row>
    <row r="2532" spans="1:6">
      <c r="A2532" s="1">
        <v>9128890</v>
      </c>
      <c r="B2532" s="1">
        <f t="shared" ca="1" si="186"/>
        <v>0.16268289280850012</v>
      </c>
      <c r="C2532" s="1">
        <f t="shared" ca="1" si="190"/>
        <v>93</v>
      </c>
      <c r="D2532" s="1">
        <f t="shared" ca="1" si="187"/>
        <v>518</v>
      </c>
      <c r="E2532" s="2">
        <f t="shared" ca="1" si="188"/>
        <v>43182</v>
      </c>
      <c r="F2532" s="6">
        <f t="shared" ca="1" si="189"/>
        <v>6.1717303230351863</v>
      </c>
    </row>
    <row r="2533" spans="1:6">
      <c r="A2533" s="1">
        <v>9128893</v>
      </c>
      <c r="B2533" s="1">
        <f t="shared" ca="1" si="186"/>
        <v>0.12643640781418464</v>
      </c>
      <c r="C2533" s="1">
        <f t="shared" ca="1" si="190"/>
        <v>3</v>
      </c>
      <c r="D2533" s="1">
        <f t="shared" ca="1" si="187"/>
        <v>263</v>
      </c>
      <c r="E2533" s="2">
        <f t="shared" ca="1" si="188"/>
        <v>43100</v>
      </c>
      <c r="F2533" s="6">
        <f t="shared" ca="1" si="189"/>
        <v>13.815100937019023</v>
      </c>
    </row>
    <row r="2534" spans="1:6">
      <c r="A2534" s="1">
        <v>9128896</v>
      </c>
      <c r="B2534" s="1">
        <f t="shared" ca="1" si="186"/>
        <v>2.2590326996446697E-3</v>
      </c>
      <c r="C2534" s="1">
        <f t="shared" ca="1" si="190"/>
        <v>27</v>
      </c>
      <c r="D2534" s="1">
        <f t="shared" ca="1" si="187"/>
        <v>398</v>
      </c>
      <c r="E2534" s="2">
        <f t="shared" ca="1" si="188"/>
        <v>43078</v>
      </c>
      <c r="F2534" s="6">
        <f t="shared" ca="1" si="189"/>
        <v>151.37830384996974</v>
      </c>
    </row>
    <row r="2535" spans="1:6">
      <c r="A2535" s="1">
        <v>9128899</v>
      </c>
      <c r="B2535" s="1">
        <f t="shared" ca="1" si="186"/>
        <v>0.9774874435964942</v>
      </c>
      <c r="C2535" s="1">
        <f t="shared" ca="1" si="190"/>
        <v>73</v>
      </c>
      <c r="D2535" s="1">
        <f t="shared" ca="1" si="187"/>
        <v>591</v>
      </c>
      <c r="E2535" s="2">
        <f t="shared" ca="1" si="188"/>
        <v>43205</v>
      </c>
      <c r="F2535" s="6">
        <f t="shared" ca="1" si="189"/>
        <v>32.000297916785193</v>
      </c>
    </row>
    <row r="2536" spans="1:6">
      <c r="A2536" s="1">
        <v>9128902</v>
      </c>
      <c r="B2536" s="1">
        <f t="shared" ca="1" si="186"/>
        <v>0.40087853747086244</v>
      </c>
      <c r="C2536" s="1">
        <f t="shared" ca="1" si="190"/>
        <v>6</v>
      </c>
      <c r="D2536" s="1">
        <f t="shared" ca="1" si="187"/>
        <v>208</v>
      </c>
      <c r="E2536" s="2">
        <f t="shared" ca="1" si="188"/>
        <v>42889</v>
      </c>
      <c r="F2536" s="6">
        <f t="shared" ca="1" si="189"/>
        <v>132.04936797282335</v>
      </c>
    </row>
    <row r="2537" spans="1:6">
      <c r="A2537" s="1">
        <v>9128905</v>
      </c>
      <c r="B2537" s="1">
        <f t="shared" ca="1" si="186"/>
        <v>0.80562819598336866</v>
      </c>
      <c r="C2537" s="1">
        <f t="shared" ca="1" si="190"/>
        <v>71</v>
      </c>
      <c r="D2537" s="1">
        <f t="shared" ca="1" si="187"/>
        <v>281</v>
      </c>
      <c r="E2537" s="2">
        <f t="shared" ca="1" si="188"/>
        <v>43259</v>
      </c>
      <c r="F2537" s="6">
        <f t="shared" ca="1" si="189"/>
        <v>15.73589063892249</v>
      </c>
    </row>
    <row r="2538" spans="1:6">
      <c r="A2538" s="1">
        <v>9128908</v>
      </c>
      <c r="B2538" s="1">
        <f t="shared" ca="1" si="186"/>
        <v>0.10475964258543302</v>
      </c>
      <c r="C2538" s="1">
        <f t="shared" ca="1" si="190"/>
        <v>134</v>
      </c>
      <c r="D2538" s="1">
        <f t="shared" ca="1" si="187"/>
        <v>374</v>
      </c>
      <c r="E2538" s="2">
        <f t="shared" ca="1" si="188"/>
        <v>42978</v>
      </c>
      <c r="F2538" s="6">
        <f t="shared" ca="1" si="189"/>
        <v>3.4127683912629858</v>
      </c>
    </row>
    <row r="2539" spans="1:6">
      <c r="A2539" s="1">
        <v>9128911</v>
      </c>
      <c r="B2539" s="1">
        <f t="shared" ca="1" si="186"/>
        <v>0.80883925233349174</v>
      </c>
      <c r="C2539" s="1">
        <f t="shared" ca="1" si="190"/>
        <v>57</v>
      </c>
      <c r="D2539" s="1">
        <f t="shared" ca="1" si="187"/>
        <v>24</v>
      </c>
      <c r="E2539" s="2">
        <f t="shared" ca="1" si="188"/>
        <v>43407</v>
      </c>
      <c r="F2539" s="6">
        <f t="shared" ca="1" si="189"/>
        <v>4.1822491633100114</v>
      </c>
    </row>
    <row r="2540" spans="1:6">
      <c r="A2540" s="1">
        <v>9128914</v>
      </c>
      <c r="B2540" s="1">
        <f t="shared" ca="1" si="186"/>
        <v>0.79046541477822363</v>
      </c>
      <c r="C2540" s="1">
        <f t="shared" ca="1" si="190"/>
        <v>43</v>
      </c>
      <c r="D2540" s="1">
        <f t="shared" ca="1" si="187"/>
        <v>73</v>
      </c>
      <c r="E2540" s="2">
        <f t="shared" ca="1" si="188"/>
        <v>42899</v>
      </c>
      <c r="F2540" s="6">
        <f t="shared" ca="1" si="189"/>
        <v>4.5939448613267082</v>
      </c>
    </row>
    <row r="2541" spans="1:6">
      <c r="A2541" s="1">
        <v>9128917</v>
      </c>
      <c r="B2541" s="1">
        <f t="shared" ca="1" si="186"/>
        <v>0.54693586339045253</v>
      </c>
      <c r="C2541" s="1">
        <f t="shared" ca="1" si="190"/>
        <v>88</v>
      </c>
      <c r="D2541" s="1">
        <f t="shared" ca="1" si="187"/>
        <v>253</v>
      </c>
      <c r="E2541" s="2">
        <f t="shared" ca="1" si="188"/>
        <v>42844</v>
      </c>
      <c r="F2541" s="6">
        <f t="shared" ca="1" si="189"/>
        <v>103.66386517673291</v>
      </c>
    </row>
    <row r="2542" spans="1:6">
      <c r="A2542" s="1">
        <v>9128920</v>
      </c>
      <c r="B2542" s="1">
        <f t="shared" ca="1" si="186"/>
        <v>0.94990724554297856</v>
      </c>
      <c r="C2542" s="1">
        <f t="shared" ca="1" si="190"/>
        <v>49</v>
      </c>
      <c r="D2542" s="1">
        <f t="shared" ca="1" si="187"/>
        <v>26</v>
      </c>
      <c r="E2542" s="2">
        <f t="shared" ca="1" si="188"/>
        <v>42928</v>
      </c>
      <c r="F2542" s="6">
        <f t="shared" ca="1" si="189"/>
        <v>7.2961329509446715</v>
      </c>
    </row>
    <row r="2543" spans="1:6">
      <c r="A2543" s="1">
        <v>9128923</v>
      </c>
      <c r="B2543" s="1">
        <f t="shared" ca="1" si="186"/>
        <v>0.40184494506368496</v>
      </c>
      <c r="C2543" s="1">
        <f t="shared" ca="1" si="190"/>
        <v>21</v>
      </c>
      <c r="D2543" s="1">
        <f t="shared" ca="1" si="187"/>
        <v>566</v>
      </c>
      <c r="E2543" s="2">
        <f t="shared" ca="1" si="188"/>
        <v>42808</v>
      </c>
      <c r="F2543" s="6">
        <f t="shared" ca="1" si="189"/>
        <v>252.01365013323394</v>
      </c>
    </row>
    <row r="2544" spans="1:6">
      <c r="A2544" s="1">
        <v>9128926</v>
      </c>
      <c r="B2544" s="1">
        <f t="shared" ca="1" si="186"/>
        <v>1.3545943232329605E-2</v>
      </c>
      <c r="C2544" s="1">
        <f t="shared" ca="1" si="190"/>
        <v>3</v>
      </c>
      <c r="D2544" s="1">
        <f t="shared" ca="1" si="187"/>
        <v>263</v>
      </c>
      <c r="E2544" s="2">
        <f t="shared" ca="1" si="188"/>
        <v>43032</v>
      </c>
      <c r="F2544" s="6">
        <f t="shared" ca="1" si="189"/>
        <v>73.209161201239979</v>
      </c>
    </row>
    <row r="2545" spans="1:6">
      <c r="A2545" s="1">
        <v>9128929</v>
      </c>
      <c r="B2545" s="1">
        <f t="shared" ca="1" si="186"/>
        <v>0.71832034625374808</v>
      </c>
      <c r="C2545" s="1">
        <f t="shared" ca="1" si="190"/>
        <v>106</v>
      </c>
      <c r="D2545" s="1">
        <f t="shared" ca="1" si="187"/>
        <v>238</v>
      </c>
      <c r="E2545" s="2">
        <f t="shared" ca="1" si="188"/>
        <v>43055</v>
      </c>
      <c r="F2545" s="6">
        <f t="shared" ca="1" si="189"/>
        <v>3.1444636373407273</v>
      </c>
    </row>
    <row r="2546" spans="1:6">
      <c r="A2546" s="1">
        <v>9128932</v>
      </c>
      <c r="B2546" s="1">
        <f t="shared" ca="1" si="186"/>
        <v>0.47613547566112169</v>
      </c>
      <c r="C2546" s="1">
        <f t="shared" ca="1" si="190"/>
        <v>1</v>
      </c>
      <c r="D2546" s="1">
        <f t="shared" ca="1" si="187"/>
        <v>474</v>
      </c>
      <c r="E2546" s="2">
        <f t="shared" ca="1" si="188"/>
        <v>43070</v>
      </c>
      <c r="F2546" s="6">
        <f t="shared" ca="1" si="189"/>
        <v>10.643364896690116</v>
      </c>
    </row>
    <row r="2547" spans="1:6">
      <c r="A2547" s="1">
        <v>9128935</v>
      </c>
      <c r="B2547" s="1">
        <f t="shared" ca="1" si="186"/>
        <v>0.13631684785633535</v>
      </c>
      <c r="C2547" s="1">
        <f t="shared" ca="1" si="190"/>
        <v>2</v>
      </c>
      <c r="D2547" s="1">
        <f t="shared" ca="1" si="187"/>
        <v>30</v>
      </c>
      <c r="E2547" s="2">
        <f t="shared" ca="1" si="188"/>
        <v>43081</v>
      </c>
      <c r="F2547" s="6">
        <f t="shared" ca="1" si="189"/>
        <v>46.026462714477184</v>
      </c>
    </row>
    <row r="2548" spans="1:6">
      <c r="A2548" s="1">
        <v>9128938</v>
      </c>
      <c r="B2548" s="1">
        <f t="shared" ca="1" si="186"/>
        <v>0.28061607559636725</v>
      </c>
      <c r="C2548" s="1">
        <f t="shared" ca="1" si="190"/>
        <v>126</v>
      </c>
      <c r="D2548" s="1">
        <f t="shared" ca="1" si="187"/>
        <v>587</v>
      </c>
      <c r="E2548" s="2">
        <f t="shared" ca="1" si="188"/>
        <v>42939</v>
      </c>
      <c r="F2548" s="6">
        <f t="shared" ca="1" si="189"/>
        <v>20.8273387373264</v>
      </c>
    </row>
    <row r="2549" spans="1:6">
      <c r="A2549" s="1">
        <v>9128941</v>
      </c>
      <c r="B2549" s="1">
        <f t="shared" ca="1" si="186"/>
        <v>0.2530913285713291</v>
      </c>
      <c r="C2549" s="1">
        <f t="shared" ca="1" si="190"/>
        <v>49</v>
      </c>
      <c r="D2549" s="1">
        <f t="shared" ca="1" si="187"/>
        <v>26</v>
      </c>
      <c r="E2549" s="2">
        <f t="shared" ca="1" si="188"/>
        <v>43330</v>
      </c>
      <c r="F2549" s="6">
        <f t="shared" ca="1" si="189"/>
        <v>243.9739628202212</v>
      </c>
    </row>
    <row r="2550" spans="1:6">
      <c r="A2550" s="1">
        <v>9128944</v>
      </c>
      <c r="B2550" s="1">
        <f t="shared" ca="1" si="186"/>
        <v>0.26868869479477264</v>
      </c>
      <c r="C2550" s="1">
        <f t="shared" ca="1" si="190"/>
        <v>119</v>
      </c>
      <c r="D2550" s="1">
        <f t="shared" ca="1" si="187"/>
        <v>184</v>
      </c>
      <c r="E2550" s="2">
        <f t="shared" ca="1" si="188"/>
        <v>43171</v>
      </c>
      <c r="F2550" s="6">
        <f t="shared" ca="1" si="189"/>
        <v>30.928451732774146</v>
      </c>
    </row>
    <row r="2551" spans="1:6">
      <c r="A2551" s="1">
        <v>9128947</v>
      </c>
      <c r="B2551" s="1">
        <f t="shared" ca="1" si="186"/>
        <v>0.89434505341588177</v>
      </c>
      <c r="C2551" s="1">
        <f t="shared" ca="1" si="190"/>
        <v>2</v>
      </c>
      <c r="D2551" s="1">
        <f t="shared" ca="1" si="187"/>
        <v>30</v>
      </c>
      <c r="E2551" s="2">
        <f t="shared" ca="1" si="188"/>
        <v>42761</v>
      </c>
      <c r="F2551" s="6">
        <f t="shared" ca="1" si="189"/>
        <v>27.931739767677982</v>
      </c>
    </row>
    <row r="2552" spans="1:6">
      <c r="A2552" s="1">
        <v>9128950</v>
      </c>
      <c r="B2552" s="1">
        <f t="shared" ca="1" si="186"/>
        <v>0.27754745699491956</v>
      </c>
      <c r="C2552" s="1">
        <f t="shared" ca="1" si="190"/>
        <v>82</v>
      </c>
      <c r="D2552" s="1">
        <f t="shared" ca="1" si="187"/>
        <v>143</v>
      </c>
      <c r="E2552" s="2">
        <f t="shared" ca="1" si="188"/>
        <v>43121</v>
      </c>
      <c r="F2552" s="6">
        <f t="shared" ca="1" si="189"/>
        <v>170.47999463780229</v>
      </c>
    </row>
    <row r="2553" spans="1:6">
      <c r="A2553" s="1">
        <v>9128953</v>
      </c>
      <c r="B2553" s="1">
        <f t="shared" ca="1" si="186"/>
        <v>0.69556664825514625</v>
      </c>
      <c r="C2553" s="1">
        <f t="shared" ca="1" si="190"/>
        <v>97</v>
      </c>
      <c r="D2553" s="1">
        <f t="shared" ca="1" si="187"/>
        <v>460</v>
      </c>
      <c r="E2553" s="2">
        <f t="shared" ca="1" si="188"/>
        <v>42742</v>
      </c>
      <c r="F2553" s="6">
        <f t="shared" ca="1" si="189"/>
        <v>9.5371923723372518</v>
      </c>
    </row>
    <row r="2554" spans="1:6">
      <c r="A2554" s="1">
        <v>9128956</v>
      </c>
      <c r="B2554" s="1">
        <f t="shared" ca="1" si="186"/>
        <v>0.63641469112917415</v>
      </c>
      <c r="C2554" s="1">
        <f t="shared" ca="1" si="190"/>
        <v>16</v>
      </c>
      <c r="D2554" s="1">
        <f t="shared" ca="1" si="187"/>
        <v>465</v>
      </c>
      <c r="E2554" s="2">
        <f t="shared" ca="1" si="188"/>
        <v>43390</v>
      </c>
      <c r="F2554" s="6">
        <f t="shared" ca="1" si="189"/>
        <v>25.886145291732443</v>
      </c>
    </row>
    <row r="2555" spans="1:6">
      <c r="A2555" s="1">
        <v>9128959</v>
      </c>
      <c r="B2555" s="1">
        <f t="shared" ca="1" si="186"/>
        <v>0.75415785604836472</v>
      </c>
      <c r="C2555" s="1">
        <f t="shared" ca="1" si="190"/>
        <v>12</v>
      </c>
      <c r="D2555" s="1">
        <f t="shared" ca="1" si="187"/>
        <v>292</v>
      </c>
      <c r="E2555" s="2">
        <f t="shared" ca="1" si="188"/>
        <v>42840</v>
      </c>
      <c r="F2555" s="6">
        <f t="shared" ca="1" si="189"/>
        <v>42.18208196872434</v>
      </c>
    </row>
    <row r="2556" spans="1:6">
      <c r="A2556" s="1">
        <v>9128962</v>
      </c>
      <c r="B2556" s="1">
        <f t="shared" ca="1" si="186"/>
        <v>0.71941956205189417</v>
      </c>
      <c r="C2556" s="1">
        <f t="shared" ca="1" si="190"/>
        <v>122</v>
      </c>
      <c r="D2556" s="1">
        <f t="shared" ca="1" si="187"/>
        <v>33</v>
      </c>
      <c r="E2556" s="2">
        <f t="shared" ca="1" si="188"/>
        <v>43187</v>
      </c>
      <c r="F2556" s="6">
        <f t="shared" ca="1" si="189"/>
        <v>4.9926958320914281</v>
      </c>
    </row>
    <row r="2557" spans="1:6">
      <c r="A2557" s="1">
        <v>9128965</v>
      </c>
      <c r="B2557" s="1">
        <f t="shared" ca="1" si="186"/>
        <v>0.16630020570936932</v>
      </c>
      <c r="C2557" s="1">
        <f t="shared" ca="1" si="190"/>
        <v>17</v>
      </c>
      <c r="D2557" s="1">
        <f t="shared" ca="1" si="187"/>
        <v>165</v>
      </c>
      <c r="E2557" s="2">
        <f t="shared" ca="1" si="188"/>
        <v>43461</v>
      </c>
      <c r="F2557" s="6">
        <f t="shared" ca="1" si="189"/>
        <v>5.7217741487720488</v>
      </c>
    </row>
    <row r="2558" spans="1:6">
      <c r="A2558" s="1">
        <v>9128968</v>
      </c>
      <c r="B2558" s="1">
        <f t="shared" ca="1" si="186"/>
        <v>6.940279138418215E-3</v>
      </c>
      <c r="C2558" s="1">
        <f t="shared" ca="1" si="190"/>
        <v>3</v>
      </c>
      <c r="D2558" s="1">
        <f t="shared" ca="1" si="187"/>
        <v>263</v>
      </c>
      <c r="E2558" s="2">
        <f t="shared" ca="1" si="188"/>
        <v>43145</v>
      </c>
      <c r="F2558" s="6">
        <f t="shared" ca="1" si="189"/>
        <v>44.283273620045392</v>
      </c>
    </row>
    <row r="2559" spans="1:6">
      <c r="A2559" s="1">
        <v>9128971</v>
      </c>
      <c r="B2559" s="1">
        <f t="shared" ca="1" si="186"/>
        <v>7.4653059835401159E-2</v>
      </c>
      <c r="C2559" s="1">
        <f t="shared" ca="1" si="190"/>
        <v>1</v>
      </c>
      <c r="D2559" s="1">
        <f t="shared" ca="1" si="187"/>
        <v>474</v>
      </c>
      <c r="E2559" s="2">
        <f t="shared" ca="1" si="188"/>
        <v>42857</v>
      </c>
      <c r="F2559" s="6">
        <f t="shared" ca="1" si="189"/>
        <v>3.012887606496466</v>
      </c>
    </row>
    <row r="2560" spans="1:6">
      <c r="A2560" s="1">
        <v>9128974</v>
      </c>
      <c r="B2560" s="1">
        <f t="shared" ca="1" si="186"/>
        <v>0.19953194017433851</v>
      </c>
      <c r="C2560" s="1">
        <f t="shared" ca="1" si="190"/>
        <v>37</v>
      </c>
      <c r="D2560" s="1">
        <f t="shared" ca="1" si="187"/>
        <v>517</v>
      </c>
      <c r="E2560" s="2">
        <f t="shared" ca="1" si="188"/>
        <v>43110</v>
      </c>
      <c r="F2560" s="6">
        <f t="shared" ca="1" si="189"/>
        <v>4.8289598147726265</v>
      </c>
    </row>
    <row r="2561" spans="1:6">
      <c r="A2561" s="1">
        <v>9128977</v>
      </c>
      <c r="B2561" s="1">
        <f t="shared" ca="1" si="186"/>
        <v>0.22307989671263617</v>
      </c>
      <c r="C2561" s="1">
        <f t="shared" ca="1" si="190"/>
        <v>1</v>
      </c>
      <c r="D2561" s="1">
        <f t="shared" ca="1" si="187"/>
        <v>474</v>
      </c>
      <c r="E2561" s="2">
        <f t="shared" ca="1" si="188"/>
        <v>42891</v>
      </c>
      <c r="F2561" s="6">
        <f t="shared" ca="1" si="189"/>
        <v>44.005563213344864</v>
      </c>
    </row>
    <row r="2562" spans="1:6">
      <c r="A2562" s="1">
        <v>9128980</v>
      </c>
      <c r="B2562" s="1">
        <f t="shared" ref="B2562:B2625" ca="1" si="191">RAND()</f>
        <v>0.27349448030292867</v>
      </c>
      <c r="C2562" s="1">
        <f t="shared" ca="1" si="190"/>
        <v>12</v>
      </c>
      <c r="D2562" s="1">
        <f t="shared" ca="1" si="187"/>
        <v>292</v>
      </c>
      <c r="E2562" s="2">
        <f t="shared" ca="1" si="188"/>
        <v>42940</v>
      </c>
      <c r="F2562" s="6">
        <f t="shared" ca="1" si="189"/>
        <v>8.2646956123922344</v>
      </c>
    </row>
    <row r="2563" spans="1:6">
      <c r="A2563" s="1">
        <v>9128983</v>
      </c>
      <c r="B2563" s="1">
        <f t="shared" ca="1" si="191"/>
        <v>0.96479467260646457</v>
      </c>
      <c r="C2563" s="1">
        <f t="shared" ca="1" si="190"/>
        <v>7</v>
      </c>
      <c r="D2563" s="1">
        <f t="shared" ref="D2563:D2626" ca="1" si="192">VLOOKUP(SMALL($B$2:$B$601,C2563),$B$2:$C$601,2,FALSE)</f>
        <v>138</v>
      </c>
      <c r="E2563" s="2">
        <f t="shared" ref="E2563:E2626" ca="1" si="193">RANDBETWEEN("1/1/17","2/1/19")</f>
        <v>43488</v>
      </c>
      <c r="F2563" s="6">
        <f t="shared" ref="F2563:F2626" ca="1" si="194">_xlfn.GAMMA.INV(RAND(),$J$6,$J$7)*100+3</f>
        <v>11.62505270734888</v>
      </c>
    </row>
    <row r="2564" spans="1:6">
      <c r="A2564" s="1">
        <v>9128986</v>
      </c>
      <c r="B2564" s="1">
        <f t="shared" ca="1" si="191"/>
        <v>6.7905127182082636E-2</v>
      </c>
      <c r="C2564" s="1">
        <f t="shared" ca="1" si="190"/>
        <v>40</v>
      </c>
      <c r="D2564" s="1">
        <f t="shared" ca="1" si="192"/>
        <v>426</v>
      </c>
      <c r="E2564" s="2">
        <f t="shared" ca="1" si="193"/>
        <v>43309</v>
      </c>
      <c r="F2564" s="6">
        <f t="shared" ca="1" si="194"/>
        <v>78.614390214721112</v>
      </c>
    </row>
    <row r="2565" spans="1:6">
      <c r="A2565" s="1">
        <v>9128989</v>
      </c>
      <c r="B2565" s="1">
        <f t="shared" ca="1" si="191"/>
        <v>0.18899142193687746</v>
      </c>
      <c r="C2565" s="1">
        <f t="shared" ca="1" si="190"/>
        <v>6</v>
      </c>
      <c r="D2565" s="1">
        <f t="shared" ca="1" si="192"/>
        <v>208</v>
      </c>
      <c r="E2565" s="2">
        <f t="shared" ca="1" si="193"/>
        <v>43240</v>
      </c>
      <c r="F2565" s="6">
        <f t="shared" ca="1" si="194"/>
        <v>95.411941379107006</v>
      </c>
    </row>
    <row r="2566" spans="1:6">
      <c r="A2566" s="1">
        <v>9128992</v>
      </c>
      <c r="B2566" s="1">
        <f t="shared" ca="1" si="191"/>
        <v>9.1748713478823074E-2</v>
      </c>
      <c r="C2566" s="1">
        <f t="shared" ca="1" si="190"/>
        <v>2</v>
      </c>
      <c r="D2566" s="1">
        <f t="shared" ca="1" si="192"/>
        <v>30</v>
      </c>
      <c r="E2566" s="2">
        <f t="shared" ca="1" si="193"/>
        <v>43031</v>
      </c>
      <c r="F2566" s="6">
        <f t="shared" ca="1" si="194"/>
        <v>7.2577519504815164</v>
      </c>
    </row>
    <row r="2567" spans="1:6">
      <c r="A2567" s="1">
        <v>9128995</v>
      </c>
      <c r="B2567" s="1">
        <f t="shared" ca="1" si="191"/>
        <v>0.32216803419669104</v>
      </c>
      <c r="C2567" s="1">
        <f t="shared" ca="1" si="190"/>
        <v>135</v>
      </c>
      <c r="D2567" s="1">
        <f t="shared" ca="1" si="192"/>
        <v>231</v>
      </c>
      <c r="E2567" s="2">
        <f t="shared" ca="1" si="193"/>
        <v>43024</v>
      </c>
      <c r="F2567" s="6">
        <f t="shared" ca="1" si="194"/>
        <v>19.506872948563426</v>
      </c>
    </row>
    <row r="2568" spans="1:6">
      <c r="A2568" s="1">
        <v>9128998</v>
      </c>
      <c r="B2568" s="1">
        <f t="shared" ca="1" si="191"/>
        <v>4.7746698413898558E-2</v>
      </c>
      <c r="C2568" s="1">
        <f t="shared" ca="1" si="190"/>
        <v>2</v>
      </c>
      <c r="D2568" s="1">
        <f t="shared" ca="1" si="192"/>
        <v>30</v>
      </c>
      <c r="E2568" s="2">
        <f t="shared" ca="1" si="193"/>
        <v>42785</v>
      </c>
      <c r="F2568" s="6">
        <f t="shared" ca="1" si="194"/>
        <v>15.625579534016751</v>
      </c>
    </row>
    <row r="2569" spans="1:6">
      <c r="A2569" s="1">
        <v>9129001</v>
      </c>
      <c r="B2569" s="1">
        <f t="shared" ca="1" si="191"/>
        <v>0.78440562174910822</v>
      </c>
      <c r="C2569" s="1">
        <f t="shared" ca="1" si="190"/>
        <v>46</v>
      </c>
      <c r="D2569" s="1">
        <f t="shared" ca="1" si="192"/>
        <v>192</v>
      </c>
      <c r="E2569" s="2">
        <f t="shared" ca="1" si="193"/>
        <v>43429</v>
      </c>
      <c r="F2569" s="6">
        <f t="shared" ca="1" si="194"/>
        <v>61.282155743205081</v>
      </c>
    </row>
    <row r="2570" spans="1:6">
      <c r="A2570" s="1">
        <v>9129004</v>
      </c>
      <c r="B2570" s="1">
        <f t="shared" ca="1" si="191"/>
        <v>0.69152447807569895</v>
      </c>
      <c r="C2570" s="1">
        <f t="shared" ca="1" si="190"/>
        <v>1</v>
      </c>
      <c r="D2570" s="1">
        <f t="shared" ca="1" si="192"/>
        <v>474</v>
      </c>
      <c r="E2570" s="2">
        <f t="shared" ca="1" si="193"/>
        <v>42890</v>
      </c>
      <c r="F2570" s="6">
        <f t="shared" ca="1" si="194"/>
        <v>3.3867270474249338</v>
      </c>
    </row>
    <row r="2571" spans="1:6">
      <c r="A2571" s="1">
        <v>9129007</v>
      </c>
      <c r="B2571" s="1">
        <f t="shared" ca="1" si="191"/>
        <v>0.99753172383827204</v>
      </c>
      <c r="C2571" s="1">
        <f t="shared" ca="1" si="190"/>
        <v>3</v>
      </c>
      <c r="D2571" s="1">
        <f t="shared" ca="1" si="192"/>
        <v>263</v>
      </c>
      <c r="E2571" s="2">
        <f t="shared" ca="1" si="193"/>
        <v>43036</v>
      </c>
      <c r="F2571" s="6">
        <f t="shared" ca="1" si="194"/>
        <v>51.229665736446208</v>
      </c>
    </row>
    <row r="2572" spans="1:6">
      <c r="A2572" s="1">
        <v>9129010</v>
      </c>
      <c r="B2572" s="1">
        <f t="shared" ca="1" si="191"/>
        <v>0.67891369209123198</v>
      </c>
      <c r="C2572" s="1">
        <f t="shared" ca="1" si="190"/>
        <v>11</v>
      </c>
      <c r="D2572" s="1">
        <f t="shared" ca="1" si="192"/>
        <v>437</v>
      </c>
      <c r="E2572" s="2">
        <f t="shared" ca="1" si="193"/>
        <v>43010</v>
      </c>
      <c r="F2572" s="6">
        <f t="shared" ca="1" si="194"/>
        <v>220.08922424584784</v>
      </c>
    </row>
    <row r="2573" spans="1:6">
      <c r="A2573" s="1">
        <v>9129013</v>
      </c>
      <c r="B2573" s="1">
        <f t="shared" ca="1" si="191"/>
        <v>0.24286956970636742</v>
      </c>
      <c r="C2573" s="1">
        <f t="shared" ca="1" si="190"/>
        <v>12</v>
      </c>
      <c r="D2573" s="1">
        <f t="shared" ca="1" si="192"/>
        <v>292</v>
      </c>
      <c r="E2573" s="2">
        <f t="shared" ca="1" si="193"/>
        <v>43482</v>
      </c>
      <c r="F2573" s="6">
        <f t="shared" ca="1" si="194"/>
        <v>4.9994068601147825</v>
      </c>
    </row>
    <row r="2574" spans="1:6">
      <c r="A2574" s="1">
        <v>9129016</v>
      </c>
      <c r="B2574" s="1">
        <f t="shared" ca="1" si="191"/>
        <v>0.91950981161314282</v>
      </c>
      <c r="C2574" s="1">
        <f t="shared" ca="1" si="190"/>
        <v>56</v>
      </c>
      <c r="D2574" s="1">
        <f t="shared" ca="1" si="192"/>
        <v>57</v>
      </c>
      <c r="E2574" s="2">
        <f t="shared" ca="1" si="193"/>
        <v>42762</v>
      </c>
      <c r="F2574" s="6">
        <f t="shared" ca="1" si="194"/>
        <v>37.101963572368909</v>
      </c>
    </row>
    <row r="2575" spans="1:6">
      <c r="A2575" s="1">
        <v>9129019</v>
      </c>
      <c r="B2575" s="1">
        <f t="shared" ca="1" si="191"/>
        <v>0.50743088492718336</v>
      </c>
      <c r="C2575" s="1">
        <f t="shared" ca="1" si="190"/>
        <v>233</v>
      </c>
      <c r="D2575" s="1">
        <f t="shared" ca="1" si="192"/>
        <v>78</v>
      </c>
      <c r="E2575" s="2">
        <f t="shared" ca="1" si="193"/>
        <v>42856</v>
      </c>
      <c r="F2575" s="6">
        <f t="shared" ca="1" si="194"/>
        <v>6.8048269007663302</v>
      </c>
    </row>
    <row r="2576" spans="1:6">
      <c r="A2576" s="1">
        <v>9129022</v>
      </c>
      <c r="B2576" s="1">
        <f t="shared" ca="1" si="191"/>
        <v>0.70072441683768583</v>
      </c>
      <c r="C2576" s="1">
        <f t="shared" ca="1" si="190"/>
        <v>71</v>
      </c>
      <c r="D2576" s="1">
        <f t="shared" ca="1" si="192"/>
        <v>281</v>
      </c>
      <c r="E2576" s="2">
        <f t="shared" ca="1" si="193"/>
        <v>43470</v>
      </c>
      <c r="F2576" s="6">
        <f t="shared" ca="1" si="194"/>
        <v>449.42437184257301</v>
      </c>
    </row>
    <row r="2577" spans="1:6">
      <c r="A2577" s="1">
        <v>9129025</v>
      </c>
      <c r="B2577" s="1">
        <f t="shared" ca="1" si="191"/>
        <v>0.75844236932551312</v>
      </c>
      <c r="C2577" s="1">
        <f t="shared" ca="1" si="190"/>
        <v>52</v>
      </c>
      <c r="D2577" s="1">
        <f t="shared" ca="1" si="192"/>
        <v>574</v>
      </c>
      <c r="E2577" s="2">
        <f t="shared" ca="1" si="193"/>
        <v>43333</v>
      </c>
      <c r="F2577" s="6">
        <f t="shared" ca="1" si="194"/>
        <v>17.674414501348316</v>
      </c>
    </row>
    <row r="2578" spans="1:6">
      <c r="A2578" s="1">
        <v>9129028</v>
      </c>
      <c r="B2578" s="1">
        <f t="shared" ca="1" si="191"/>
        <v>0.51780400478498834</v>
      </c>
      <c r="C2578" s="1">
        <f t="shared" ca="1" si="190"/>
        <v>99</v>
      </c>
      <c r="D2578" s="1">
        <f t="shared" ca="1" si="192"/>
        <v>464</v>
      </c>
      <c r="E2578" s="2">
        <f t="shared" ca="1" si="193"/>
        <v>43420</v>
      </c>
      <c r="F2578" s="6">
        <f t="shared" ca="1" si="194"/>
        <v>30.162542165718058</v>
      </c>
    </row>
    <row r="2579" spans="1:6">
      <c r="A2579" s="1">
        <v>9129031</v>
      </c>
      <c r="B2579" s="1">
        <f t="shared" ca="1" si="191"/>
        <v>0.42861291424080983</v>
      </c>
      <c r="C2579" s="1">
        <f t="shared" ca="1" si="190"/>
        <v>18</v>
      </c>
      <c r="D2579" s="1">
        <f t="shared" ca="1" si="192"/>
        <v>511</v>
      </c>
      <c r="E2579" s="2">
        <f t="shared" ca="1" si="193"/>
        <v>42965</v>
      </c>
      <c r="F2579" s="6">
        <f t="shared" ca="1" si="194"/>
        <v>129.81447553861091</v>
      </c>
    </row>
    <row r="2580" spans="1:6">
      <c r="A2580" s="1">
        <v>9129034</v>
      </c>
      <c r="B2580" s="1">
        <f t="shared" ca="1" si="191"/>
        <v>0.68906635022325335</v>
      </c>
      <c r="C2580" s="1">
        <f t="shared" ca="1" si="190"/>
        <v>6</v>
      </c>
      <c r="D2580" s="1">
        <f t="shared" ca="1" si="192"/>
        <v>208</v>
      </c>
      <c r="E2580" s="2">
        <f t="shared" ca="1" si="193"/>
        <v>42900</v>
      </c>
      <c r="F2580" s="6">
        <f t="shared" ca="1" si="194"/>
        <v>5.0946690285591227</v>
      </c>
    </row>
    <row r="2581" spans="1:6">
      <c r="A2581" s="1">
        <v>9129037</v>
      </c>
      <c r="B2581" s="1">
        <f t="shared" ca="1" si="191"/>
        <v>3.827148009007364E-2</v>
      </c>
      <c r="C2581" s="1">
        <f t="shared" ca="1" si="190"/>
        <v>18</v>
      </c>
      <c r="D2581" s="1">
        <f t="shared" ca="1" si="192"/>
        <v>511</v>
      </c>
      <c r="E2581" s="2">
        <f t="shared" ca="1" si="193"/>
        <v>43041</v>
      </c>
      <c r="F2581" s="6">
        <f t="shared" ca="1" si="194"/>
        <v>4.5131201220802364</v>
      </c>
    </row>
    <row r="2582" spans="1:6">
      <c r="A2582" s="1">
        <v>9129040</v>
      </c>
      <c r="B2582" s="1">
        <f t="shared" ca="1" si="191"/>
        <v>0.81396096446818078</v>
      </c>
      <c r="C2582" s="1">
        <f t="shared" ca="1" si="190"/>
        <v>15</v>
      </c>
      <c r="D2582" s="1">
        <f t="shared" ca="1" si="192"/>
        <v>284</v>
      </c>
      <c r="E2582" s="2">
        <f t="shared" ca="1" si="193"/>
        <v>43475</v>
      </c>
      <c r="F2582" s="6">
        <f t="shared" ca="1" si="194"/>
        <v>3.5014743473869325</v>
      </c>
    </row>
    <row r="2583" spans="1:6">
      <c r="A2583" s="1">
        <v>9129043</v>
      </c>
      <c r="B2583" s="1">
        <f t="shared" ca="1" si="191"/>
        <v>0.28463924175176258</v>
      </c>
      <c r="C2583" s="1">
        <f t="shared" ca="1" si="190"/>
        <v>5</v>
      </c>
      <c r="D2583" s="1">
        <f t="shared" ca="1" si="192"/>
        <v>363</v>
      </c>
      <c r="E2583" s="2">
        <f t="shared" ca="1" si="193"/>
        <v>43277</v>
      </c>
      <c r="F2583" s="6">
        <f t="shared" ca="1" si="194"/>
        <v>78.516750203152554</v>
      </c>
    </row>
    <row r="2584" spans="1:6">
      <c r="A2584" s="1">
        <v>9129046</v>
      </c>
      <c r="B2584" s="1">
        <f t="shared" ca="1" si="191"/>
        <v>0.41107262604793116</v>
      </c>
      <c r="C2584" s="1">
        <f t="shared" ca="1" si="190"/>
        <v>37</v>
      </c>
      <c r="D2584" s="1">
        <f t="shared" ca="1" si="192"/>
        <v>517</v>
      </c>
      <c r="E2584" s="2">
        <f t="shared" ca="1" si="193"/>
        <v>42764</v>
      </c>
      <c r="F2584" s="6">
        <f t="shared" ca="1" si="194"/>
        <v>322.51178336396362</v>
      </c>
    </row>
    <row r="2585" spans="1:6">
      <c r="A2585" s="1">
        <v>9129049</v>
      </c>
      <c r="B2585" s="1">
        <f t="shared" ca="1" si="191"/>
        <v>0.97457782729877673</v>
      </c>
      <c r="C2585" s="1">
        <f t="shared" ca="1" si="190"/>
        <v>98</v>
      </c>
      <c r="D2585" s="1">
        <f t="shared" ca="1" si="192"/>
        <v>139</v>
      </c>
      <c r="E2585" s="2">
        <f t="shared" ca="1" si="193"/>
        <v>43237</v>
      </c>
      <c r="F2585" s="6">
        <f t="shared" ca="1" si="194"/>
        <v>112.7945398311377</v>
      </c>
    </row>
    <row r="2586" spans="1:6">
      <c r="A2586" s="1">
        <v>9129052</v>
      </c>
      <c r="B2586" s="1">
        <f t="shared" ca="1" si="191"/>
        <v>0.28896662421437713</v>
      </c>
      <c r="C2586" s="1">
        <f t="shared" ca="1" si="190"/>
        <v>114</v>
      </c>
      <c r="D2586" s="1">
        <f t="shared" ca="1" si="192"/>
        <v>581</v>
      </c>
      <c r="E2586" s="2">
        <f t="shared" ca="1" si="193"/>
        <v>43080</v>
      </c>
      <c r="F2586" s="6">
        <f t="shared" ca="1" si="194"/>
        <v>6.6588073082493047</v>
      </c>
    </row>
    <row r="2587" spans="1:6">
      <c r="A2587" s="1">
        <v>9129055</v>
      </c>
      <c r="B2587" s="1">
        <f t="shared" ca="1" si="191"/>
        <v>0.22428184890845682</v>
      </c>
      <c r="C2587" s="1">
        <f t="shared" ref="C2587:C2650" ca="1" si="195">ROUND(_xlfn.GAMMA.INV(RAND(),$J$11,$J$12)*100,0)+1</f>
        <v>29</v>
      </c>
      <c r="D2587" s="1">
        <f t="shared" ca="1" si="192"/>
        <v>514</v>
      </c>
      <c r="E2587" s="2">
        <f t="shared" ca="1" si="193"/>
        <v>43058</v>
      </c>
      <c r="F2587" s="6">
        <f t="shared" ca="1" si="194"/>
        <v>123.07645073249063</v>
      </c>
    </row>
    <row r="2588" spans="1:6">
      <c r="A2588" s="1">
        <v>9129058</v>
      </c>
      <c r="B2588" s="1">
        <f t="shared" ca="1" si="191"/>
        <v>0.21937770897434761</v>
      </c>
      <c r="C2588" s="1">
        <f t="shared" ca="1" si="195"/>
        <v>103</v>
      </c>
      <c r="D2588" s="1">
        <f t="shared" ca="1" si="192"/>
        <v>55</v>
      </c>
      <c r="E2588" s="2">
        <f t="shared" ca="1" si="193"/>
        <v>43116</v>
      </c>
      <c r="F2588" s="6">
        <f t="shared" ca="1" si="194"/>
        <v>3.8774449813484066</v>
      </c>
    </row>
    <row r="2589" spans="1:6">
      <c r="A2589" s="1">
        <v>9129061</v>
      </c>
      <c r="B2589" s="1">
        <f t="shared" ca="1" si="191"/>
        <v>0.48370336675925807</v>
      </c>
      <c r="C2589" s="1">
        <f t="shared" ca="1" si="195"/>
        <v>104</v>
      </c>
      <c r="D2589" s="1">
        <f t="shared" ca="1" si="192"/>
        <v>560</v>
      </c>
      <c r="E2589" s="2">
        <f t="shared" ca="1" si="193"/>
        <v>43001</v>
      </c>
      <c r="F2589" s="6">
        <f t="shared" ca="1" si="194"/>
        <v>39.823784501111533</v>
      </c>
    </row>
    <row r="2590" spans="1:6">
      <c r="A2590" s="1">
        <v>9129064</v>
      </c>
      <c r="B2590" s="1">
        <f t="shared" ca="1" si="191"/>
        <v>0.19866073027388664</v>
      </c>
      <c r="C2590" s="1">
        <f t="shared" ca="1" si="195"/>
        <v>39</v>
      </c>
      <c r="D2590" s="1">
        <f t="shared" ca="1" si="192"/>
        <v>402</v>
      </c>
      <c r="E2590" s="2">
        <f t="shared" ca="1" si="193"/>
        <v>42782</v>
      </c>
      <c r="F2590" s="6">
        <f t="shared" ca="1" si="194"/>
        <v>21.032432461844589</v>
      </c>
    </row>
    <row r="2591" spans="1:6">
      <c r="A2591" s="1">
        <v>9129067</v>
      </c>
      <c r="B2591" s="1">
        <f t="shared" ca="1" si="191"/>
        <v>0.68257115133684509</v>
      </c>
      <c r="C2591" s="1">
        <f t="shared" ca="1" si="195"/>
        <v>5</v>
      </c>
      <c r="D2591" s="1">
        <f t="shared" ca="1" si="192"/>
        <v>363</v>
      </c>
      <c r="E2591" s="2">
        <f t="shared" ca="1" si="193"/>
        <v>43141</v>
      </c>
      <c r="F2591" s="6">
        <f t="shared" ca="1" si="194"/>
        <v>75.857261549803582</v>
      </c>
    </row>
    <row r="2592" spans="1:6">
      <c r="A2592" s="1">
        <v>9129070</v>
      </c>
      <c r="B2592" s="1">
        <f t="shared" ca="1" si="191"/>
        <v>0.41755255853760187</v>
      </c>
      <c r="C2592" s="1">
        <f t="shared" ca="1" si="195"/>
        <v>37</v>
      </c>
      <c r="D2592" s="1">
        <f t="shared" ca="1" si="192"/>
        <v>517</v>
      </c>
      <c r="E2592" s="2">
        <f t="shared" ca="1" si="193"/>
        <v>42922</v>
      </c>
      <c r="F2592" s="6">
        <f t="shared" ca="1" si="194"/>
        <v>8.0077038569588535</v>
      </c>
    </row>
    <row r="2593" spans="1:6">
      <c r="A2593" s="1">
        <v>9129073</v>
      </c>
      <c r="B2593" s="1">
        <f t="shared" ca="1" si="191"/>
        <v>0.68832852716223558</v>
      </c>
      <c r="C2593" s="1">
        <f t="shared" ca="1" si="195"/>
        <v>137</v>
      </c>
      <c r="D2593" s="1">
        <f t="shared" ca="1" si="192"/>
        <v>101</v>
      </c>
      <c r="E2593" s="2">
        <f t="shared" ca="1" si="193"/>
        <v>42769</v>
      </c>
      <c r="F2593" s="6">
        <f t="shared" ca="1" si="194"/>
        <v>50.632333483082107</v>
      </c>
    </row>
    <row r="2594" spans="1:6">
      <c r="A2594" s="1">
        <v>9129076</v>
      </c>
      <c r="B2594" s="1">
        <f t="shared" ca="1" si="191"/>
        <v>5.3746916682003376E-2</v>
      </c>
      <c r="C2594" s="1">
        <f t="shared" ca="1" si="195"/>
        <v>56</v>
      </c>
      <c r="D2594" s="1">
        <f t="shared" ca="1" si="192"/>
        <v>57</v>
      </c>
      <c r="E2594" s="2">
        <f t="shared" ca="1" si="193"/>
        <v>43232</v>
      </c>
      <c r="F2594" s="6">
        <f t="shared" ca="1" si="194"/>
        <v>3.6761010403474552</v>
      </c>
    </row>
    <row r="2595" spans="1:6">
      <c r="A2595" s="1">
        <v>9129079</v>
      </c>
      <c r="B2595" s="1">
        <f t="shared" ca="1" si="191"/>
        <v>0.53591006038551647</v>
      </c>
      <c r="C2595" s="1">
        <f t="shared" ca="1" si="195"/>
        <v>141</v>
      </c>
      <c r="D2595" s="1">
        <f t="shared" ca="1" si="192"/>
        <v>130</v>
      </c>
      <c r="E2595" s="2">
        <f t="shared" ca="1" si="193"/>
        <v>42896</v>
      </c>
      <c r="F2595" s="6">
        <f t="shared" ca="1" si="194"/>
        <v>3.4239432914412835</v>
      </c>
    </row>
    <row r="2596" spans="1:6">
      <c r="A2596" s="1">
        <v>9129082</v>
      </c>
      <c r="B2596" s="1">
        <f t="shared" ca="1" si="191"/>
        <v>0.1162288886633337</v>
      </c>
      <c r="C2596" s="1">
        <f t="shared" ca="1" si="195"/>
        <v>51</v>
      </c>
      <c r="D2596" s="1">
        <f t="shared" ca="1" si="192"/>
        <v>93</v>
      </c>
      <c r="E2596" s="2">
        <f t="shared" ca="1" si="193"/>
        <v>43056</v>
      </c>
      <c r="F2596" s="6">
        <f t="shared" ca="1" si="194"/>
        <v>131.7283181792983</v>
      </c>
    </row>
    <row r="2597" spans="1:6">
      <c r="A2597" s="1">
        <v>9129085</v>
      </c>
      <c r="B2597" s="1">
        <f t="shared" ca="1" si="191"/>
        <v>0.45409302239709226</v>
      </c>
      <c r="C2597" s="1">
        <f t="shared" ca="1" si="195"/>
        <v>1</v>
      </c>
      <c r="D2597" s="1">
        <f t="shared" ca="1" si="192"/>
        <v>474</v>
      </c>
      <c r="E2597" s="2">
        <f t="shared" ca="1" si="193"/>
        <v>43127</v>
      </c>
      <c r="F2597" s="6">
        <f t="shared" ca="1" si="194"/>
        <v>11.398664058364007</v>
      </c>
    </row>
    <row r="2598" spans="1:6">
      <c r="A2598" s="1">
        <v>9129088</v>
      </c>
      <c r="B2598" s="1">
        <f t="shared" ca="1" si="191"/>
        <v>0.59814941038148073</v>
      </c>
      <c r="C2598" s="1">
        <f t="shared" ca="1" si="195"/>
        <v>22</v>
      </c>
      <c r="D2598" s="1">
        <f t="shared" ca="1" si="192"/>
        <v>413</v>
      </c>
      <c r="E2598" s="2">
        <f t="shared" ca="1" si="193"/>
        <v>42972</v>
      </c>
      <c r="F2598" s="6">
        <f t="shared" ca="1" si="194"/>
        <v>141.46953854500228</v>
      </c>
    </row>
    <row r="2599" spans="1:6">
      <c r="A2599" s="1">
        <v>9129091</v>
      </c>
      <c r="B2599" s="1">
        <f t="shared" ca="1" si="191"/>
        <v>0.10019311459871449</v>
      </c>
      <c r="C2599" s="1">
        <f t="shared" ca="1" si="195"/>
        <v>36</v>
      </c>
      <c r="D2599" s="1">
        <f t="shared" ca="1" si="192"/>
        <v>529</v>
      </c>
      <c r="E2599" s="2">
        <f t="shared" ca="1" si="193"/>
        <v>42794</v>
      </c>
      <c r="F2599" s="6">
        <f t="shared" ca="1" si="194"/>
        <v>66.852077749329709</v>
      </c>
    </row>
    <row r="2600" spans="1:6">
      <c r="A2600" s="1">
        <v>9129094</v>
      </c>
      <c r="B2600" s="1">
        <f t="shared" ca="1" si="191"/>
        <v>9.6527915629134542E-2</v>
      </c>
      <c r="C2600" s="1">
        <f t="shared" ca="1" si="195"/>
        <v>42</v>
      </c>
      <c r="D2600" s="1">
        <f t="shared" ca="1" si="192"/>
        <v>36</v>
      </c>
      <c r="E2600" s="2">
        <f t="shared" ca="1" si="193"/>
        <v>43099</v>
      </c>
      <c r="F2600" s="6">
        <f t="shared" ca="1" si="194"/>
        <v>20.385343020875592</v>
      </c>
    </row>
    <row r="2601" spans="1:6">
      <c r="A2601" s="1">
        <v>9129097</v>
      </c>
      <c r="B2601" s="1">
        <f t="shared" ca="1" si="191"/>
        <v>0.73122903341083056</v>
      </c>
      <c r="C2601" s="1">
        <f t="shared" ca="1" si="195"/>
        <v>79</v>
      </c>
      <c r="D2601" s="1">
        <f t="shared" ca="1" si="192"/>
        <v>547</v>
      </c>
      <c r="E2601" s="2">
        <f t="shared" ca="1" si="193"/>
        <v>43021</v>
      </c>
      <c r="F2601" s="6">
        <f t="shared" ca="1" si="194"/>
        <v>18.685210936929593</v>
      </c>
    </row>
    <row r="2602" spans="1:6">
      <c r="A2602" s="1">
        <v>9129100</v>
      </c>
      <c r="B2602" s="1">
        <f t="shared" ca="1" si="191"/>
        <v>0.57991431326438758</v>
      </c>
      <c r="C2602" s="1">
        <f t="shared" ca="1" si="195"/>
        <v>134</v>
      </c>
      <c r="D2602" s="1">
        <f t="shared" ca="1" si="192"/>
        <v>374</v>
      </c>
      <c r="E2602" s="2">
        <f t="shared" ca="1" si="193"/>
        <v>42846</v>
      </c>
      <c r="F2602" s="6">
        <f t="shared" ca="1" si="194"/>
        <v>76.785234165078066</v>
      </c>
    </row>
    <row r="2603" spans="1:6">
      <c r="A2603" s="1">
        <v>9129103</v>
      </c>
      <c r="B2603" s="1">
        <f t="shared" ca="1" si="191"/>
        <v>0.75544716426441882</v>
      </c>
      <c r="C2603" s="1">
        <f t="shared" ca="1" si="195"/>
        <v>21</v>
      </c>
      <c r="D2603" s="1">
        <f t="shared" ca="1" si="192"/>
        <v>566</v>
      </c>
      <c r="E2603" s="2">
        <f t="shared" ca="1" si="193"/>
        <v>43076</v>
      </c>
      <c r="F2603" s="6">
        <f t="shared" ca="1" si="194"/>
        <v>66.288557329401556</v>
      </c>
    </row>
    <row r="2604" spans="1:6">
      <c r="A2604" s="1">
        <v>9129106</v>
      </c>
      <c r="B2604" s="1">
        <f t="shared" ca="1" si="191"/>
        <v>0.35200496238335566</v>
      </c>
      <c r="C2604" s="1">
        <f t="shared" ca="1" si="195"/>
        <v>3</v>
      </c>
      <c r="D2604" s="1">
        <f t="shared" ca="1" si="192"/>
        <v>263</v>
      </c>
      <c r="E2604" s="2">
        <f t="shared" ca="1" si="193"/>
        <v>43018</v>
      </c>
      <c r="F2604" s="6">
        <f t="shared" ca="1" si="194"/>
        <v>29.193578140893464</v>
      </c>
    </row>
    <row r="2605" spans="1:6">
      <c r="A2605" s="1">
        <v>9129109</v>
      </c>
      <c r="B2605" s="1">
        <f t="shared" ca="1" si="191"/>
        <v>0.42100943128008006</v>
      </c>
      <c r="C2605" s="1">
        <f t="shared" ca="1" si="195"/>
        <v>33</v>
      </c>
      <c r="D2605" s="1">
        <f t="shared" ca="1" si="192"/>
        <v>501</v>
      </c>
      <c r="E2605" s="2">
        <f t="shared" ca="1" si="193"/>
        <v>43010</v>
      </c>
      <c r="F2605" s="6">
        <f t="shared" ca="1" si="194"/>
        <v>43.638590562537765</v>
      </c>
    </row>
    <row r="2606" spans="1:6">
      <c r="A2606" s="1">
        <v>9129112</v>
      </c>
      <c r="B2606" s="1">
        <f t="shared" ca="1" si="191"/>
        <v>0.86620546332820225</v>
      </c>
      <c r="C2606" s="1">
        <f t="shared" ca="1" si="195"/>
        <v>256</v>
      </c>
      <c r="D2606" s="1">
        <f t="shared" ca="1" si="192"/>
        <v>213</v>
      </c>
      <c r="E2606" s="2">
        <f t="shared" ca="1" si="193"/>
        <v>43046</v>
      </c>
      <c r="F2606" s="6">
        <f t="shared" ca="1" si="194"/>
        <v>11.636512746620625</v>
      </c>
    </row>
    <row r="2607" spans="1:6">
      <c r="A2607" s="1">
        <v>9129115</v>
      </c>
      <c r="B2607" s="1">
        <f t="shared" ca="1" si="191"/>
        <v>0.32167869272608951</v>
      </c>
      <c r="C2607" s="1">
        <f t="shared" ca="1" si="195"/>
        <v>27</v>
      </c>
      <c r="D2607" s="1">
        <f t="shared" ca="1" si="192"/>
        <v>398</v>
      </c>
      <c r="E2607" s="2">
        <f t="shared" ca="1" si="193"/>
        <v>43056</v>
      </c>
      <c r="F2607" s="6">
        <f t="shared" ca="1" si="194"/>
        <v>9.4071201445565844</v>
      </c>
    </row>
    <row r="2608" spans="1:6">
      <c r="A2608" s="1">
        <v>9129118</v>
      </c>
      <c r="B2608" s="1">
        <f t="shared" ca="1" si="191"/>
        <v>0.74831852048550862</v>
      </c>
      <c r="C2608" s="1">
        <f t="shared" ca="1" si="195"/>
        <v>93</v>
      </c>
      <c r="D2608" s="1">
        <f t="shared" ca="1" si="192"/>
        <v>518</v>
      </c>
      <c r="E2608" s="2">
        <f t="shared" ca="1" si="193"/>
        <v>42841</v>
      </c>
      <c r="F2608" s="6">
        <f t="shared" ca="1" si="194"/>
        <v>31.907168321374598</v>
      </c>
    </row>
    <row r="2609" spans="1:6">
      <c r="A2609" s="1">
        <v>9129121</v>
      </c>
      <c r="B2609" s="1">
        <f t="shared" ca="1" si="191"/>
        <v>0.55917428322536633</v>
      </c>
      <c r="C2609" s="1">
        <f t="shared" ca="1" si="195"/>
        <v>14</v>
      </c>
      <c r="D2609" s="1">
        <f t="shared" ca="1" si="192"/>
        <v>576</v>
      </c>
      <c r="E2609" s="2">
        <f t="shared" ca="1" si="193"/>
        <v>43100</v>
      </c>
      <c r="F2609" s="6">
        <f t="shared" ca="1" si="194"/>
        <v>195.93883913806732</v>
      </c>
    </row>
    <row r="2610" spans="1:6">
      <c r="A2610" s="1">
        <v>9129124</v>
      </c>
      <c r="B2610" s="1">
        <f t="shared" ca="1" si="191"/>
        <v>0.6369341246406488</v>
      </c>
      <c r="C2610" s="1">
        <f t="shared" ca="1" si="195"/>
        <v>11</v>
      </c>
      <c r="D2610" s="1">
        <f t="shared" ca="1" si="192"/>
        <v>437</v>
      </c>
      <c r="E2610" s="2">
        <f t="shared" ca="1" si="193"/>
        <v>43288</v>
      </c>
      <c r="F2610" s="6">
        <f t="shared" ca="1" si="194"/>
        <v>10.248196967918037</v>
      </c>
    </row>
    <row r="2611" spans="1:6">
      <c r="A2611" s="1">
        <v>9129127</v>
      </c>
      <c r="B2611" s="1">
        <f t="shared" ca="1" si="191"/>
        <v>0.58388792065933803</v>
      </c>
      <c r="C2611" s="1">
        <f t="shared" ca="1" si="195"/>
        <v>19</v>
      </c>
      <c r="D2611" s="1">
        <f t="shared" ca="1" si="192"/>
        <v>42</v>
      </c>
      <c r="E2611" s="2">
        <f t="shared" ca="1" si="193"/>
        <v>43186</v>
      </c>
      <c r="F2611" s="6">
        <f t="shared" ca="1" si="194"/>
        <v>33.227455988702133</v>
      </c>
    </row>
    <row r="2612" spans="1:6">
      <c r="A2612" s="1">
        <v>9129130</v>
      </c>
      <c r="B2612" s="1">
        <f t="shared" ca="1" si="191"/>
        <v>0.96870594971880064</v>
      </c>
      <c r="C2612" s="1">
        <f t="shared" ca="1" si="195"/>
        <v>8</v>
      </c>
      <c r="D2612" s="1">
        <f t="shared" ca="1" si="192"/>
        <v>456</v>
      </c>
      <c r="E2612" s="2">
        <f t="shared" ca="1" si="193"/>
        <v>43086</v>
      </c>
      <c r="F2612" s="6">
        <f t="shared" ca="1" si="194"/>
        <v>202.87725040055193</v>
      </c>
    </row>
    <row r="2613" spans="1:6">
      <c r="A2613" s="1">
        <v>9129133</v>
      </c>
      <c r="B2613" s="1">
        <f t="shared" ca="1" si="191"/>
        <v>0.87732044000951348</v>
      </c>
      <c r="C2613" s="1">
        <f t="shared" ca="1" si="195"/>
        <v>36</v>
      </c>
      <c r="D2613" s="1">
        <f t="shared" ca="1" si="192"/>
        <v>529</v>
      </c>
      <c r="E2613" s="2">
        <f t="shared" ca="1" si="193"/>
        <v>43216</v>
      </c>
      <c r="F2613" s="6">
        <f t="shared" ca="1" si="194"/>
        <v>423.44593893765978</v>
      </c>
    </row>
    <row r="2614" spans="1:6">
      <c r="A2614" s="1">
        <v>9129136</v>
      </c>
      <c r="B2614" s="1">
        <f t="shared" ca="1" si="191"/>
        <v>0.5012763206228471</v>
      </c>
      <c r="C2614" s="1">
        <f t="shared" ca="1" si="195"/>
        <v>184</v>
      </c>
      <c r="D2614" s="1">
        <f t="shared" ca="1" si="192"/>
        <v>580</v>
      </c>
      <c r="E2614" s="2">
        <f t="shared" ca="1" si="193"/>
        <v>43375</v>
      </c>
      <c r="F2614" s="6">
        <f t="shared" ca="1" si="194"/>
        <v>54.059821533104909</v>
      </c>
    </row>
    <row r="2615" spans="1:6">
      <c r="A2615" s="1">
        <v>9129139</v>
      </c>
      <c r="B2615" s="1">
        <f t="shared" ca="1" si="191"/>
        <v>0.87895272990387063</v>
      </c>
      <c r="C2615" s="1">
        <f t="shared" ca="1" si="195"/>
        <v>131</v>
      </c>
      <c r="D2615" s="1">
        <f t="shared" ca="1" si="192"/>
        <v>99</v>
      </c>
      <c r="E2615" s="2">
        <f t="shared" ca="1" si="193"/>
        <v>42776</v>
      </c>
      <c r="F2615" s="6">
        <f t="shared" ca="1" si="194"/>
        <v>3.1988454350298525</v>
      </c>
    </row>
    <row r="2616" spans="1:6">
      <c r="A2616" s="1">
        <v>9129142</v>
      </c>
      <c r="B2616" s="1">
        <f t="shared" ca="1" si="191"/>
        <v>0.7430201540282293</v>
      </c>
      <c r="C2616" s="1">
        <f t="shared" ca="1" si="195"/>
        <v>127</v>
      </c>
      <c r="D2616" s="1">
        <f t="shared" ca="1" si="192"/>
        <v>68</v>
      </c>
      <c r="E2616" s="2">
        <f t="shared" ca="1" si="193"/>
        <v>42844</v>
      </c>
      <c r="F2616" s="6">
        <f t="shared" ca="1" si="194"/>
        <v>3.3561716881447259</v>
      </c>
    </row>
    <row r="2617" spans="1:6">
      <c r="A2617" s="1">
        <v>9129145</v>
      </c>
      <c r="B2617" s="1">
        <f t="shared" ca="1" si="191"/>
        <v>0.90772219972425128</v>
      </c>
      <c r="C2617" s="1">
        <f t="shared" ca="1" si="195"/>
        <v>86</v>
      </c>
      <c r="D2617" s="1">
        <f t="shared" ca="1" si="192"/>
        <v>526</v>
      </c>
      <c r="E2617" s="2">
        <f t="shared" ca="1" si="193"/>
        <v>43281</v>
      </c>
      <c r="F2617" s="6">
        <f t="shared" ca="1" si="194"/>
        <v>33.547294806308741</v>
      </c>
    </row>
    <row r="2618" spans="1:6">
      <c r="A2618" s="1">
        <v>9129148</v>
      </c>
      <c r="B2618" s="1">
        <f t="shared" ca="1" si="191"/>
        <v>0.94013969231791539</v>
      </c>
      <c r="C2618" s="1">
        <f t="shared" ca="1" si="195"/>
        <v>192</v>
      </c>
      <c r="D2618" s="1">
        <f t="shared" ca="1" si="192"/>
        <v>570</v>
      </c>
      <c r="E2618" s="2">
        <f t="shared" ca="1" si="193"/>
        <v>43226</v>
      </c>
      <c r="F2618" s="6">
        <f t="shared" ca="1" si="194"/>
        <v>4.205960754288034</v>
      </c>
    </row>
    <row r="2619" spans="1:6">
      <c r="A2619" s="1">
        <v>9129151</v>
      </c>
      <c r="B2619" s="1">
        <f t="shared" ca="1" si="191"/>
        <v>0.94036543711436027</v>
      </c>
      <c r="C2619" s="1">
        <f t="shared" ca="1" si="195"/>
        <v>101</v>
      </c>
      <c r="D2619" s="1">
        <f t="shared" ca="1" si="192"/>
        <v>166</v>
      </c>
      <c r="E2619" s="2">
        <f t="shared" ca="1" si="193"/>
        <v>43146</v>
      </c>
      <c r="F2619" s="6">
        <f t="shared" ca="1" si="194"/>
        <v>4.8948932398999192</v>
      </c>
    </row>
    <row r="2620" spans="1:6">
      <c r="A2620" s="1">
        <v>9129154</v>
      </c>
      <c r="B2620" s="1">
        <f t="shared" ca="1" si="191"/>
        <v>0.28108158161761732</v>
      </c>
      <c r="C2620" s="1">
        <f t="shared" ca="1" si="195"/>
        <v>60</v>
      </c>
      <c r="D2620" s="1">
        <f t="shared" ca="1" si="192"/>
        <v>422</v>
      </c>
      <c r="E2620" s="2">
        <f t="shared" ca="1" si="193"/>
        <v>43129</v>
      </c>
      <c r="F2620" s="6">
        <f t="shared" ca="1" si="194"/>
        <v>85.860096478572189</v>
      </c>
    </row>
    <row r="2621" spans="1:6">
      <c r="A2621" s="1">
        <v>9129157</v>
      </c>
      <c r="B2621" s="1">
        <f t="shared" ca="1" si="191"/>
        <v>0.17009461069130738</v>
      </c>
      <c r="C2621" s="1">
        <f t="shared" ca="1" si="195"/>
        <v>35</v>
      </c>
      <c r="D2621" s="1">
        <f t="shared" ca="1" si="192"/>
        <v>423</v>
      </c>
      <c r="E2621" s="2">
        <f t="shared" ca="1" si="193"/>
        <v>43479</v>
      </c>
      <c r="F2621" s="6">
        <f t="shared" ca="1" si="194"/>
        <v>105.375050452491</v>
      </c>
    </row>
    <row r="2622" spans="1:6">
      <c r="A2622" s="1">
        <v>9129160</v>
      </c>
      <c r="B2622" s="1">
        <f t="shared" ca="1" si="191"/>
        <v>0.60841717715049071</v>
      </c>
      <c r="C2622" s="1">
        <f t="shared" ca="1" si="195"/>
        <v>1</v>
      </c>
      <c r="D2622" s="1">
        <f t="shared" ca="1" si="192"/>
        <v>474</v>
      </c>
      <c r="E2622" s="2">
        <f t="shared" ca="1" si="193"/>
        <v>43390</v>
      </c>
      <c r="F2622" s="6">
        <f t="shared" ca="1" si="194"/>
        <v>55.200721798273129</v>
      </c>
    </row>
    <row r="2623" spans="1:6">
      <c r="A2623" s="1">
        <v>9129163</v>
      </c>
      <c r="B2623" s="1">
        <f t="shared" ca="1" si="191"/>
        <v>0.43745916857418898</v>
      </c>
      <c r="C2623" s="1">
        <f t="shared" ca="1" si="195"/>
        <v>117</v>
      </c>
      <c r="D2623" s="1">
        <f t="shared" ca="1" si="192"/>
        <v>600</v>
      </c>
      <c r="E2623" s="2">
        <f t="shared" ca="1" si="193"/>
        <v>43066</v>
      </c>
      <c r="F2623" s="6">
        <f t="shared" ca="1" si="194"/>
        <v>86.109450106082789</v>
      </c>
    </row>
    <row r="2624" spans="1:6">
      <c r="A2624" s="1">
        <v>9129166</v>
      </c>
      <c r="B2624" s="1">
        <f t="shared" ca="1" si="191"/>
        <v>0.68155699857116292</v>
      </c>
      <c r="C2624" s="1">
        <f t="shared" ca="1" si="195"/>
        <v>2</v>
      </c>
      <c r="D2624" s="1">
        <f t="shared" ca="1" si="192"/>
        <v>30</v>
      </c>
      <c r="E2624" s="2">
        <f t="shared" ca="1" si="193"/>
        <v>43105</v>
      </c>
      <c r="F2624" s="6">
        <f t="shared" ca="1" si="194"/>
        <v>3.9650718104027538</v>
      </c>
    </row>
    <row r="2625" spans="1:6">
      <c r="A2625" s="1">
        <v>9129169</v>
      </c>
      <c r="B2625" s="1">
        <f t="shared" ca="1" si="191"/>
        <v>0.91623879271702768</v>
      </c>
      <c r="C2625" s="1">
        <f t="shared" ca="1" si="195"/>
        <v>244</v>
      </c>
      <c r="D2625" s="1">
        <f t="shared" ca="1" si="192"/>
        <v>264</v>
      </c>
      <c r="E2625" s="2">
        <f t="shared" ca="1" si="193"/>
        <v>43093</v>
      </c>
      <c r="F2625" s="6">
        <f t="shared" ca="1" si="194"/>
        <v>16.975866037213784</v>
      </c>
    </row>
    <row r="2626" spans="1:6">
      <c r="A2626" s="1">
        <v>9129172</v>
      </c>
      <c r="B2626" s="1">
        <f t="shared" ref="B2626:B2669" ca="1" si="196">RAND()</f>
        <v>0.32247067295163923</v>
      </c>
      <c r="C2626" s="1">
        <f t="shared" ca="1" si="195"/>
        <v>1</v>
      </c>
      <c r="D2626" s="1">
        <f t="shared" ca="1" si="192"/>
        <v>474</v>
      </c>
      <c r="E2626" s="2">
        <f t="shared" ca="1" si="193"/>
        <v>43268</v>
      </c>
      <c r="F2626" s="6">
        <f t="shared" ca="1" si="194"/>
        <v>69.47468143341419</v>
      </c>
    </row>
    <row r="2627" spans="1:6">
      <c r="A2627" s="1">
        <v>9129175</v>
      </c>
      <c r="B2627" s="1">
        <f t="shared" ca="1" si="196"/>
        <v>0.87829300822332079</v>
      </c>
      <c r="C2627" s="1">
        <f t="shared" ca="1" si="195"/>
        <v>113</v>
      </c>
      <c r="D2627" s="1">
        <f t="shared" ref="D2627:D2669" ca="1" si="197">VLOOKUP(SMALL($B$2:$B$601,C2627),$B$2:$C$601,2,FALSE)</f>
        <v>330</v>
      </c>
      <c r="E2627" s="2">
        <f t="shared" ref="E2627:E2690" ca="1" si="198">RANDBETWEEN("1/1/17","2/1/19")</f>
        <v>43073</v>
      </c>
      <c r="F2627" s="6">
        <f t="shared" ref="F2627:F2690" ca="1" si="199">_xlfn.GAMMA.INV(RAND(),$J$6,$J$7)*100+3</f>
        <v>19.444519523914252</v>
      </c>
    </row>
    <row r="2628" spans="1:6">
      <c r="A2628" s="1">
        <v>9129178</v>
      </c>
      <c r="B2628" s="1">
        <f t="shared" ca="1" si="196"/>
        <v>0.58209723092350785</v>
      </c>
      <c r="C2628" s="1">
        <f t="shared" ca="1" si="195"/>
        <v>83</v>
      </c>
      <c r="D2628" s="1">
        <f t="shared" ca="1" si="197"/>
        <v>47</v>
      </c>
      <c r="E2628" s="2">
        <f t="shared" ca="1" si="198"/>
        <v>43237</v>
      </c>
      <c r="F2628" s="6">
        <f t="shared" ca="1" si="199"/>
        <v>32.647748698284936</v>
      </c>
    </row>
    <row r="2629" spans="1:6">
      <c r="A2629" s="1">
        <v>9129181</v>
      </c>
      <c r="B2629" s="1">
        <f t="shared" ca="1" si="196"/>
        <v>0.93723338727835148</v>
      </c>
      <c r="C2629" s="1">
        <f t="shared" ca="1" si="195"/>
        <v>5</v>
      </c>
      <c r="D2629" s="1">
        <f t="shared" ca="1" si="197"/>
        <v>363</v>
      </c>
      <c r="E2629" s="2">
        <f t="shared" ca="1" si="198"/>
        <v>43331</v>
      </c>
      <c r="F2629" s="6">
        <f t="shared" ca="1" si="199"/>
        <v>269.1985938367194</v>
      </c>
    </row>
    <row r="2630" spans="1:6">
      <c r="A2630" s="1">
        <v>9129184</v>
      </c>
      <c r="B2630" s="1">
        <f t="shared" ca="1" si="196"/>
        <v>0.51324585282532886</v>
      </c>
      <c r="C2630" s="1">
        <f t="shared" ca="1" si="195"/>
        <v>8</v>
      </c>
      <c r="D2630" s="1">
        <f t="shared" ca="1" si="197"/>
        <v>456</v>
      </c>
      <c r="E2630" s="2">
        <f t="shared" ca="1" si="198"/>
        <v>43183</v>
      </c>
      <c r="F2630" s="6">
        <f t="shared" ca="1" si="199"/>
        <v>15.427702236333985</v>
      </c>
    </row>
    <row r="2631" spans="1:6">
      <c r="A2631" s="1">
        <v>9129187</v>
      </c>
      <c r="B2631" s="1">
        <f t="shared" ca="1" si="196"/>
        <v>0.96754847005289468</v>
      </c>
      <c r="C2631" s="1">
        <f t="shared" ca="1" si="195"/>
        <v>146</v>
      </c>
      <c r="D2631" s="1">
        <f t="shared" ca="1" si="197"/>
        <v>216</v>
      </c>
      <c r="E2631" s="2">
        <f t="shared" ca="1" si="198"/>
        <v>42923</v>
      </c>
      <c r="F2631" s="6">
        <f t="shared" ca="1" si="199"/>
        <v>3.6374372430877373</v>
      </c>
    </row>
    <row r="2632" spans="1:6">
      <c r="A2632" s="1">
        <v>9129190</v>
      </c>
      <c r="B2632" s="1">
        <f t="shared" ca="1" si="196"/>
        <v>0.58360254748115448</v>
      </c>
      <c r="C2632" s="1">
        <f t="shared" ca="1" si="195"/>
        <v>24</v>
      </c>
      <c r="D2632" s="1">
        <f t="shared" ca="1" si="197"/>
        <v>334</v>
      </c>
      <c r="E2632" s="2">
        <f t="shared" ca="1" si="198"/>
        <v>43457</v>
      </c>
      <c r="F2632" s="6">
        <f t="shared" ca="1" si="199"/>
        <v>7.2466345513427504</v>
      </c>
    </row>
    <row r="2633" spans="1:6">
      <c r="A2633" s="1">
        <v>9129193</v>
      </c>
      <c r="B2633" s="1">
        <f t="shared" ca="1" si="196"/>
        <v>0.54694591750293009</v>
      </c>
      <c r="C2633" s="1">
        <f t="shared" ca="1" si="195"/>
        <v>3</v>
      </c>
      <c r="D2633" s="1">
        <f t="shared" ca="1" si="197"/>
        <v>263</v>
      </c>
      <c r="E2633" s="2">
        <f t="shared" ca="1" si="198"/>
        <v>43067</v>
      </c>
      <c r="F2633" s="6">
        <f t="shared" ca="1" si="199"/>
        <v>5.8064163606987229</v>
      </c>
    </row>
    <row r="2634" spans="1:6">
      <c r="A2634" s="1">
        <v>9129196</v>
      </c>
      <c r="B2634" s="1">
        <f t="shared" ca="1" si="196"/>
        <v>0.60502005613785736</v>
      </c>
      <c r="C2634" s="1">
        <f t="shared" ca="1" si="195"/>
        <v>27</v>
      </c>
      <c r="D2634" s="1">
        <f t="shared" ca="1" si="197"/>
        <v>398</v>
      </c>
      <c r="E2634" s="2">
        <f t="shared" ca="1" si="198"/>
        <v>43083</v>
      </c>
      <c r="F2634" s="6">
        <f t="shared" ca="1" si="199"/>
        <v>3.7077585226755323</v>
      </c>
    </row>
    <row r="2635" spans="1:6">
      <c r="A2635" s="1">
        <v>9129199</v>
      </c>
      <c r="B2635" s="1">
        <f t="shared" ca="1" si="196"/>
        <v>0.54924420817468456</v>
      </c>
      <c r="C2635" s="1">
        <f t="shared" ca="1" si="195"/>
        <v>1</v>
      </c>
      <c r="D2635" s="1">
        <f t="shared" ca="1" si="197"/>
        <v>474</v>
      </c>
      <c r="E2635" s="2">
        <f t="shared" ca="1" si="198"/>
        <v>43144</v>
      </c>
      <c r="F2635" s="6">
        <f t="shared" ca="1" si="199"/>
        <v>122.28297668237317</v>
      </c>
    </row>
    <row r="2636" spans="1:6">
      <c r="A2636" s="1">
        <v>9129202</v>
      </c>
      <c r="B2636" s="1">
        <f t="shared" ca="1" si="196"/>
        <v>0.54239212381714519</v>
      </c>
      <c r="C2636" s="1">
        <f t="shared" ca="1" si="195"/>
        <v>54</v>
      </c>
      <c r="D2636" s="1">
        <f t="shared" ca="1" si="197"/>
        <v>168</v>
      </c>
      <c r="E2636" s="2">
        <f t="shared" ca="1" si="198"/>
        <v>43055</v>
      </c>
      <c r="F2636" s="6">
        <f t="shared" ca="1" si="199"/>
        <v>4.7389394862614882</v>
      </c>
    </row>
    <row r="2637" spans="1:6">
      <c r="A2637" s="1">
        <v>9129205</v>
      </c>
      <c r="B2637" s="1">
        <f t="shared" ca="1" si="196"/>
        <v>0.94879291339379535</v>
      </c>
      <c r="C2637" s="1">
        <f t="shared" ca="1" si="195"/>
        <v>60</v>
      </c>
      <c r="D2637" s="1">
        <f t="shared" ca="1" si="197"/>
        <v>422</v>
      </c>
      <c r="E2637" s="2">
        <f t="shared" ca="1" si="198"/>
        <v>43287</v>
      </c>
      <c r="F2637" s="6">
        <f t="shared" ca="1" si="199"/>
        <v>3.2073989429010199</v>
      </c>
    </row>
    <row r="2638" spans="1:6">
      <c r="A2638" s="1">
        <v>9129208</v>
      </c>
      <c r="B2638" s="1">
        <f t="shared" ca="1" si="196"/>
        <v>0.29341059318814633</v>
      </c>
      <c r="C2638" s="1">
        <f t="shared" ca="1" si="195"/>
        <v>35</v>
      </c>
      <c r="D2638" s="1">
        <f t="shared" ca="1" si="197"/>
        <v>423</v>
      </c>
      <c r="E2638" s="2">
        <f t="shared" ca="1" si="198"/>
        <v>43256</v>
      </c>
      <c r="F2638" s="6">
        <f t="shared" ca="1" si="199"/>
        <v>5.3433236291274415</v>
      </c>
    </row>
    <row r="2639" spans="1:6">
      <c r="A2639" s="1">
        <v>9129211</v>
      </c>
      <c r="B2639" s="1">
        <f t="shared" ca="1" si="196"/>
        <v>0.9025953691386146</v>
      </c>
      <c r="C2639" s="1">
        <f t="shared" ca="1" si="195"/>
        <v>38</v>
      </c>
      <c r="D2639" s="1">
        <f t="shared" ca="1" si="197"/>
        <v>400</v>
      </c>
      <c r="E2639" s="2">
        <f t="shared" ca="1" si="198"/>
        <v>43258</v>
      </c>
      <c r="F2639" s="6">
        <f t="shared" ca="1" si="199"/>
        <v>4.1368231372257149</v>
      </c>
    </row>
    <row r="2640" spans="1:6">
      <c r="A2640" s="1">
        <v>9129214</v>
      </c>
      <c r="B2640" s="1">
        <f t="shared" ca="1" si="196"/>
        <v>0.11907034905497527</v>
      </c>
      <c r="C2640" s="1">
        <f t="shared" ca="1" si="195"/>
        <v>42</v>
      </c>
      <c r="D2640" s="1">
        <f t="shared" ca="1" si="197"/>
        <v>36</v>
      </c>
      <c r="E2640" s="2">
        <f t="shared" ca="1" si="198"/>
        <v>42980</v>
      </c>
      <c r="F2640" s="6">
        <f t="shared" ca="1" si="199"/>
        <v>6.6360396898918825</v>
      </c>
    </row>
    <row r="2641" spans="1:6">
      <c r="A2641" s="1">
        <v>9129217</v>
      </c>
      <c r="B2641" s="1">
        <f t="shared" ca="1" si="196"/>
        <v>0.71429485713477625</v>
      </c>
      <c r="C2641" s="1">
        <f t="shared" ca="1" si="195"/>
        <v>3</v>
      </c>
      <c r="D2641" s="1">
        <f t="shared" ca="1" si="197"/>
        <v>263</v>
      </c>
      <c r="E2641" s="2">
        <f t="shared" ca="1" si="198"/>
        <v>42986</v>
      </c>
      <c r="F2641" s="6">
        <f t="shared" ca="1" si="199"/>
        <v>71.312215866718631</v>
      </c>
    </row>
    <row r="2642" spans="1:6">
      <c r="A2642" s="1">
        <v>9129220</v>
      </c>
      <c r="B2642" s="1">
        <f t="shared" ca="1" si="196"/>
        <v>8.9732827365538004E-2</v>
      </c>
      <c r="C2642" s="1">
        <f t="shared" ca="1" si="195"/>
        <v>168</v>
      </c>
      <c r="D2642" s="1">
        <f t="shared" ca="1" si="197"/>
        <v>125</v>
      </c>
      <c r="E2642" s="2">
        <f t="shared" ca="1" si="198"/>
        <v>42975</v>
      </c>
      <c r="F2642" s="6">
        <f t="shared" ca="1" si="199"/>
        <v>26.427557920044091</v>
      </c>
    </row>
    <row r="2643" spans="1:6">
      <c r="A2643" s="1">
        <v>9129223</v>
      </c>
      <c r="B2643" s="1">
        <f t="shared" ca="1" si="196"/>
        <v>0.68019351365755465</v>
      </c>
      <c r="C2643" s="1">
        <f t="shared" ca="1" si="195"/>
        <v>9</v>
      </c>
      <c r="D2643" s="1">
        <f t="shared" ca="1" si="197"/>
        <v>278</v>
      </c>
      <c r="E2643" s="2">
        <f t="shared" ca="1" si="198"/>
        <v>42785</v>
      </c>
      <c r="F2643" s="6">
        <f t="shared" ca="1" si="199"/>
        <v>103.20637630862052</v>
      </c>
    </row>
    <row r="2644" spans="1:6">
      <c r="A2644" s="1">
        <v>9129226</v>
      </c>
      <c r="B2644" s="1">
        <f t="shared" ca="1" si="196"/>
        <v>0.53153002846323105</v>
      </c>
      <c r="C2644" s="1">
        <f t="shared" ca="1" si="195"/>
        <v>8</v>
      </c>
      <c r="D2644" s="1">
        <f t="shared" ca="1" si="197"/>
        <v>456</v>
      </c>
      <c r="E2644" s="2">
        <f t="shared" ca="1" si="198"/>
        <v>43289</v>
      </c>
      <c r="F2644" s="6">
        <f t="shared" ca="1" si="199"/>
        <v>41.03739855328957</v>
      </c>
    </row>
    <row r="2645" spans="1:6">
      <c r="A2645" s="1">
        <v>9129229</v>
      </c>
      <c r="B2645" s="1">
        <f t="shared" ca="1" si="196"/>
        <v>0.35031155747127618</v>
      </c>
      <c r="C2645" s="1">
        <f t="shared" ca="1" si="195"/>
        <v>29</v>
      </c>
      <c r="D2645" s="1">
        <f t="shared" ca="1" si="197"/>
        <v>514</v>
      </c>
      <c r="E2645" s="2">
        <f t="shared" ca="1" si="198"/>
        <v>43042</v>
      </c>
      <c r="F2645" s="6">
        <f t="shared" ca="1" si="199"/>
        <v>40.627980022620306</v>
      </c>
    </row>
    <row r="2646" spans="1:6">
      <c r="A2646" s="1">
        <v>9129232</v>
      </c>
      <c r="B2646" s="1">
        <f t="shared" ca="1" si="196"/>
        <v>0.70479096245899764</v>
      </c>
      <c r="C2646" s="1">
        <f t="shared" ca="1" si="195"/>
        <v>139</v>
      </c>
      <c r="D2646" s="1">
        <f t="shared" ca="1" si="197"/>
        <v>49</v>
      </c>
      <c r="E2646" s="2">
        <f t="shared" ca="1" si="198"/>
        <v>43385</v>
      </c>
      <c r="F2646" s="6">
        <f t="shared" ca="1" si="199"/>
        <v>22.038364644256873</v>
      </c>
    </row>
    <row r="2647" spans="1:6">
      <c r="A2647" s="1">
        <v>9129235</v>
      </c>
      <c r="B2647" s="1">
        <f t="shared" ca="1" si="196"/>
        <v>0.98529288703948903</v>
      </c>
      <c r="C2647" s="1">
        <f t="shared" ca="1" si="195"/>
        <v>32</v>
      </c>
      <c r="D2647" s="1">
        <f t="shared" ca="1" si="197"/>
        <v>497</v>
      </c>
      <c r="E2647" s="2">
        <f t="shared" ca="1" si="198"/>
        <v>43022</v>
      </c>
      <c r="F2647" s="6">
        <f t="shared" ca="1" si="199"/>
        <v>37.53703923017747</v>
      </c>
    </row>
    <row r="2648" spans="1:6">
      <c r="A2648" s="1">
        <v>9129238</v>
      </c>
      <c r="B2648" s="1">
        <f t="shared" ca="1" si="196"/>
        <v>0.26155843281252067</v>
      </c>
      <c r="C2648" s="1">
        <f t="shared" ca="1" si="195"/>
        <v>62</v>
      </c>
      <c r="D2648" s="1">
        <f t="shared" ca="1" si="197"/>
        <v>235</v>
      </c>
      <c r="E2648" s="2">
        <f t="shared" ca="1" si="198"/>
        <v>42868</v>
      </c>
      <c r="F2648" s="6">
        <f t="shared" ca="1" si="199"/>
        <v>45.610655716205272</v>
      </c>
    </row>
    <row r="2649" spans="1:6">
      <c r="A2649" s="1">
        <v>9129241</v>
      </c>
      <c r="B2649" s="1">
        <f t="shared" ca="1" si="196"/>
        <v>0.29165826215060608</v>
      </c>
      <c r="C2649" s="1">
        <f t="shared" ca="1" si="195"/>
        <v>6</v>
      </c>
      <c r="D2649" s="1">
        <f t="shared" ca="1" si="197"/>
        <v>208</v>
      </c>
      <c r="E2649" s="2">
        <f t="shared" ca="1" si="198"/>
        <v>43449</v>
      </c>
      <c r="F2649" s="6">
        <f t="shared" ca="1" si="199"/>
        <v>48.749323676059142</v>
      </c>
    </row>
    <row r="2650" spans="1:6">
      <c r="A2650" s="1">
        <v>9129244</v>
      </c>
      <c r="B2650" s="1">
        <f t="shared" ca="1" si="196"/>
        <v>0.34907676031104085</v>
      </c>
      <c r="C2650" s="1">
        <f t="shared" ca="1" si="195"/>
        <v>8</v>
      </c>
      <c r="D2650" s="1">
        <f t="shared" ca="1" si="197"/>
        <v>456</v>
      </c>
      <c r="E2650" s="2">
        <f t="shared" ca="1" si="198"/>
        <v>43398</v>
      </c>
      <c r="F2650" s="6">
        <f t="shared" ca="1" si="199"/>
        <v>34.057969719385824</v>
      </c>
    </row>
    <row r="2651" spans="1:6">
      <c r="A2651" s="1">
        <v>9129247</v>
      </c>
      <c r="B2651" s="1">
        <f t="shared" ca="1" si="196"/>
        <v>0.59121373550654988</v>
      </c>
      <c r="C2651" s="1">
        <f t="shared" ref="C2651:C2714" ca="1" si="200">ROUND(_xlfn.GAMMA.INV(RAND(),$J$11,$J$12)*100,0)+1</f>
        <v>1</v>
      </c>
      <c r="D2651" s="1">
        <f t="shared" ca="1" si="197"/>
        <v>474</v>
      </c>
      <c r="E2651" s="2">
        <f t="shared" ca="1" si="198"/>
        <v>43150</v>
      </c>
      <c r="F2651" s="6">
        <f t="shared" ca="1" si="199"/>
        <v>74.003611881286758</v>
      </c>
    </row>
    <row r="2652" spans="1:6">
      <c r="A2652" s="1">
        <v>9129250</v>
      </c>
      <c r="B2652" s="1">
        <f t="shared" ca="1" si="196"/>
        <v>0.13937931653068603</v>
      </c>
      <c r="C2652" s="1">
        <f t="shared" ca="1" si="200"/>
        <v>4</v>
      </c>
      <c r="D2652" s="1">
        <f t="shared" ca="1" si="197"/>
        <v>493</v>
      </c>
      <c r="E2652" s="2">
        <f t="shared" ca="1" si="198"/>
        <v>43361</v>
      </c>
      <c r="F2652" s="6">
        <f t="shared" ca="1" si="199"/>
        <v>28.202239335551958</v>
      </c>
    </row>
    <row r="2653" spans="1:6">
      <c r="A2653" s="1">
        <v>9129253</v>
      </c>
      <c r="B2653" s="1">
        <f t="shared" ca="1" si="196"/>
        <v>7.02250027421778E-2</v>
      </c>
      <c r="C2653" s="1">
        <f t="shared" ca="1" si="200"/>
        <v>9</v>
      </c>
      <c r="D2653" s="1">
        <f t="shared" ca="1" si="197"/>
        <v>278</v>
      </c>
      <c r="E2653" s="2">
        <f t="shared" ca="1" si="198"/>
        <v>43444</v>
      </c>
      <c r="F2653" s="6">
        <f t="shared" ca="1" si="199"/>
        <v>14.974591669613188</v>
      </c>
    </row>
    <row r="2654" spans="1:6">
      <c r="A2654" s="1">
        <v>9129256</v>
      </c>
      <c r="B2654" s="1">
        <f t="shared" ca="1" si="196"/>
        <v>0.93104098842670868</v>
      </c>
      <c r="C2654" s="1">
        <f t="shared" ca="1" si="200"/>
        <v>1</v>
      </c>
      <c r="D2654" s="1">
        <f t="shared" ca="1" si="197"/>
        <v>474</v>
      </c>
      <c r="E2654" s="2">
        <f t="shared" ca="1" si="198"/>
        <v>43396</v>
      </c>
      <c r="F2654" s="6">
        <f t="shared" ca="1" si="199"/>
        <v>127.38664483429109</v>
      </c>
    </row>
    <row r="2655" spans="1:6">
      <c r="A2655" s="1">
        <v>9129259</v>
      </c>
      <c r="B2655" s="1">
        <f t="shared" ca="1" si="196"/>
        <v>0.13308064503760919</v>
      </c>
      <c r="C2655" s="1">
        <f t="shared" ca="1" si="200"/>
        <v>1</v>
      </c>
      <c r="D2655" s="1">
        <f t="shared" ca="1" si="197"/>
        <v>474</v>
      </c>
      <c r="E2655" s="2">
        <f t="shared" ca="1" si="198"/>
        <v>43023</v>
      </c>
      <c r="F2655" s="6">
        <f t="shared" ca="1" si="199"/>
        <v>49.863681424313754</v>
      </c>
    </row>
    <row r="2656" spans="1:6">
      <c r="A2656" s="1">
        <v>9129262</v>
      </c>
      <c r="B2656" s="1">
        <f t="shared" ca="1" si="196"/>
        <v>0.90169262104946424</v>
      </c>
      <c r="C2656" s="1">
        <f t="shared" ca="1" si="200"/>
        <v>4</v>
      </c>
      <c r="D2656" s="1">
        <f t="shared" ca="1" si="197"/>
        <v>493</v>
      </c>
      <c r="E2656" s="2">
        <f t="shared" ca="1" si="198"/>
        <v>43466</v>
      </c>
      <c r="F2656" s="6">
        <f t="shared" ca="1" si="199"/>
        <v>4.9014238596788822</v>
      </c>
    </row>
    <row r="2657" spans="1:6">
      <c r="A2657" s="1">
        <v>9129265</v>
      </c>
      <c r="B2657" s="1">
        <f t="shared" ca="1" si="196"/>
        <v>0.90208295646068204</v>
      </c>
      <c r="C2657" s="1">
        <f t="shared" ca="1" si="200"/>
        <v>1</v>
      </c>
      <c r="D2657" s="1">
        <f t="shared" ca="1" si="197"/>
        <v>474</v>
      </c>
      <c r="E2657" s="2">
        <f t="shared" ca="1" si="198"/>
        <v>43079</v>
      </c>
      <c r="F2657" s="6">
        <f t="shared" ca="1" si="199"/>
        <v>24.955950241625587</v>
      </c>
    </row>
    <row r="2658" spans="1:6">
      <c r="A2658" s="1">
        <v>9129268</v>
      </c>
      <c r="B2658" s="1">
        <f t="shared" ca="1" si="196"/>
        <v>5.2103845059706999E-2</v>
      </c>
      <c r="C2658" s="1">
        <f t="shared" ca="1" si="200"/>
        <v>68</v>
      </c>
      <c r="D2658" s="1">
        <f t="shared" ca="1" si="197"/>
        <v>467</v>
      </c>
      <c r="E2658" s="2">
        <f t="shared" ca="1" si="198"/>
        <v>42815</v>
      </c>
      <c r="F2658" s="6">
        <f t="shared" ca="1" si="199"/>
        <v>4.667145364061704</v>
      </c>
    </row>
    <row r="2659" spans="1:6">
      <c r="A2659" s="1">
        <v>9129271</v>
      </c>
      <c r="B2659" s="1">
        <f t="shared" ca="1" si="196"/>
        <v>0.23648931006276042</v>
      </c>
      <c r="C2659" s="1">
        <f t="shared" ca="1" si="200"/>
        <v>3</v>
      </c>
      <c r="D2659" s="1">
        <f t="shared" ca="1" si="197"/>
        <v>263</v>
      </c>
      <c r="E2659" s="2">
        <f t="shared" ca="1" si="198"/>
        <v>43464</v>
      </c>
      <c r="F2659" s="6">
        <f t="shared" ca="1" si="199"/>
        <v>4.5429282173963585</v>
      </c>
    </row>
    <row r="2660" spans="1:6">
      <c r="A2660" s="1">
        <v>9129274</v>
      </c>
      <c r="B2660" s="1">
        <f t="shared" ca="1" si="196"/>
        <v>3.4004776286013616E-2</v>
      </c>
      <c r="C2660" s="1">
        <f t="shared" ca="1" si="200"/>
        <v>46</v>
      </c>
      <c r="D2660" s="1">
        <f t="shared" ca="1" si="197"/>
        <v>192</v>
      </c>
      <c r="E2660" s="2">
        <f t="shared" ca="1" si="198"/>
        <v>43481</v>
      </c>
      <c r="F2660" s="6">
        <f t="shared" ca="1" si="199"/>
        <v>5.2421765548142103</v>
      </c>
    </row>
    <row r="2661" spans="1:6">
      <c r="A2661" s="1">
        <v>9129277</v>
      </c>
      <c r="B2661" s="1">
        <f t="shared" ca="1" si="196"/>
        <v>0.85850063711168501</v>
      </c>
      <c r="C2661" s="1">
        <f t="shared" ca="1" si="200"/>
        <v>41</v>
      </c>
      <c r="D2661" s="1">
        <f t="shared" ca="1" si="197"/>
        <v>37</v>
      </c>
      <c r="E2661" s="2">
        <f t="shared" ca="1" si="198"/>
        <v>42986</v>
      </c>
      <c r="F2661" s="6">
        <f t="shared" ca="1" si="199"/>
        <v>16.540289629677119</v>
      </c>
    </row>
    <row r="2662" spans="1:6">
      <c r="A2662" s="1">
        <v>9129280</v>
      </c>
      <c r="B2662" s="1">
        <f t="shared" ca="1" si="196"/>
        <v>0.41131958539418612</v>
      </c>
      <c r="C2662" s="1">
        <f t="shared" ca="1" si="200"/>
        <v>32</v>
      </c>
      <c r="D2662" s="1">
        <f t="shared" ca="1" si="197"/>
        <v>497</v>
      </c>
      <c r="E2662" s="2">
        <f t="shared" ca="1" si="198"/>
        <v>43189</v>
      </c>
      <c r="F2662" s="6">
        <f t="shared" ca="1" si="199"/>
        <v>5.6653202782695047</v>
      </c>
    </row>
    <row r="2663" spans="1:6">
      <c r="A2663" s="1">
        <v>9129283</v>
      </c>
      <c r="B2663" s="1">
        <f t="shared" ca="1" si="196"/>
        <v>0.21147318020661954</v>
      </c>
      <c r="C2663" s="1">
        <f t="shared" ca="1" si="200"/>
        <v>34</v>
      </c>
      <c r="D2663" s="1">
        <f t="shared" ca="1" si="197"/>
        <v>503</v>
      </c>
      <c r="E2663" s="2">
        <f t="shared" ca="1" si="198"/>
        <v>42996</v>
      </c>
      <c r="F2663" s="6">
        <f t="shared" ca="1" si="199"/>
        <v>63.525661983982047</v>
      </c>
    </row>
    <row r="2664" spans="1:6">
      <c r="A2664" s="1">
        <v>9129286</v>
      </c>
      <c r="B2664" s="1">
        <f t="shared" ca="1" si="196"/>
        <v>0.58557421916264363</v>
      </c>
      <c r="C2664" s="1">
        <f t="shared" ca="1" si="200"/>
        <v>9</v>
      </c>
      <c r="D2664" s="1">
        <f t="shared" ca="1" si="197"/>
        <v>278</v>
      </c>
      <c r="E2664" s="2">
        <f t="shared" ca="1" si="198"/>
        <v>43466</v>
      </c>
      <c r="F2664" s="6">
        <f t="shared" ca="1" si="199"/>
        <v>44.478703269731305</v>
      </c>
    </row>
    <row r="2665" spans="1:6">
      <c r="A2665" s="1">
        <v>9129289</v>
      </c>
      <c r="B2665" s="1">
        <f t="shared" ca="1" si="196"/>
        <v>0.23765149522211215</v>
      </c>
      <c r="C2665" s="1">
        <f t="shared" ca="1" si="200"/>
        <v>62</v>
      </c>
      <c r="D2665" s="1">
        <f t="shared" ca="1" si="197"/>
        <v>235</v>
      </c>
      <c r="E2665" s="2">
        <f t="shared" ca="1" si="198"/>
        <v>43115</v>
      </c>
      <c r="F2665" s="6">
        <f t="shared" ca="1" si="199"/>
        <v>78.13696112277411</v>
      </c>
    </row>
    <row r="2666" spans="1:6">
      <c r="A2666" s="1">
        <v>9129292</v>
      </c>
      <c r="B2666" s="1">
        <f t="shared" ca="1" si="196"/>
        <v>0.91913447398107173</v>
      </c>
      <c r="C2666" s="1">
        <f t="shared" ca="1" si="200"/>
        <v>5</v>
      </c>
      <c r="D2666" s="1">
        <f t="shared" ca="1" si="197"/>
        <v>363</v>
      </c>
      <c r="E2666" s="2">
        <f t="shared" ca="1" si="198"/>
        <v>43135</v>
      </c>
      <c r="F2666" s="6">
        <f t="shared" ca="1" si="199"/>
        <v>400.93983655659014</v>
      </c>
    </row>
    <row r="2667" spans="1:6">
      <c r="A2667" s="1">
        <v>9129295</v>
      </c>
      <c r="B2667" s="1">
        <f t="shared" ca="1" si="196"/>
        <v>0.2246483992112186</v>
      </c>
      <c r="C2667" s="1">
        <f t="shared" ca="1" si="200"/>
        <v>36</v>
      </c>
      <c r="D2667" s="1">
        <f t="shared" ca="1" si="197"/>
        <v>529</v>
      </c>
      <c r="E2667" s="2">
        <f t="shared" ca="1" si="198"/>
        <v>42817</v>
      </c>
      <c r="F2667" s="6">
        <f t="shared" ca="1" si="199"/>
        <v>186.64215435854558</v>
      </c>
    </row>
    <row r="2668" spans="1:6">
      <c r="A2668" s="1">
        <v>9129298</v>
      </c>
      <c r="B2668" s="1">
        <f t="shared" ca="1" si="196"/>
        <v>0.4567583303523044</v>
      </c>
      <c r="C2668" s="1">
        <f t="shared" ca="1" si="200"/>
        <v>13</v>
      </c>
      <c r="D2668" s="1">
        <f t="shared" ca="1" si="197"/>
        <v>80</v>
      </c>
      <c r="E2668" s="2">
        <f t="shared" ca="1" si="198"/>
        <v>43173</v>
      </c>
      <c r="F2668" s="6">
        <f t="shared" ca="1" si="199"/>
        <v>36.760095922373822</v>
      </c>
    </row>
    <row r="2669" spans="1:6">
      <c r="A2669" s="1">
        <v>9129301</v>
      </c>
      <c r="B2669" s="1">
        <f t="shared" ca="1" si="196"/>
        <v>0.85073509971910333</v>
      </c>
      <c r="C2669" s="1">
        <f t="shared" ca="1" si="200"/>
        <v>14</v>
      </c>
      <c r="D2669" s="1">
        <f t="shared" ca="1" si="197"/>
        <v>576</v>
      </c>
      <c r="E2669" s="2">
        <f t="shared" ca="1" si="198"/>
        <v>43317</v>
      </c>
      <c r="F2669" s="6">
        <f t="shared" ca="1" si="199"/>
        <v>3.8491267631534747</v>
      </c>
    </row>
    <row r="2670" spans="1:6">
      <c r="A2670" s="1">
        <v>9129304</v>
      </c>
      <c r="B2670">
        <f t="shared" ref="B2670:B2684" ca="1" si="201">RAND()</f>
        <v>0.96123586320275134</v>
      </c>
      <c r="C2670" s="1">
        <f t="shared" ca="1" si="200"/>
        <v>3</v>
      </c>
      <c r="D2670" s="1">
        <f t="shared" ref="D2670:D2684" ca="1" si="202">VLOOKUP(SMALL($B$2:$B$601,C2670),$B$2:$C$601,2,FALSE)</f>
        <v>263</v>
      </c>
      <c r="E2670" s="2">
        <f t="shared" ca="1" si="198"/>
        <v>43147</v>
      </c>
      <c r="F2670" s="6">
        <f t="shared" ca="1" si="199"/>
        <v>43.865766507022386</v>
      </c>
    </row>
    <row r="2671" spans="1:6">
      <c r="A2671" s="1">
        <v>9129307</v>
      </c>
      <c r="B2671">
        <f t="shared" ca="1" si="201"/>
        <v>0.78368562603120728</v>
      </c>
      <c r="C2671" s="1">
        <f t="shared" ca="1" si="200"/>
        <v>17</v>
      </c>
      <c r="D2671" s="1">
        <f t="shared" ca="1" si="202"/>
        <v>165</v>
      </c>
      <c r="E2671" s="2">
        <f t="shared" ca="1" si="198"/>
        <v>43102</v>
      </c>
      <c r="F2671" s="6">
        <f t="shared" ca="1" si="199"/>
        <v>131.20116652766689</v>
      </c>
    </row>
    <row r="2672" spans="1:6">
      <c r="A2672" s="1">
        <v>9129310</v>
      </c>
      <c r="B2672">
        <f t="shared" ca="1" si="201"/>
        <v>0.39230969631404045</v>
      </c>
      <c r="C2672" s="1">
        <f t="shared" ca="1" si="200"/>
        <v>49</v>
      </c>
      <c r="D2672" s="1">
        <f t="shared" ca="1" si="202"/>
        <v>26</v>
      </c>
      <c r="E2672" s="2">
        <f t="shared" ca="1" si="198"/>
        <v>43203</v>
      </c>
      <c r="F2672" s="6">
        <f t="shared" ca="1" si="199"/>
        <v>42.957125595140624</v>
      </c>
    </row>
    <row r="2673" spans="1:6">
      <c r="A2673" s="1">
        <v>9129313</v>
      </c>
      <c r="B2673">
        <f t="shared" ca="1" si="201"/>
        <v>0.92469374333203003</v>
      </c>
      <c r="C2673" s="1">
        <f t="shared" ca="1" si="200"/>
        <v>2</v>
      </c>
      <c r="D2673" s="1">
        <f t="shared" ca="1" si="202"/>
        <v>30</v>
      </c>
      <c r="E2673" s="2">
        <f t="shared" ca="1" si="198"/>
        <v>43158</v>
      </c>
      <c r="F2673" s="6">
        <f t="shared" ca="1" si="199"/>
        <v>7.2207889999445607</v>
      </c>
    </row>
    <row r="2674" spans="1:6">
      <c r="A2674" s="1">
        <v>9129316</v>
      </c>
      <c r="B2674">
        <f t="shared" ca="1" si="201"/>
        <v>0.78729957886775059</v>
      </c>
      <c r="C2674" s="1">
        <f t="shared" ca="1" si="200"/>
        <v>17</v>
      </c>
      <c r="D2674" s="1">
        <f t="shared" ca="1" si="202"/>
        <v>165</v>
      </c>
      <c r="E2674" s="2">
        <f t="shared" ca="1" si="198"/>
        <v>43459</v>
      </c>
      <c r="F2674" s="6">
        <f t="shared" ca="1" si="199"/>
        <v>130.75131599432115</v>
      </c>
    </row>
    <row r="2675" spans="1:6">
      <c r="A2675" s="1">
        <v>9129319</v>
      </c>
      <c r="B2675">
        <f t="shared" ca="1" si="201"/>
        <v>0.76881234267239495</v>
      </c>
      <c r="C2675" s="1">
        <f t="shared" ca="1" si="200"/>
        <v>121</v>
      </c>
      <c r="D2675" s="1">
        <f t="shared" ca="1" si="202"/>
        <v>243</v>
      </c>
      <c r="E2675" s="2">
        <f t="shared" ca="1" si="198"/>
        <v>42873</v>
      </c>
      <c r="F2675" s="6">
        <f t="shared" ca="1" si="199"/>
        <v>90.123446854800093</v>
      </c>
    </row>
    <row r="2676" spans="1:6">
      <c r="A2676" s="1">
        <v>9129322</v>
      </c>
      <c r="B2676">
        <f t="shared" ca="1" si="201"/>
        <v>0.1512581601177686</v>
      </c>
      <c r="C2676" s="1">
        <f t="shared" ca="1" si="200"/>
        <v>92</v>
      </c>
      <c r="D2676" s="1">
        <f t="shared" ca="1" si="202"/>
        <v>458</v>
      </c>
      <c r="E2676" s="2">
        <f t="shared" ca="1" si="198"/>
        <v>42907</v>
      </c>
      <c r="F2676" s="6">
        <f t="shared" ca="1" si="199"/>
        <v>4.6577522253540478</v>
      </c>
    </row>
    <row r="2677" spans="1:6">
      <c r="A2677" s="1">
        <v>9129325</v>
      </c>
      <c r="B2677">
        <f t="shared" ca="1" si="201"/>
        <v>0.42843990008384281</v>
      </c>
      <c r="C2677" s="1">
        <f t="shared" ca="1" si="200"/>
        <v>42</v>
      </c>
      <c r="D2677" s="1">
        <f t="shared" ca="1" si="202"/>
        <v>36</v>
      </c>
      <c r="E2677" s="2">
        <f t="shared" ca="1" si="198"/>
        <v>43396</v>
      </c>
      <c r="F2677" s="6">
        <f t="shared" ca="1" si="199"/>
        <v>9.3285559193000012</v>
      </c>
    </row>
    <row r="2678" spans="1:6">
      <c r="A2678" s="1">
        <v>9129328</v>
      </c>
      <c r="B2678">
        <f t="shared" ca="1" si="201"/>
        <v>0.49349599726911475</v>
      </c>
      <c r="C2678" s="1">
        <f t="shared" ca="1" si="200"/>
        <v>4</v>
      </c>
      <c r="D2678" s="1">
        <f t="shared" ca="1" si="202"/>
        <v>493</v>
      </c>
      <c r="E2678" s="2">
        <f t="shared" ca="1" si="198"/>
        <v>42765</v>
      </c>
      <c r="F2678" s="6">
        <f t="shared" ca="1" si="199"/>
        <v>4.2999358878059137</v>
      </c>
    </row>
    <row r="2679" spans="1:6">
      <c r="A2679" s="1">
        <v>9129331</v>
      </c>
      <c r="B2679">
        <f t="shared" ca="1" si="201"/>
        <v>0.64352580157969064</v>
      </c>
      <c r="C2679" s="1">
        <f t="shared" ca="1" si="200"/>
        <v>3</v>
      </c>
      <c r="D2679" s="1">
        <f t="shared" ca="1" si="202"/>
        <v>263</v>
      </c>
      <c r="E2679" s="2">
        <f t="shared" ca="1" si="198"/>
        <v>43352</v>
      </c>
      <c r="F2679" s="6">
        <f t="shared" ca="1" si="199"/>
        <v>54.548289889265277</v>
      </c>
    </row>
    <row r="2680" spans="1:6">
      <c r="A2680" s="1">
        <v>9129334</v>
      </c>
      <c r="B2680">
        <f t="shared" ca="1" si="201"/>
        <v>0.17963683684236842</v>
      </c>
      <c r="C2680" s="1">
        <f t="shared" ca="1" si="200"/>
        <v>56</v>
      </c>
      <c r="D2680" s="1">
        <f t="shared" ca="1" si="202"/>
        <v>57</v>
      </c>
      <c r="E2680" s="2">
        <f t="shared" ca="1" si="198"/>
        <v>42772</v>
      </c>
      <c r="F2680" s="6">
        <f t="shared" ca="1" si="199"/>
        <v>57.651125721733983</v>
      </c>
    </row>
    <row r="2681" spans="1:6">
      <c r="A2681" s="1">
        <v>9129337</v>
      </c>
      <c r="B2681">
        <f t="shared" ca="1" si="201"/>
        <v>0.23608283923783324</v>
      </c>
      <c r="C2681" s="1">
        <f t="shared" ca="1" si="200"/>
        <v>1</v>
      </c>
      <c r="D2681" s="1">
        <f t="shared" ca="1" si="202"/>
        <v>474</v>
      </c>
      <c r="E2681" s="2">
        <f t="shared" ca="1" si="198"/>
        <v>43259</v>
      </c>
      <c r="F2681" s="6">
        <f t="shared" ca="1" si="199"/>
        <v>36.841537975558794</v>
      </c>
    </row>
    <row r="2682" spans="1:6">
      <c r="A2682" s="1">
        <v>9129340</v>
      </c>
      <c r="B2682">
        <f t="shared" ca="1" si="201"/>
        <v>0.89032137000615419</v>
      </c>
      <c r="C2682" s="1">
        <f t="shared" ca="1" si="200"/>
        <v>150</v>
      </c>
      <c r="D2682" s="1">
        <f t="shared" ca="1" si="202"/>
        <v>107</v>
      </c>
      <c r="E2682" s="2">
        <f t="shared" ca="1" si="198"/>
        <v>43092</v>
      </c>
      <c r="F2682" s="6">
        <f t="shared" ca="1" si="199"/>
        <v>12.589428618704988</v>
      </c>
    </row>
    <row r="2683" spans="1:6">
      <c r="A2683" s="1">
        <v>9129343</v>
      </c>
      <c r="B2683">
        <f t="shared" ca="1" si="201"/>
        <v>0.66660706704537642</v>
      </c>
      <c r="C2683" s="1">
        <f t="shared" ca="1" si="200"/>
        <v>24</v>
      </c>
      <c r="D2683" s="1">
        <f t="shared" ca="1" si="202"/>
        <v>334</v>
      </c>
      <c r="E2683" s="2">
        <f t="shared" ca="1" si="198"/>
        <v>42985</v>
      </c>
      <c r="F2683" s="6">
        <f t="shared" ca="1" si="199"/>
        <v>98.379031944006229</v>
      </c>
    </row>
    <row r="2684" spans="1:6">
      <c r="A2684" s="1">
        <v>9129346</v>
      </c>
      <c r="B2684">
        <f t="shared" ca="1" si="201"/>
        <v>0.22200548572047452</v>
      </c>
      <c r="C2684" s="1">
        <f t="shared" ca="1" si="200"/>
        <v>24</v>
      </c>
      <c r="D2684" s="1">
        <f t="shared" ca="1" si="202"/>
        <v>334</v>
      </c>
      <c r="E2684" s="2">
        <f t="shared" ca="1" si="198"/>
        <v>42962</v>
      </c>
      <c r="F2684" s="6">
        <f t="shared" ca="1" si="199"/>
        <v>3.3924714581861251</v>
      </c>
    </row>
    <row r="2685" spans="1:6">
      <c r="A2685" s="1">
        <v>9129349</v>
      </c>
      <c r="B2685">
        <f t="shared" ref="B2685:B2748" ca="1" si="203">RAND()</f>
        <v>0.60920732467590255</v>
      </c>
      <c r="C2685" s="1">
        <f t="shared" ca="1" si="200"/>
        <v>184</v>
      </c>
      <c r="D2685" s="1">
        <f t="shared" ref="D2685:D2748" ca="1" si="204">VLOOKUP(SMALL($B$2:$B$601,C2685),$B$2:$C$601,2,FALSE)</f>
        <v>580</v>
      </c>
      <c r="E2685" s="2">
        <f t="shared" ca="1" si="198"/>
        <v>42985</v>
      </c>
      <c r="F2685" s="6">
        <f t="shared" ca="1" si="199"/>
        <v>5.4016781551850404</v>
      </c>
    </row>
    <row r="2686" spans="1:6">
      <c r="A2686" s="1">
        <v>9129352</v>
      </c>
      <c r="B2686">
        <f t="shared" ca="1" si="203"/>
        <v>0.54488985602350326</v>
      </c>
      <c r="C2686" s="1">
        <f t="shared" ca="1" si="200"/>
        <v>10</v>
      </c>
      <c r="D2686" s="1">
        <f t="shared" ca="1" si="204"/>
        <v>236</v>
      </c>
      <c r="E2686" s="2">
        <f t="shared" ca="1" si="198"/>
        <v>42925</v>
      </c>
      <c r="F2686" s="6">
        <f t="shared" ca="1" si="199"/>
        <v>43.671080439637741</v>
      </c>
    </row>
    <row r="2687" spans="1:6">
      <c r="A2687" s="1">
        <v>9129355</v>
      </c>
      <c r="B2687">
        <f t="shared" ca="1" si="203"/>
        <v>0.69601255224099112</v>
      </c>
      <c r="C2687" s="1">
        <f t="shared" ca="1" si="200"/>
        <v>90</v>
      </c>
      <c r="D2687" s="1">
        <f t="shared" ca="1" si="204"/>
        <v>417</v>
      </c>
      <c r="E2687" s="2">
        <f t="shared" ca="1" si="198"/>
        <v>43120</v>
      </c>
      <c r="F2687" s="6">
        <f t="shared" ca="1" si="199"/>
        <v>85.584316324770839</v>
      </c>
    </row>
    <row r="2688" spans="1:6">
      <c r="A2688" s="1">
        <v>9129358</v>
      </c>
      <c r="B2688">
        <f t="shared" ca="1" si="203"/>
        <v>0.83462134256991416</v>
      </c>
      <c r="C2688" s="1">
        <f t="shared" ca="1" si="200"/>
        <v>102</v>
      </c>
      <c r="D2688" s="1">
        <f t="shared" ca="1" si="204"/>
        <v>366</v>
      </c>
      <c r="E2688" s="2">
        <f t="shared" ca="1" si="198"/>
        <v>42856</v>
      </c>
      <c r="F2688" s="6">
        <f t="shared" ca="1" si="199"/>
        <v>77.92166796030034</v>
      </c>
    </row>
    <row r="2689" spans="1:6">
      <c r="A2689" s="1">
        <v>9129361</v>
      </c>
      <c r="B2689">
        <f t="shared" ca="1" si="203"/>
        <v>0.28862453058109871</v>
      </c>
      <c r="C2689" s="1">
        <f t="shared" ca="1" si="200"/>
        <v>55</v>
      </c>
      <c r="D2689" s="1">
        <f t="shared" ca="1" si="204"/>
        <v>220</v>
      </c>
      <c r="E2689" s="2">
        <f t="shared" ca="1" si="198"/>
        <v>43358</v>
      </c>
      <c r="F2689" s="6">
        <f t="shared" ca="1" si="199"/>
        <v>47.11990987307923</v>
      </c>
    </row>
    <row r="2690" spans="1:6">
      <c r="A2690" s="1">
        <v>9129364</v>
      </c>
      <c r="B2690">
        <f t="shared" ca="1" si="203"/>
        <v>0.76443543643049239</v>
      </c>
      <c r="C2690" s="1">
        <f t="shared" ca="1" si="200"/>
        <v>108</v>
      </c>
      <c r="D2690" s="1">
        <f t="shared" ca="1" si="204"/>
        <v>530</v>
      </c>
      <c r="E2690" s="2">
        <f t="shared" ca="1" si="198"/>
        <v>43038</v>
      </c>
      <c r="F2690" s="6">
        <f t="shared" ca="1" si="199"/>
        <v>9.7354074227932159</v>
      </c>
    </row>
    <row r="2691" spans="1:6">
      <c r="A2691" s="1">
        <v>9129367</v>
      </c>
      <c r="B2691">
        <f t="shared" ca="1" si="203"/>
        <v>0.75877668010739141</v>
      </c>
      <c r="C2691" s="1">
        <f t="shared" ca="1" si="200"/>
        <v>17</v>
      </c>
      <c r="D2691" s="1">
        <f t="shared" ca="1" si="204"/>
        <v>165</v>
      </c>
      <c r="E2691" s="2">
        <f t="shared" ref="E2691:E2754" ca="1" si="205">RANDBETWEEN("1/1/17","2/1/19")</f>
        <v>43237</v>
      </c>
      <c r="F2691" s="6">
        <f t="shared" ref="F2691:F2754" ca="1" si="206">_xlfn.GAMMA.INV(RAND(),$J$6,$J$7)*100+3</f>
        <v>89.452108930534649</v>
      </c>
    </row>
    <row r="2692" spans="1:6">
      <c r="A2692" s="1">
        <v>9129370</v>
      </c>
      <c r="B2692">
        <f t="shared" ca="1" si="203"/>
        <v>0.60207203005407772</v>
      </c>
      <c r="C2692" s="1">
        <f t="shared" ca="1" si="200"/>
        <v>116</v>
      </c>
      <c r="D2692" s="1">
        <f t="shared" ca="1" si="204"/>
        <v>153</v>
      </c>
      <c r="E2692" s="2">
        <f t="shared" ca="1" si="205"/>
        <v>43061</v>
      </c>
      <c r="F2692" s="6">
        <f t="shared" ca="1" si="206"/>
        <v>141.12971139353252</v>
      </c>
    </row>
    <row r="2693" spans="1:6">
      <c r="A2693" s="1">
        <v>9129373</v>
      </c>
      <c r="B2693">
        <f t="shared" ca="1" si="203"/>
        <v>7.0144638921089131E-3</v>
      </c>
      <c r="C2693" s="1">
        <f t="shared" ca="1" si="200"/>
        <v>4</v>
      </c>
      <c r="D2693" s="1">
        <f t="shared" ca="1" si="204"/>
        <v>493</v>
      </c>
      <c r="E2693" s="2">
        <f t="shared" ca="1" si="205"/>
        <v>43284</v>
      </c>
      <c r="F2693" s="6">
        <f t="shared" ca="1" si="206"/>
        <v>36.280670084669183</v>
      </c>
    </row>
    <row r="2694" spans="1:6">
      <c r="A2694" s="1">
        <v>9129376</v>
      </c>
      <c r="B2694">
        <f t="shared" ca="1" si="203"/>
        <v>0.20910278411363759</v>
      </c>
      <c r="C2694" s="1">
        <f t="shared" ca="1" si="200"/>
        <v>19</v>
      </c>
      <c r="D2694" s="1">
        <f t="shared" ca="1" si="204"/>
        <v>42</v>
      </c>
      <c r="E2694" s="2">
        <f t="shared" ca="1" si="205"/>
        <v>43122</v>
      </c>
      <c r="F2694" s="6">
        <f t="shared" ca="1" si="206"/>
        <v>30.699095094500333</v>
      </c>
    </row>
    <row r="2695" spans="1:6">
      <c r="A2695" s="1">
        <v>9129379</v>
      </c>
      <c r="B2695">
        <f t="shared" ca="1" si="203"/>
        <v>0.54866970238131463</v>
      </c>
      <c r="C2695" s="1">
        <f t="shared" ca="1" si="200"/>
        <v>7</v>
      </c>
      <c r="D2695" s="1">
        <f t="shared" ca="1" si="204"/>
        <v>138</v>
      </c>
      <c r="E2695" s="2">
        <f t="shared" ca="1" si="205"/>
        <v>43482</v>
      </c>
      <c r="F2695" s="6">
        <f t="shared" ca="1" si="206"/>
        <v>25.244642105737348</v>
      </c>
    </row>
    <row r="2696" spans="1:6">
      <c r="A2696" s="1">
        <v>9129382</v>
      </c>
      <c r="B2696">
        <f t="shared" ca="1" si="203"/>
        <v>0.43494226721351892</v>
      </c>
      <c r="C2696" s="1">
        <f t="shared" ca="1" si="200"/>
        <v>60</v>
      </c>
      <c r="D2696" s="1">
        <f t="shared" ca="1" si="204"/>
        <v>422</v>
      </c>
      <c r="E2696" s="2">
        <f t="shared" ca="1" si="205"/>
        <v>42976</v>
      </c>
      <c r="F2696" s="6">
        <f t="shared" ca="1" si="206"/>
        <v>351.1713575882851</v>
      </c>
    </row>
    <row r="2697" spans="1:6">
      <c r="A2697" s="1">
        <v>9129385</v>
      </c>
      <c r="B2697">
        <f t="shared" ca="1" si="203"/>
        <v>0.65377824661140316</v>
      </c>
      <c r="C2697" s="1">
        <f t="shared" ca="1" si="200"/>
        <v>49</v>
      </c>
      <c r="D2697" s="1">
        <f t="shared" ca="1" si="204"/>
        <v>26</v>
      </c>
      <c r="E2697" s="2">
        <f t="shared" ca="1" si="205"/>
        <v>43469</v>
      </c>
      <c r="F2697" s="6">
        <f t="shared" ca="1" si="206"/>
        <v>3.0381429574325498</v>
      </c>
    </row>
    <row r="2698" spans="1:6">
      <c r="A2698" s="1">
        <v>9129388</v>
      </c>
      <c r="B2698">
        <f t="shared" ca="1" si="203"/>
        <v>0.55800592333685184</v>
      </c>
      <c r="C2698" s="1">
        <f t="shared" ca="1" si="200"/>
        <v>162</v>
      </c>
      <c r="D2698" s="1">
        <f t="shared" ca="1" si="204"/>
        <v>186</v>
      </c>
      <c r="E2698" s="2">
        <f t="shared" ca="1" si="205"/>
        <v>43474</v>
      </c>
      <c r="F2698" s="6">
        <f t="shared" ca="1" si="206"/>
        <v>6.5580657899477046</v>
      </c>
    </row>
    <row r="2699" spans="1:6">
      <c r="A2699" s="1">
        <v>9129391</v>
      </c>
      <c r="B2699">
        <f t="shared" ca="1" si="203"/>
        <v>0.24851652848159522</v>
      </c>
      <c r="C2699" s="1">
        <f t="shared" ca="1" si="200"/>
        <v>100</v>
      </c>
      <c r="D2699" s="1">
        <f t="shared" ca="1" si="204"/>
        <v>183</v>
      </c>
      <c r="E2699" s="2">
        <f t="shared" ca="1" si="205"/>
        <v>43258</v>
      </c>
      <c r="F2699" s="6">
        <f t="shared" ca="1" si="206"/>
        <v>11.608898832442927</v>
      </c>
    </row>
    <row r="2700" spans="1:6">
      <c r="A2700" s="1">
        <v>9129394</v>
      </c>
      <c r="B2700">
        <f t="shared" ca="1" si="203"/>
        <v>0.41082444196953083</v>
      </c>
      <c r="C2700" s="1">
        <f t="shared" ca="1" si="200"/>
        <v>192</v>
      </c>
      <c r="D2700" s="1">
        <f t="shared" ca="1" si="204"/>
        <v>570</v>
      </c>
      <c r="E2700" s="2">
        <f t="shared" ca="1" si="205"/>
        <v>43261</v>
      </c>
      <c r="F2700" s="6">
        <f t="shared" ca="1" si="206"/>
        <v>63.017729210351845</v>
      </c>
    </row>
    <row r="2701" spans="1:6">
      <c r="A2701" s="1">
        <v>9129397</v>
      </c>
      <c r="B2701">
        <f t="shared" ca="1" si="203"/>
        <v>0.18197421251989909</v>
      </c>
      <c r="C2701" s="1">
        <f t="shared" ca="1" si="200"/>
        <v>2</v>
      </c>
      <c r="D2701" s="1">
        <f t="shared" ca="1" si="204"/>
        <v>30</v>
      </c>
      <c r="E2701" s="2">
        <f t="shared" ca="1" si="205"/>
        <v>43412</v>
      </c>
      <c r="F2701" s="6">
        <f t="shared" ca="1" si="206"/>
        <v>24.75846908361266</v>
      </c>
    </row>
    <row r="2702" spans="1:6">
      <c r="A2702" s="1">
        <v>9129400</v>
      </c>
      <c r="B2702">
        <f t="shared" ca="1" si="203"/>
        <v>0.53915258543612365</v>
      </c>
      <c r="C2702" s="1">
        <f t="shared" ca="1" si="200"/>
        <v>58</v>
      </c>
      <c r="D2702" s="1">
        <f t="shared" ca="1" si="204"/>
        <v>19</v>
      </c>
      <c r="E2702" s="2">
        <f t="shared" ca="1" si="205"/>
        <v>43323</v>
      </c>
      <c r="F2702" s="6">
        <f t="shared" ca="1" si="206"/>
        <v>4.9483476365289558</v>
      </c>
    </row>
    <row r="2703" spans="1:6">
      <c r="A2703" s="1">
        <v>9129403</v>
      </c>
      <c r="B2703">
        <f t="shared" ca="1" si="203"/>
        <v>0.92004058270213607</v>
      </c>
      <c r="C2703" s="1">
        <f t="shared" ca="1" si="200"/>
        <v>8</v>
      </c>
      <c r="D2703" s="1">
        <f t="shared" ca="1" si="204"/>
        <v>456</v>
      </c>
      <c r="E2703" s="2">
        <f t="shared" ca="1" si="205"/>
        <v>43109</v>
      </c>
      <c r="F2703" s="6">
        <f t="shared" ca="1" si="206"/>
        <v>463.21363475476829</v>
      </c>
    </row>
    <row r="2704" spans="1:6">
      <c r="A2704" s="1">
        <v>9129406</v>
      </c>
      <c r="B2704">
        <f t="shared" ca="1" si="203"/>
        <v>7.215411627307533E-2</v>
      </c>
      <c r="C2704" s="1">
        <f t="shared" ca="1" si="200"/>
        <v>2</v>
      </c>
      <c r="D2704" s="1">
        <f t="shared" ca="1" si="204"/>
        <v>30</v>
      </c>
      <c r="E2704" s="2">
        <f t="shared" ca="1" si="205"/>
        <v>43355</v>
      </c>
      <c r="F2704" s="6">
        <f t="shared" ca="1" si="206"/>
        <v>18.421890364979753</v>
      </c>
    </row>
    <row r="2705" spans="1:6">
      <c r="A2705" s="1">
        <v>9129409</v>
      </c>
      <c r="B2705">
        <f t="shared" ca="1" si="203"/>
        <v>0.74660645432559736</v>
      </c>
      <c r="C2705" s="1">
        <f t="shared" ca="1" si="200"/>
        <v>46</v>
      </c>
      <c r="D2705" s="1">
        <f t="shared" ca="1" si="204"/>
        <v>192</v>
      </c>
      <c r="E2705" s="2">
        <f t="shared" ca="1" si="205"/>
        <v>43154</v>
      </c>
      <c r="F2705" s="6">
        <f t="shared" ca="1" si="206"/>
        <v>96.95855959150812</v>
      </c>
    </row>
    <row r="2706" spans="1:6">
      <c r="A2706" s="1">
        <v>9129412</v>
      </c>
      <c r="B2706">
        <f t="shared" ca="1" si="203"/>
        <v>0.67266840693884167</v>
      </c>
      <c r="C2706" s="1">
        <f t="shared" ca="1" si="200"/>
        <v>55</v>
      </c>
      <c r="D2706" s="1">
        <f t="shared" ca="1" si="204"/>
        <v>220</v>
      </c>
      <c r="E2706" s="2">
        <f t="shared" ca="1" si="205"/>
        <v>42761</v>
      </c>
      <c r="F2706" s="6">
        <f t="shared" ca="1" si="206"/>
        <v>352.3267225116864</v>
      </c>
    </row>
    <row r="2707" spans="1:6">
      <c r="A2707" s="1">
        <v>9129415</v>
      </c>
      <c r="B2707">
        <f t="shared" ca="1" si="203"/>
        <v>0.78393994117000632</v>
      </c>
      <c r="C2707" s="1">
        <f t="shared" ca="1" si="200"/>
        <v>1</v>
      </c>
      <c r="D2707" s="1">
        <f t="shared" ca="1" si="204"/>
        <v>474</v>
      </c>
      <c r="E2707" s="2">
        <f t="shared" ca="1" si="205"/>
        <v>43447</v>
      </c>
      <c r="F2707" s="6">
        <f t="shared" ca="1" si="206"/>
        <v>23.116386514064942</v>
      </c>
    </row>
    <row r="2708" spans="1:6">
      <c r="A2708" s="1">
        <v>9129418</v>
      </c>
      <c r="B2708">
        <f t="shared" ca="1" si="203"/>
        <v>0.44974757093312756</v>
      </c>
      <c r="C2708" s="1">
        <f t="shared" ca="1" si="200"/>
        <v>1</v>
      </c>
      <c r="D2708" s="1">
        <f t="shared" ca="1" si="204"/>
        <v>474</v>
      </c>
      <c r="E2708" s="2">
        <f t="shared" ca="1" si="205"/>
        <v>42775</v>
      </c>
      <c r="F2708" s="6">
        <f t="shared" ca="1" si="206"/>
        <v>98.615895631143928</v>
      </c>
    </row>
    <row r="2709" spans="1:6">
      <c r="A2709" s="1">
        <v>9129421</v>
      </c>
      <c r="B2709">
        <f t="shared" ca="1" si="203"/>
        <v>0.40115694646278455</v>
      </c>
      <c r="C2709" s="1">
        <f t="shared" ca="1" si="200"/>
        <v>17</v>
      </c>
      <c r="D2709" s="1">
        <f t="shared" ca="1" si="204"/>
        <v>165</v>
      </c>
      <c r="E2709" s="2">
        <f t="shared" ca="1" si="205"/>
        <v>43315</v>
      </c>
      <c r="F2709" s="6">
        <f t="shared" ca="1" si="206"/>
        <v>52.144561880977847</v>
      </c>
    </row>
    <row r="2710" spans="1:6">
      <c r="A2710" s="1">
        <v>9129424</v>
      </c>
      <c r="B2710">
        <f t="shared" ca="1" si="203"/>
        <v>0.37170246120578398</v>
      </c>
      <c r="C2710" s="1">
        <f t="shared" ca="1" si="200"/>
        <v>56</v>
      </c>
      <c r="D2710" s="1">
        <f t="shared" ca="1" si="204"/>
        <v>57</v>
      </c>
      <c r="E2710" s="2">
        <f t="shared" ca="1" si="205"/>
        <v>42963</v>
      </c>
      <c r="F2710" s="6">
        <f t="shared" ca="1" si="206"/>
        <v>88.230348159838243</v>
      </c>
    </row>
    <row r="2711" spans="1:6">
      <c r="A2711" s="1">
        <v>9129427</v>
      </c>
      <c r="B2711">
        <f t="shared" ca="1" si="203"/>
        <v>0.98260780914071122</v>
      </c>
      <c r="C2711" s="1">
        <f t="shared" ca="1" si="200"/>
        <v>2</v>
      </c>
      <c r="D2711" s="1">
        <f t="shared" ca="1" si="204"/>
        <v>30</v>
      </c>
      <c r="E2711" s="2">
        <f t="shared" ca="1" si="205"/>
        <v>42840</v>
      </c>
      <c r="F2711" s="6">
        <f t="shared" ca="1" si="206"/>
        <v>32.060002265327867</v>
      </c>
    </row>
    <row r="2712" spans="1:6">
      <c r="A2712" s="1">
        <v>9129430</v>
      </c>
      <c r="B2712">
        <f t="shared" ca="1" si="203"/>
        <v>0.69497943565844367</v>
      </c>
      <c r="C2712" s="1">
        <f t="shared" ca="1" si="200"/>
        <v>17</v>
      </c>
      <c r="D2712" s="1">
        <f t="shared" ca="1" si="204"/>
        <v>165</v>
      </c>
      <c r="E2712" s="2">
        <f t="shared" ca="1" si="205"/>
        <v>42935</v>
      </c>
      <c r="F2712" s="6">
        <f t="shared" ca="1" si="206"/>
        <v>73.623915734636782</v>
      </c>
    </row>
    <row r="2713" spans="1:6">
      <c r="A2713" s="1">
        <v>9129433</v>
      </c>
      <c r="B2713">
        <f t="shared" ca="1" si="203"/>
        <v>0.37946840407409588</v>
      </c>
      <c r="C2713" s="1">
        <f t="shared" ca="1" si="200"/>
        <v>84</v>
      </c>
      <c r="D2713" s="1">
        <f t="shared" ca="1" si="204"/>
        <v>536</v>
      </c>
      <c r="E2713" s="2">
        <f t="shared" ca="1" si="205"/>
        <v>43214</v>
      </c>
      <c r="F2713" s="6">
        <f t="shared" ca="1" si="206"/>
        <v>546.06158290618953</v>
      </c>
    </row>
    <row r="2714" spans="1:6">
      <c r="A2714" s="1">
        <v>9129436</v>
      </c>
      <c r="B2714">
        <f t="shared" ca="1" si="203"/>
        <v>0.25748752305446732</v>
      </c>
      <c r="C2714" s="1">
        <f t="shared" ca="1" si="200"/>
        <v>65</v>
      </c>
      <c r="D2714" s="1">
        <f t="shared" ca="1" si="204"/>
        <v>463</v>
      </c>
      <c r="E2714" s="2">
        <f t="shared" ca="1" si="205"/>
        <v>43313</v>
      </c>
      <c r="F2714" s="6">
        <f t="shared" ca="1" si="206"/>
        <v>30.081283112413534</v>
      </c>
    </row>
    <row r="2715" spans="1:6">
      <c r="A2715" s="1">
        <v>9129439</v>
      </c>
      <c r="B2715">
        <f t="shared" ca="1" si="203"/>
        <v>0.16139852791815112</v>
      </c>
      <c r="C2715" s="1">
        <f t="shared" ref="C2715:C2778" ca="1" si="207">ROUND(_xlfn.GAMMA.INV(RAND(),$J$11,$J$12)*100,0)+1</f>
        <v>50</v>
      </c>
      <c r="D2715" s="1">
        <f t="shared" ca="1" si="204"/>
        <v>415</v>
      </c>
      <c r="E2715" s="2">
        <f t="shared" ca="1" si="205"/>
        <v>42834</v>
      </c>
      <c r="F2715" s="6">
        <f t="shared" ca="1" si="206"/>
        <v>40.703779063975439</v>
      </c>
    </row>
    <row r="2716" spans="1:6">
      <c r="A2716" s="1">
        <v>9129442</v>
      </c>
      <c r="B2716">
        <f t="shared" ca="1" si="203"/>
        <v>0.77390429181920006</v>
      </c>
      <c r="C2716" s="1">
        <f t="shared" ca="1" si="207"/>
        <v>17</v>
      </c>
      <c r="D2716" s="1">
        <f t="shared" ca="1" si="204"/>
        <v>165</v>
      </c>
      <c r="E2716" s="2">
        <f t="shared" ca="1" si="205"/>
        <v>43056</v>
      </c>
      <c r="F2716" s="6">
        <f t="shared" ca="1" si="206"/>
        <v>63.835960337253866</v>
      </c>
    </row>
    <row r="2717" spans="1:6">
      <c r="A2717" s="1">
        <v>9129445</v>
      </c>
      <c r="B2717">
        <f t="shared" ca="1" si="203"/>
        <v>0.78042768925984063</v>
      </c>
      <c r="C2717" s="1">
        <f t="shared" ca="1" si="207"/>
        <v>3</v>
      </c>
      <c r="D2717" s="1">
        <f t="shared" ca="1" si="204"/>
        <v>263</v>
      </c>
      <c r="E2717" s="2">
        <f t="shared" ca="1" si="205"/>
        <v>43216</v>
      </c>
      <c r="F2717" s="6">
        <f t="shared" ca="1" si="206"/>
        <v>29.218180749933463</v>
      </c>
    </row>
    <row r="2718" spans="1:6">
      <c r="A2718" s="1">
        <v>9129448</v>
      </c>
      <c r="B2718">
        <f t="shared" ca="1" si="203"/>
        <v>0.50623849892787398</v>
      </c>
      <c r="C2718" s="1">
        <f t="shared" ca="1" si="207"/>
        <v>117</v>
      </c>
      <c r="D2718" s="1">
        <f t="shared" ca="1" si="204"/>
        <v>600</v>
      </c>
      <c r="E2718" s="2">
        <f t="shared" ca="1" si="205"/>
        <v>43019</v>
      </c>
      <c r="F2718" s="6">
        <f t="shared" ca="1" si="206"/>
        <v>67.228862356134243</v>
      </c>
    </row>
    <row r="2719" spans="1:6">
      <c r="A2719" s="1">
        <v>9129451</v>
      </c>
      <c r="B2719">
        <f t="shared" ca="1" si="203"/>
        <v>0.90283953634526637</v>
      </c>
      <c r="C2719" s="1">
        <f t="shared" ca="1" si="207"/>
        <v>9</v>
      </c>
      <c r="D2719" s="1">
        <f t="shared" ca="1" si="204"/>
        <v>278</v>
      </c>
      <c r="E2719" s="2">
        <f t="shared" ca="1" si="205"/>
        <v>43145</v>
      </c>
      <c r="F2719" s="6">
        <f t="shared" ca="1" si="206"/>
        <v>130.37932384198911</v>
      </c>
    </row>
    <row r="2720" spans="1:6">
      <c r="A2720" s="1">
        <v>9129454</v>
      </c>
      <c r="B2720">
        <f t="shared" ca="1" si="203"/>
        <v>0.14913160147398874</v>
      </c>
      <c r="C2720" s="1">
        <f t="shared" ca="1" si="207"/>
        <v>27</v>
      </c>
      <c r="D2720" s="1">
        <f t="shared" ca="1" si="204"/>
        <v>398</v>
      </c>
      <c r="E2720" s="2">
        <f t="shared" ca="1" si="205"/>
        <v>43403</v>
      </c>
      <c r="F2720" s="6">
        <f t="shared" ca="1" si="206"/>
        <v>8.8498308600456994</v>
      </c>
    </row>
    <row r="2721" spans="1:6">
      <c r="A2721" s="1">
        <v>9129457</v>
      </c>
      <c r="B2721">
        <f t="shared" ca="1" si="203"/>
        <v>0.32397473525536713</v>
      </c>
      <c r="C2721" s="1">
        <f t="shared" ca="1" si="207"/>
        <v>74</v>
      </c>
      <c r="D2721" s="1">
        <f t="shared" ca="1" si="204"/>
        <v>450</v>
      </c>
      <c r="E2721" s="2">
        <f t="shared" ca="1" si="205"/>
        <v>43392</v>
      </c>
      <c r="F2721" s="6">
        <f t="shared" ca="1" si="206"/>
        <v>3.806478778972886</v>
      </c>
    </row>
    <row r="2722" spans="1:6">
      <c r="A2722" s="1">
        <v>9129460</v>
      </c>
      <c r="B2722">
        <f t="shared" ca="1" si="203"/>
        <v>1.6631821083211595E-2</v>
      </c>
      <c r="C2722" s="1">
        <f t="shared" ca="1" si="207"/>
        <v>12</v>
      </c>
      <c r="D2722" s="1">
        <f t="shared" ca="1" si="204"/>
        <v>292</v>
      </c>
      <c r="E2722" s="2">
        <f t="shared" ca="1" si="205"/>
        <v>43418</v>
      </c>
      <c r="F2722" s="6">
        <f t="shared" ca="1" si="206"/>
        <v>228.32745697760927</v>
      </c>
    </row>
    <row r="2723" spans="1:6">
      <c r="A2723" s="1">
        <v>9129463</v>
      </c>
      <c r="B2723">
        <f t="shared" ca="1" si="203"/>
        <v>0.36148614164877046</v>
      </c>
      <c r="C2723" s="1">
        <f t="shared" ca="1" si="207"/>
        <v>118</v>
      </c>
      <c r="D2723" s="1">
        <f t="shared" ca="1" si="204"/>
        <v>172</v>
      </c>
      <c r="E2723" s="2">
        <f t="shared" ca="1" si="205"/>
        <v>42814</v>
      </c>
      <c r="F2723" s="6">
        <f t="shared" ca="1" si="206"/>
        <v>7.4364909971522799</v>
      </c>
    </row>
    <row r="2724" spans="1:6">
      <c r="A2724" s="1">
        <v>9129466</v>
      </c>
      <c r="B2724">
        <f t="shared" ca="1" si="203"/>
        <v>0.56842275991056956</v>
      </c>
      <c r="C2724" s="1">
        <f t="shared" ca="1" si="207"/>
        <v>139</v>
      </c>
      <c r="D2724" s="1">
        <f t="shared" ca="1" si="204"/>
        <v>49</v>
      </c>
      <c r="E2724" s="2">
        <f t="shared" ca="1" si="205"/>
        <v>43359</v>
      </c>
      <c r="F2724" s="6">
        <f t="shared" ca="1" si="206"/>
        <v>107.96355070078631</v>
      </c>
    </row>
    <row r="2725" spans="1:6">
      <c r="A2725" s="1">
        <v>9129469</v>
      </c>
      <c r="B2725">
        <f t="shared" ca="1" si="203"/>
        <v>5.1550409720821144E-2</v>
      </c>
      <c r="C2725" s="1">
        <f t="shared" ca="1" si="207"/>
        <v>4</v>
      </c>
      <c r="D2725" s="1">
        <f t="shared" ca="1" si="204"/>
        <v>493</v>
      </c>
      <c r="E2725" s="2">
        <f t="shared" ca="1" si="205"/>
        <v>43206</v>
      </c>
      <c r="F2725" s="6">
        <f t="shared" ca="1" si="206"/>
        <v>73.542489091297995</v>
      </c>
    </row>
    <row r="2726" spans="1:6">
      <c r="A2726" s="1">
        <v>9129472</v>
      </c>
      <c r="B2726">
        <f t="shared" ca="1" si="203"/>
        <v>0.33952468226373067</v>
      </c>
      <c r="C2726" s="1">
        <f t="shared" ca="1" si="207"/>
        <v>2</v>
      </c>
      <c r="D2726" s="1">
        <f t="shared" ca="1" si="204"/>
        <v>30</v>
      </c>
      <c r="E2726" s="2">
        <f t="shared" ca="1" si="205"/>
        <v>42766</v>
      </c>
      <c r="F2726" s="6">
        <f t="shared" ca="1" si="206"/>
        <v>64.996751234642232</v>
      </c>
    </row>
    <row r="2727" spans="1:6">
      <c r="A2727" s="1">
        <v>9129475</v>
      </c>
      <c r="B2727">
        <f t="shared" ca="1" si="203"/>
        <v>0.97234209648614756</v>
      </c>
      <c r="C2727" s="1">
        <f t="shared" ca="1" si="207"/>
        <v>70</v>
      </c>
      <c r="D2727" s="1">
        <f t="shared" ca="1" si="204"/>
        <v>82</v>
      </c>
      <c r="E2727" s="2">
        <f t="shared" ca="1" si="205"/>
        <v>43162</v>
      </c>
      <c r="F2727" s="6">
        <f t="shared" ca="1" si="206"/>
        <v>8.5108056872196904</v>
      </c>
    </row>
    <row r="2728" spans="1:6">
      <c r="A2728" s="1">
        <v>9129478</v>
      </c>
      <c r="B2728">
        <f t="shared" ca="1" si="203"/>
        <v>0.11494264859337577</v>
      </c>
      <c r="C2728" s="1">
        <f t="shared" ca="1" si="207"/>
        <v>1</v>
      </c>
      <c r="D2728" s="1">
        <f t="shared" ca="1" si="204"/>
        <v>474</v>
      </c>
      <c r="E2728" s="2">
        <f t="shared" ca="1" si="205"/>
        <v>42855</v>
      </c>
      <c r="F2728" s="6">
        <f t="shared" ca="1" si="206"/>
        <v>28.53754003633771</v>
      </c>
    </row>
    <row r="2729" spans="1:6">
      <c r="A2729" s="1">
        <v>9129481</v>
      </c>
      <c r="B2729">
        <f t="shared" ca="1" si="203"/>
        <v>0.58971655707814963</v>
      </c>
      <c r="C2729" s="1">
        <f t="shared" ca="1" si="207"/>
        <v>1</v>
      </c>
      <c r="D2729" s="1">
        <f t="shared" ca="1" si="204"/>
        <v>474</v>
      </c>
      <c r="E2729" s="2">
        <f t="shared" ca="1" si="205"/>
        <v>42908</v>
      </c>
      <c r="F2729" s="6">
        <f t="shared" ca="1" si="206"/>
        <v>194.55070174968301</v>
      </c>
    </row>
    <row r="2730" spans="1:6">
      <c r="A2730" s="1">
        <v>9129484</v>
      </c>
      <c r="B2730">
        <f t="shared" ca="1" si="203"/>
        <v>0.21689474679203924</v>
      </c>
      <c r="C2730" s="1">
        <f t="shared" ca="1" si="207"/>
        <v>9</v>
      </c>
      <c r="D2730" s="1">
        <f t="shared" ca="1" si="204"/>
        <v>278</v>
      </c>
      <c r="E2730" s="2">
        <f t="shared" ca="1" si="205"/>
        <v>43003</v>
      </c>
      <c r="F2730" s="6">
        <f t="shared" ca="1" si="206"/>
        <v>30.362433514764874</v>
      </c>
    </row>
    <row r="2731" spans="1:6">
      <c r="A2731" s="1">
        <v>9129487</v>
      </c>
      <c r="B2731">
        <f t="shared" ca="1" si="203"/>
        <v>0.40748666915560117</v>
      </c>
      <c r="C2731" s="1">
        <f t="shared" ca="1" si="207"/>
        <v>44</v>
      </c>
      <c r="D2731" s="1">
        <f t="shared" ca="1" si="204"/>
        <v>427</v>
      </c>
      <c r="E2731" s="2">
        <f t="shared" ca="1" si="205"/>
        <v>43082</v>
      </c>
      <c r="F2731" s="6">
        <f t="shared" ca="1" si="206"/>
        <v>152.39072490981167</v>
      </c>
    </row>
    <row r="2732" spans="1:6">
      <c r="A2732" s="1">
        <v>9129490</v>
      </c>
      <c r="B2732">
        <f t="shared" ca="1" si="203"/>
        <v>0.16882095564726862</v>
      </c>
      <c r="C2732" s="1">
        <f t="shared" ca="1" si="207"/>
        <v>61</v>
      </c>
      <c r="D2732" s="1">
        <f t="shared" ca="1" si="204"/>
        <v>92</v>
      </c>
      <c r="E2732" s="2">
        <f t="shared" ca="1" si="205"/>
        <v>42909</v>
      </c>
      <c r="F2732" s="6">
        <f t="shared" ca="1" si="206"/>
        <v>11.64912829720191</v>
      </c>
    </row>
    <row r="2733" spans="1:6">
      <c r="A2733" s="1">
        <v>9129493</v>
      </c>
      <c r="B2733">
        <f t="shared" ca="1" si="203"/>
        <v>7.4539595138146786E-2</v>
      </c>
      <c r="C2733" s="1">
        <f t="shared" ca="1" si="207"/>
        <v>20</v>
      </c>
      <c r="D2733" s="1">
        <f t="shared" ca="1" si="204"/>
        <v>444</v>
      </c>
      <c r="E2733" s="2">
        <f t="shared" ca="1" si="205"/>
        <v>43158</v>
      </c>
      <c r="F2733" s="6">
        <f t="shared" ca="1" si="206"/>
        <v>5.2429390664783</v>
      </c>
    </row>
    <row r="2734" spans="1:6">
      <c r="A2734" s="1">
        <v>9129496</v>
      </c>
      <c r="B2734">
        <f t="shared" ca="1" si="203"/>
        <v>9.9230863867227903E-4</v>
      </c>
      <c r="C2734" s="1">
        <f t="shared" ca="1" si="207"/>
        <v>2</v>
      </c>
      <c r="D2734" s="1">
        <f t="shared" ca="1" si="204"/>
        <v>30</v>
      </c>
      <c r="E2734" s="2">
        <f t="shared" ca="1" si="205"/>
        <v>43373</v>
      </c>
      <c r="F2734" s="6">
        <f t="shared" ca="1" si="206"/>
        <v>63.331151915866641</v>
      </c>
    </row>
    <row r="2735" spans="1:6">
      <c r="A2735" s="1">
        <v>9129499</v>
      </c>
      <c r="B2735">
        <f t="shared" ca="1" si="203"/>
        <v>0.4535017572236959</v>
      </c>
      <c r="C2735" s="1">
        <f t="shared" ca="1" si="207"/>
        <v>192</v>
      </c>
      <c r="D2735" s="1">
        <f t="shared" ca="1" si="204"/>
        <v>570</v>
      </c>
      <c r="E2735" s="2">
        <f t="shared" ca="1" si="205"/>
        <v>43387</v>
      </c>
      <c r="F2735" s="6">
        <f t="shared" ca="1" si="206"/>
        <v>5.9809427622622708</v>
      </c>
    </row>
    <row r="2736" spans="1:6">
      <c r="A2736" s="1">
        <v>9129502</v>
      </c>
      <c r="B2736">
        <f t="shared" ca="1" si="203"/>
        <v>0.49819921725450234</v>
      </c>
      <c r="C2736" s="1">
        <f t="shared" ca="1" si="207"/>
        <v>35</v>
      </c>
      <c r="D2736" s="1">
        <f t="shared" ca="1" si="204"/>
        <v>423</v>
      </c>
      <c r="E2736" s="2">
        <f t="shared" ca="1" si="205"/>
        <v>43009</v>
      </c>
      <c r="F2736" s="6">
        <f t="shared" ca="1" si="206"/>
        <v>152.48879622555933</v>
      </c>
    </row>
    <row r="2737" spans="1:6">
      <c r="A2737" s="1">
        <v>9129505</v>
      </c>
      <c r="B2737">
        <f t="shared" ca="1" si="203"/>
        <v>0.10380775023957634</v>
      </c>
      <c r="C2737" s="1">
        <f t="shared" ca="1" si="207"/>
        <v>25</v>
      </c>
      <c r="D2737" s="1">
        <f t="shared" ca="1" si="204"/>
        <v>257</v>
      </c>
      <c r="E2737" s="2">
        <f t="shared" ca="1" si="205"/>
        <v>43289</v>
      </c>
      <c r="F2737" s="6">
        <f t="shared" ca="1" si="206"/>
        <v>58.096476202923725</v>
      </c>
    </row>
    <row r="2738" spans="1:6">
      <c r="A2738" s="1">
        <v>9129508</v>
      </c>
      <c r="B2738">
        <f t="shared" ca="1" si="203"/>
        <v>0.51081307625934114</v>
      </c>
      <c r="C2738" s="1">
        <f t="shared" ca="1" si="207"/>
        <v>10</v>
      </c>
      <c r="D2738" s="1">
        <f t="shared" ca="1" si="204"/>
        <v>236</v>
      </c>
      <c r="E2738" s="2">
        <f t="shared" ca="1" si="205"/>
        <v>42917</v>
      </c>
      <c r="F2738" s="6">
        <f t="shared" ca="1" si="206"/>
        <v>17.927549063618887</v>
      </c>
    </row>
    <row r="2739" spans="1:6">
      <c r="A2739" s="1">
        <v>9129511</v>
      </c>
      <c r="B2739">
        <f t="shared" ca="1" si="203"/>
        <v>0.65272227265621252</v>
      </c>
      <c r="C2739" s="1">
        <f t="shared" ca="1" si="207"/>
        <v>119</v>
      </c>
      <c r="D2739" s="1">
        <f t="shared" ca="1" si="204"/>
        <v>184</v>
      </c>
      <c r="E2739" s="2">
        <f t="shared" ca="1" si="205"/>
        <v>43072</v>
      </c>
      <c r="F2739" s="6">
        <f t="shared" ca="1" si="206"/>
        <v>49.662576067336929</v>
      </c>
    </row>
    <row r="2740" spans="1:6">
      <c r="A2740" s="1">
        <v>9129514</v>
      </c>
      <c r="B2740">
        <f t="shared" ca="1" si="203"/>
        <v>7.9848314059328018E-2</v>
      </c>
      <c r="C2740" s="1">
        <f t="shared" ca="1" si="207"/>
        <v>18</v>
      </c>
      <c r="D2740" s="1">
        <f t="shared" ca="1" si="204"/>
        <v>511</v>
      </c>
      <c r="E2740" s="2">
        <f t="shared" ca="1" si="205"/>
        <v>43059</v>
      </c>
      <c r="F2740" s="6">
        <f t="shared" ca="1" si="206"/>
        <v>31.992518539187717</v>
      </c>
    </row>
    <row r="2741" spans="1:6">
      <c r="A2741" s="1">
        <v>9129517</v>
      </c>
      <c r="B2741">
        <f t="shared" ca="1" si="203"/>
        <v>6.2498808688928875E-2</v>
      </c>
      <c r="C2741" s="1">
        <f t="shared" ca="1" si="207"/>
        <v>7</v>
      </c>
      <c r="D2741" s="1">
        <f t="shared" ca="1" si="204"/>
        <v>138</v>
      </c>
      <c r="E2741" s="2">
        <f t="shared" ca="1" si="205"/>
        <v>43164</v>
      </c>
      <c r="F2741" s="6">
        <f t="shared" ca="1" si="206"/>
        <v>48.244590001140125</v>
      </c>
    </row>
    <row r="2742" spans="1:6">
      <c r="A2742" s="1">
        <v>9129520</v>
      </c>
      <c r="B2742">
        <f t="shared" ca="1" si="203"/>
        <v>0.5490756915283298</v>
      </c>
      <c r="C2742" s="1">
        <f t="shared" ca="1" si="207"/>
        <v>29</v>
      </c>
      <c r="D2742" s="1">
        <f t="shared" ca="1" si="204"/>
        <v>514</v>
      </c>
      <c r="E2742" s="2">
        <f t="shared" ca="1" si="205"/>
        <v>43029</v>
      </c>
      <c r="F2742" s="6">
        <f t="shared" ca="1" si="206"/>
        <v>28.720837914507882</v>
      </c>
    </row>
    <row r="2743" spans="1:6">
      <c r="A2743" s="1">
        <v>9129523</v>
      </c>
      <c r="B2743">
        <f t="shared" ca="1" si="203"/>
        <v>0.8005198327230838</v>
      </c>
      <c r="C2743" s="1">
        <f t="shared" ca="1" si="207"/>
        <v>41</v>
      </c>
      <c r="D2743" s="1">
        <f t="shared" ca="1" si="204"/>
        <v>37</v>
      </c>
      <c r="E2743" s="2">
        <f t="shared" ca="1" si="205"/>
        <v>42920</v>
      </c>
      <c r="F2743" s="6">
        <f t="shared" ca="1" si="206"/>
        <v>136.46955285723624</v>
      </c>
    </row>
    <row r="2744" spans="1:6">
      <c r="A2744" s="1">
        <v>9129526</v>
      </c>
      <c r="B2744">
        <f t="shared" ca="1" si="203"/>
        <v>0.76832043529247196</v>
      </c>
      <c r="C2744" s="1">
        <f t="shared" ca="1" si="207"/>
        <v>85</v>
      </c>
      <c r="D2744" s="1">
        <f t="shared" ca="1" si="204"/>
        <v>81</v>
      </c>
      <c r="E2744" s="2">
        <f t="shared" ca="1" si="205"/>
        <v>42977</v>
      </c>
      <c r="F2744" s="6">
        <f t="shared" ca="1" si="206"/>
        <v>51.479685161084838</v>
      </c>
    </row>
    <row r="2745" spans="1:6">
      <c r="A2745" s="1">
        <v>9129529</v>
      </c>
      <c r="B2745">
        <f t="shared" ca="1" si="203"/>
        <v>0.53937255039941678</v>
      </c>
      <c r="C2745" s="1">
        <f t="shared" ca="1" si="207"/>
        <v>9</v>
      </c>
      <c r="D2745" s="1">
        <f t="shared" ca="1" si="204"/>
        <v>278</v>
      </c>
      <c r="E2745" s="2">
        <f t="shared" ca="1" si="205"/>
        <v>43291</v>
      </c>
      <c r="F2745" s="6">
        <f t="shared" ca="1" si="206"/>
        <v>3.005888444224146</v>
      </c>
    </row>
    <row r="2746" spans="1:6">
      <c r="A2746" s="1">
        <v>9129532</v>
      </c>
      <c r="B2746">
        <f t="shared" ca="1" si="203"/>
        <v>0.48863090031566114</v>
      </c>
      <c r="C2746" s="1">
        <f t="shared" ca="1" si="207"/>
        <v>2</v>
      </c>
      <c r="D2746" s="1">
        <f t="shared" ca="1" si="204"/>
        <v>30</v>
      </c>
      <c r="E2746" s="2">
        <f t="shared" ca="1" si="205"/>
        <v>42764</v>
      </c>
      <c r="F2746" s="6">
        <f t="shared" ca="1" si="206"/>
        <v>141.10943318704429</v>
      </c>
    </row>
    <row r="2747" spans="1:6">
      <c r="A2747" s="1">
        <v>9129535</v>
      </c>
      <c r="B2747">
        <f t="shared" ca="1" si="203"/>
        <v>0.10052093061390055</v>
      </c>
      <c r="C2747" s="1">
        <f t="shared" ca="1" si="207"/>
        <v>39</v>
      </c>
      <c r="D2747" s="1">
        <f t="shared" ca="1" si="204"/>
        <v>402</v>
      </c>
      <c r="E2747" s="2">
        <f t="shared" ca="1" si="205"/>
        <v>43257</v>
      </c>
      <c r="F2747" s="6">
        <f t="shared" ca="1" si="206"/>
        <v>35.695204506282963</v>
      </c>
    </row>
    <row r="2748" spans="1:6">
      <c r="A2748" s="1">
        <v>9129538</v>
      </c>
      <c r="B2748">
        <f t="shared" ca="1" si="203"/>
        <v>0.5626667024428218</v>
      </c>
      <c r="C2748" s="1">
        <f t="shared" ca="1" si="207"/>
        <v>174</v>
      </c>
      <c r="D2748" s="1">
        <f t="shared" ca="1" si="204"/>
        <v>309</v>
      </c>
      <c r="E2748" s="2">
        <f t="shared" ca="1" si="205"/>
        <v>43445</v>
      </c>
      <c r="F2748" s="6">
        <f t="shared" ca="1" si="206"/>
        <v>11.954343488068279</v>
      </c>
    </row>
    <row r="2749" spans="1:6">
      <c r="A2749" s="1">
        <v>9129541</v>
      </c>
      <c r="B2749">
        <f t="shared" ref="B2749:B2812" ca="1" si="208">RAND()</f>
        <v>0.25934739628050663</v>
      </c>
      <c r="C2749" s="1">
        <f t="shared" ca="1" si="207"/>
        <v>51</v>
      </c>
      <c r="D2749" s="1">
        <f t="shared" ref="D2749:D2812" ca="1" si="209">VLOOKUP(SMALL($B$2:$B$601,C2749),$B$2:$C$601,2,FALSE)</f>
        <v>93</v>
      </c>
      <c r="E2749" s="2">
        <f t="shared" ca="1" si="205"/>
        <v>42774</v>
      </c>
      <c r="F2749" s="6">
        <f t="shared" ca="1" si="206"/>
        <v>117.12465752316609</v>
      </c>
    </row>
    <row r="2750" spans="1:6">
      <c r="A2750" s="1">
        <v>9129544</v>
      </c>
      <c r="B2750">
        <f t="shared" ca="1" si="208"/>
        <v>0.75186190951781573</v>
      </c>
      <c r="C2750" s="1">
        <f t="shared" ca="1" si="207"/>
        <v>148</v>
      </c>
      <c r="D2750" s="1">
        <f t="shared" ca="1" si="209"/>
        <v>541</v>
      </c>
      <c r="E2750" s="2">
        <f t="shared" ca="1" si="205"/>
        <v>42974</v>
      </c>
      <c r="F2750" s="6">
        <f t="shared" ca="1" si="206"/>
        <v>3.0028056957641156</v>
      </c>
    </row>
    <row r="2751" spans="1:6">
      <c r="A2751" s="1">
        <v>9129547</v>
      </c>
      <c r="B2751">
        <f t="shared" ca="1" si="208"/>
        <v>0.46794676685388525</v>
      </c>
      <c r="C2751" s="1">
        <f t="shared" ca="1" si="207"/>
        <v>9</v>
      </c>
      <c r="D2751" s="1">
        <f t="shared" ca="1" si="209"/>
        <v>278</v>
      </c>
      <c r="E2751" s="2">
        <f t="shared" ca="1" si="205"/>
        <v>43296</v>
      </c>
      <c r="F2751" s="6">
        <f t="shared" ca="1" si="206"/>
        <v>12.268325077642459</v>
      </c>
    </row>
    <row r="2752" spans="1:6">
      <c r="A2752" s="1">
        <v>9129550</v>
      </c>
      <c r="B2752">
        <f t="shared" ca="1" si="208"/>
        <v>0.98139817847000954</v>
      </c>
      <c r="C2752" s="1">
        <f t="shared" ca="1" si="207"/>
        <v>28</v>
      </c>
      <c r="D2752" s="1">
        <f t="shared" ca="1" si="209"/>
        <v>401</v>
      </c>
      <c r="E2752" s="2">
        <f t="shared" ca="1" si="205"/>
        <v>43234</v>
      </c>
      <c r="F2752" s="6">
        <f t="shared" ca="1" si="206"/>
        <v>64.543760403698826</v>
      </c>
    </row>
    <row r="2753" spans="1:6">
      <c r="A2753" s="1">
        <v>9129553</v>
      </c>
      <c r="B2753">
        <f t="shared" ca="1" si="208"/>
        <v>2.0236072463016286E-2</v>
      </c>
      <c r="C2753" s="1">
        <f t="shared" ca="1" si="207"/>
        <v>19</v>
      </c>
      <c r="D2753" s="1">
        <f t="shared" ca="1" si="209"/>
        <v>42</v>
      </c>
      <c r="E2753" s="2">
        <f t="shared" ca="1" si="205"/>
        <v>43354</v>
      </c>
      <c r="F2753" s="6">
        <f t="shared" ca="1" si="206"/>
        <v>91.912868412021425</v>
      </c>
    </row>
    <row r="2754" spans="1:6">
      <c r="A2754" s="1">
        <v>9129556</v>
      </c>
      <c r="B2754">
        <f t="shared" ca="1" si="208"/>
        <v>0.51700912699469381</v>
      </c>
      <c r="C2754" s="1">
        <f t="shared" ca="1" si="207"/>
        <v>107</v>
      </c>
      <c r="D2754" s="1">
        <f t="shared" ca="1" si="209"/>
        <v>173</v>
      </c>
      <c r="E2754" s="2">
        <f t="shared" ca="1" si="205"/>
        <v>43418</v>
      </c>
      <c r="F2754" s="6">
        <f t="shared" ca="1" si="206"/>
        <v>170.95241928374139</v>
      </c>
    </row>
    <row r="2755" spans="1:6">
      <c r="A2755" s="1">
        <v>9129559</v>
      </c>
      <c r="B2755">
        <f t="shared" ca="1" si="208"/>
        <v>0.52724432843977742</v>
      </c>
      <c r="C2755" s="1">
        <f t="shared" ca="1" si="207"/>
        <v>88</v>
      </c>
      <c r="D2755" s="1">
        <f t="shared" ca="1" si="209"/>
        <v>253</v>
      </c>
      <c r="E2755" s="2">
        <f t="shared" ref="E2755:E2818" ca="1" si="210">RANDBETWEEN("1/1/17","2/1/19")</f>
        <v>43173</v>
      </c>
      <c r="F2755" s="6">
        <f t="shared" ref="F2755:F2818" ca="1" si="211">_xlfn.GAMMA.INV(RAND(),$J$6,$J$7)*100+3</f>
        <v>94.240761740314525</v>
      </c>
    </row>
    <row r="2756" spans="1:6">
      <c r="A2756" s="1">
        <v>9129562</v>
      </c>
      <c r="B2756">
        <f t="shared" ca="1" si="208"/>
        <v>9.2504550011838216E-2</v>
      </c>
      <c r="C2756" s="1">
        <f t="shared" ca="1" si="207"/>
        <v>72</v>
      </c>
      <c r="D2756" s="1">
        <f t="shared" ca="1" si="209"/>
        <v>267</v>
      </c>
      <c r="E2756" s="2">
        <f t="shared" ca="1" si="210"/>
        <v>42852</v>
      </c>
      <c r="F2756" s="6">
        <f t="shared" ca="1" si="211"/>
        <v>4.7635435829672828</v>
      </c>
    </row>
    <row r="2757" spans="1:6">
      <c r="A2757" s="1">
        <v>9129565</v>
      </c>
      <c r="B2757">
        <f t="shared" ca="1" si="208"/>
        <v>0.61948447120036165</v>
      </c>
      <c r="C2757" s="1">
        <f t="shared" ca="1" si="207"/>
        <v>53</v>
      </c>
      <c r="D2757" s="1">
        <f t="shared" ca="1" si="209"/>
        <v>155</v>
      </c>
      <c r="E2757" s="2">
        <f t="shared" ca="1" si="210"/>
        <v>42871</v>
      </c>
      <c r="F2757" s="6">
        <f t="shared" ca="1" si="211"/>
        <v>4.2756083137887062</v>
      </c>
    </row>
    <row r="2758" spans="1:6">
      <c r="A2758" s="1">
        <v>9129568</v>
      </c>
      <c r="B2758">
        <f t="shared" ca="1" si="208"/>
        <v>0.83162754712131992</v>
      </c>
      <c r="C2758" s="1">
        <f t="shared" ca="1" si="207"/>
        <v>8</v>
      </c>
      <c r="D2758" s="1">
        <f t="shared" ca="1" si="209"/>
        <v>456</v>
      </c>
      <c r="E2758" s="2">
        <f t="shared" ca="1" si="210"/>
        <v>43485</v>
      </c>
      <c r="F2758" s="6">
        <f t="shared" ca="1" si="211"/>
        <v>6.1880410684801817</v>
      </c>
    </row>
    <row r="2759" spans="1:6">
      <c r="A2759" s="1">
        <v>9129571</v>
      </c>
      <c r="B2759">
        <f t="shared" ca="1" si="208"/>
        <v>0.90995146626127099</v>
      </c>
      <c r="C2759" s="1">
        <f t="shared" ca="1" si="207"/>
        <v>8</v>
      </c>
      <c r="D2759" s="1">
        <f t="shared" ca="1" si="209"/>
        <v>456</v>
      </c>
      <c r="E2759" s="2">
        <f t="shared" ca="1" si="210"/>
        <v>43036</v>
      </c>
      <c r="F2759" s="6">
        <f t="shared" ca="1" si="211"/>
        <v>10.044742987495544</v>
      </c>
    </row>
    <row r="2760" spans="1:6">
      <c r="A2760" s="1">
        <v>9129574</v>
      </c>
      <c r="B2760">
        <f t="shared" ca="1" si="208"/>
        <v>0.23666626027682691</v>
      </c>
      <c r="C2760" s="1">
        <f t="shared" ca="1" si="207"/>
        <v>8</v>
      </c>
      <c r="D2760" s="1">
        <f t="shared" ca="1" si="209"/>
        <v>456</v>
      </c>
      <c r="E2760" s="2">
        <f t="shared" ca="1" si="210"/>
        <v>42913</v>
      </c>
      <c r="F2760" s="6">
        <f t="shared" ca="1" si="211"/>
        <v>3.3352688186732862</v>
      </c>
    </row>
    <row r="2761" spans="1:6">
      <c r="A2761" s="1">
        <v>9129577</v>
      </c>
      <c r="B2761">
        <f t="shared" ca="1" si="208"/>
        <v>4.4028055161893231E-2</v>
      </c>
      <c r="C2761" s="1">
        <f t="shared" ca="1" si="207"/>
        <v>38</v>
      </c>
      <c r="D2761" s="1">
        <f t="shared" ca="1" si="209"/>
        <v>400</v>
      </c>
      <c r="E2761" s="2">
        <f t="shared" ca="1" si="210"/>
        <v>43252</v>
      </c>
      <c r="F2761" s="6">
        <f t="shared" ca="1" si="211"/>
        <v>7.3011381166691027</v>
      </c>
    </row>
    <row r="2762" spans="1:6">
      <c r="A2762" s="1">
        <v>9129580</v>
      </c>
      <c r="B2762">
        <f t="shared" ca="1" si="208"/>
        <v>0.78086140783315494</v>
      </c>
      <c r="C2762" s="1">
        <f t="shared" ca="1" si="207"/>
        <v>33</v>
      </c>
      <c r="D2762" s="1">
        <f t="shared" ca="1" si="209"/>
        <v>501</v>
      </c>
      <c r="E2762" s="2">
        <f t="shared" ca="1" si="210"/>
        <v>43209</v>
      </c>
      <c r="F2762" s="6">
        <f t="shared" ca="1" si="211"/>
        <v>9.8828412564868273</v>
      </c>
    </row>
    <row r="2763" spans="1:6">
      <c r="A2763" s="1">
        <v>9129583</v>
      </c>
      <c r="B2763">
        <f t="shared" ca="1" si="208"/>
        <v>0.96791744427999038</v>
      </c>
      <c r="C2763" s="1">
        <f t="shared" ca="1" si="207"/>
        <v>1</v>
      </c>
      <c r="D2763" s="1">
        <f t="shared" ca="1" si="209"/>
        <v>474</v>
      </c>
      <c r="E2763" s="2">
        <f t="shared" ca="1" si="210"/>
        <v>42777</v>
      </c>
      <c r="F2763" s="6">
        <f t="shared" ca="1" si="211"/>
        <v>4.5967567816062243</v>
      </c>
    </row>
    <row r="2764" spans="1:6">
      <c r="A2764" s="1">
        <v>9129586</v>
      </c>
      <c r="B2764">
        <f t="shared" ca="1" si="208"/>
        <v>0.37168922332568999</v>
      </c>
      <c r="C2764" s="1">
        <f t="shared" ca="1" si="207"/>
        <v>52</v>
      </c>
      <c r="D2764" s="1">
        <f t="shared" ca="1" si="209"/>
        <v>574</v>
      </c>
      <c r="E2764" s="2">
        <f t="shared" ca="1" si="210"/>
        <v>43187</v>
      </c>
      <c r="F2764" s="6">
        <f t="shared" ca="1" si="211"/>
        <v>4.7016524510852822</v>
      </c>
    </row>
    <row r="2765" spans="1:6">
      <c r="A2765" s="1">
        <v>9129589</v>
      </c>
      <c r="B2765">
        <f t="shared" ca="1" si="208"/>
        <v>0.16626319220207963</v>
      </c>
      <c r="C2765" s="1">
        <f t="shared" ca="1" si="207"/>
        <v>4</v>
      </c>
      <c r="D2765" s="1">
        <f t="shared" ca="1" si="209"/>
        <v>493</v>
      </c>
      <c r="E2765" s="2">
        <f t="shared" ca="1" si="210"/>
        <v>42951</v>
      </c>
      <c r="F2765" s="6">
        <f t="shared" ca="1" si="211"/>
        <v>130.43488449209062</v>
      </c>
    </row>
    <row r="2766" spans="1:6">
      <c r="A2766" s="1">
        <v>9129592</v>
      </c>
      <c r="B2766">
        <f t="shared" ca="1" si="208"/>
        <v>0.4106803857725666</v>
      </c>
      <c r="C2766" s="1">
        <f t="shared" ca="1" si="207"/>
        <v>142</v>
      </c>
      <c r="D2766" s="1">
        <f t="shared" ca="1" si="209"/>
        <v>98</v>
      </c>
      <c r="E2766" s="2">
        <f t="shared" ca="1" si="210"/>
        <v>43117</v>
      </c>
      <c r="F2766" s="6">
        <f t="shared" ca="1" si="211"/>
        <v>5.1934378037404141</v>
      </c>
    </row>
    <row r="2767" spans="1:6">
      <c r="A2767" s="1">
        <v>9129595</v>
      </c>
      <c r="B2767">
        <f t="shared" ca="1" si="208"/>
        <v>0.53025868519472419</v>
      </c>
      <c r="C2767" s="1">
        <f t="shared" ca="1" si="207"/>
        <v>119</v>
      </c>
      <c r="D2767" s="1">
        <f t="shared" ca="1" si="209"/>
        <v>184</v>
      </c>
      <c r="E2767" s="2">
        <f t="shared" ca="1" si="210"/>
        <v>42926</v>
      </c>
      <c r="F2767" s="6">
        <f t="shared" ca="1" si="211"/>
        <v>69.077221278791527</v>
      </c>
    </row>
    <row r="2768" spans="1:6">
      <c r="A2768" s="1">
        <v>9129598</v>
      </c>
      <c r="B2768">
        <f t="shared" ca="1" si="208"/>
        <v>0.36189423104996343</v>
      </c>
      <c r="C2768" s="1">
        <f t="shared" ca="1" si="207"/>
        <v>67</v>
      </c>
      <c r="D2768" s="1">
        <f t="shared" ca="1" si="209"/>
        <v>259</v>
      </c>
      <c r="E2768" s="2">
        <f t="shared" ca="1" si="210"/>
        <v>43299</v>
      </c>
      <c r="F2768" s="6">
        <f t="shared" ca="1" si="211"/>
        <v>19.013050976389735</v>
      </c>
    </row>
    <row r="2769" spans="1:6">
      <c r="A2769" s="1">
        <v>9129601</v>
      </c>
      <c r="B2769">
        <f t="shared" ca="1" si="208"/>
        <v>0.60679087895213946</v>
      </c>
      <c r="C2769" s="1">
        <f t="shared" ca="1" si="207"/>
        <v>290</v>
      </c>
      <c r="D2769" s="1">
        <f t="shared" ca="1" si="209"/>
        <v>377</v>
      </c>
      <c r="E2769" s="2">
        <f t="shared" ca="1" si="210"/>
        <v>43166</v>
      </c>
      <c r="F2769" s="6">
        <f t="shared" ca="1" si="211"/>
        <v>51.030951495427928</v>
      </c>
    </row>
    <row r="2770" spans="1:6">
      <c r="A2770" s="1">
        <v>9129604</v>
      </c>
      <c r="B2770">
        <f t="shared" ca="1" si="208"/>
        <v>0.74038782543870674</v>
      </c>
      <c r="C2770" s="1">
        <f t="shared" ca="1" si="207"/>
        <v>225</v>
      </c>
      <c r="D2770" s="1">
        <f t="shared" ca="1" si="209"/>
        <v>248</v>
      </c>
      <c r="E2770" s="2">
        <f t="shared" ca="1" si="210"/>
        <v>42784</v>
      </c>
      <c r="F2770" s="6">
        <f t="shared" ca="1" si="211"/>
        <v>73.728416613217533</v>
      </c>
    </row>
    <row r="2771" spans="1:6">
      <c r="A2771" s="1">
        <v>9129607</v>
      </c>
      <c r="B2771">
        <f t="shared" ca="1" si="208"/>
        <v>0.42115230155953987</v>
      </c>
      <c r="C2771" s="1">
        <f t="shared" ca="1" si="207"/>
        <v>70</v>
      </c>
      <c r="D2771" s="1">
        <f t="shared" ca="1" si="209"/>
        <v>82</v>
      </c>
      <c r="E2771" s="2">
        <f t="shared" ca="1" si="210"/>
        <v>43160</v>
      </c>
      <c r="F2771" s="6">
        <f t="shared" ca="1" si="211"/>
        <v>12.270306893650515</v>
      </c>
    </row>
    <row r="2772" spans="1:6">
      <c r="A2772" s="1">
        <v>9129610</v>
      </c>
      <c r="B2772">
        <f t="shared" ca="1" si="208"/>
        <v>0.43175205983661291</v>
      </c>
      <c r="C2772" s="1">
        <f t="shared" ca="1" si="207"/>
        <v>42</v>
      </c>
      <c r="D2772" s="1">
        <f t="shared" ca="1" si="209"/>
        <v>36</v>
      </c>
      <c r="E2772" s="2">
        <f t="shared" ca="1" si="210"/>
        <v>43226</v>
      </c>
      <c r="F2772" s="6">
        <f t="shared" ca="1" si="211"/>
        <v>17.283479383940531</v>
      </c>
    </row>
    <row r="2773" spans="1:6">
      <c r="A2773" s="1">
        <v>9129613</v>
      </c>
      <c r="B2773">
        <f t="shared" ca="1" si="208"/>
        <v>0.77877393672243822</v>
      </c>
      <c r="C2773" s="1">
        <f t="shared" ca="1" si="207"/>
        <v>18</v>
      </c>
      <c r="D2773" s="1">
        <f t="shared" ca="1" si="209"/>
        <v>511</v>
      </c>
      <c r="E2773" s="2">
        <f t="shared" ca="1" si="210"/>
        <v>43471</v>
      </c>
      <c r="F2773" s="6">
        <f t="shared" ca="1" si="211"/>
        <v>11.220797962120924</v>
      </c>
    </row>
    <row r="2774" spans="1:6">
      <c r="A2774" s="1">
        <v>9129616</v>
      </c>
      <c r="B2774">
        <f t="shared" ca="1" si="208"/>
        <v>0.81488282494416819</v>
      </c>
      <c r="C2774" s="1">
        <f t="shared" ca="1" si="207"/>
        <v>4</v>
      </c>
      <c r="D2774" s="1">
        <f t="shared" ca="1" si="209"/>
        <v>493</v>
      </c>
      <c r="E2774" s="2">
        <f t="shared" ca="1" si="210"/>
        <v>43262</v>
      </c>
      <c r="F2774" s="6">
        <f t="shared" ca="1" si="211"/>
        <v>90.067819980257497</v>
      </c>
    </row>
    <row r="2775" spans="1:6">
      <c r="A2775" s="1">
        <v>9129619</v>
      </c>
      <c r="B2775">
        <f t="shared" ca="1" si="208"/>
        <v>0.43034711279866089</v>
      </c>
      <c r="C2775" s="1">
        <f t="shared" ca="1" si="207"/>
        <v>4</v>
      </c>
      <c r="D2775" s="1">
        <f t="shared" ca="1" si="209"/>
        <v>493</v>
      </c>
      <c r="E2775" s="2">
        <f t="shared" ca="1" si="210"/>
        <v>43271</v>
      </c>
      <c r="F2775" s="6">
        <f t="shared" ca="1" si="211"/>
        <v>104.93826226027312</v>
      </c>
    </row>
    <row r="2776" spans="1:6">
      <c r="A2776" s="1">
        <v>9129622</v>
      </c>
      <c r="B2776">
        <f t="shared" ca="1" si="208"/>
        <v>0.78421810691938121</v>
      </c>
      <c r="C2776" s="1">
        <f t="shared" ca="1" si="207"/>
        <v>13</v>
      </c>
      <c r="D2776" s="1">
        <f t="shared" ca="1" si="209"/>
        <v>80</v>
      </c>
      <c r="E2776" s="2">
        <f t="shared" ca="1" si="210"/>
        <v>42791</v>
      </c>
      <c r="F2776" s="6">
        <f t="shared" ca="1" si="211"/>
        <v>10.452656658729694</v>
      </c>
    </row>
    <row r="2777" spans="1:6">
      <c r="A2777" s="1">
        <v>9129625</v>
      </c>
      <c r="B2777">
        <f t="shared" ca="1" si="208"/>
        <v>0.45111560503606674</v>
      </c>
      <c r="C2777" s="1">
        <f t="shared" ca="1" si="207"/>
        <v>2</v>
      </c>
      <c r="D2777" s="1">
        <f t="shared" ca="1" si="209"/>
        <v>30</v>
      </c>
      <c r="E2777" s="2">
        <f t="shared" ca="1" si="210"/>
        <v>43039</v>
      </c>
      <c r="F2777" s="6">
        <f t="shared" ca="1" si="211"/>
        <v>26.444215965567704</v>
      </c>
    </row>
    <row r="2778" spans="1:6">
      <c r="A2778" s="1">
        <v>9129628</v>
      </c>
      <c r="B2778">
        <f t="shared" ca="1" si="208"/>
        <v>0.76933971067312112</v>
      </c>
      <c r="C2778" s="1">
        <f t="shared" ca="1" si="207"/>
        <v>81</v>
      </c>
      <c r="D2778" s="1">
        <f t="shared" ca="1" si="209"/>
        <v>119</v>
      </c>
      <c r="E2778" s="2">
        <f t="shared" ca="1" si="210"/>
        <v>42802</v>
      </c>
      <c r="F2778" s="6">
        <f t="shared" ca="1" si="211"/>
        <v>204.20666570541027</v>
      </c>
    </row>
    <row r="2779" spans="1:6">
      <c r="A2779" s="1">
        <v>9129631</v>
      </c>
      <c r="B2779">
        <f t="shared" ca="1" si="208"/>
        <v>0.51660317541025902</v>
      </c>
      <c r="C2779" s="1">
        <f t="shared" ref="C2779:C2842" ca="1" si="212">ROUND(_xlfn.GAMMA.INV(RAND(),$J$11,$J$12)*100,0)+1</f>
        <v>1</v>
      </c>
      <c r="D2779" s="1">
        <f t="shared" ca="1" si="209"/>
        <v>474</v>
      </c>
      <c r="E2779" s="2">
        <f t="shared" ca="1" si="210"/>
        <v>43352</v>
      </c>
      <c r="F2779" s="6">
        <f t="shared" ca="1" si="211"/>
        <v>40.324269537090096</v>
      </c>
    </row>
    <row r="2780" spans="1:6">
      <c r="A2780" s="1">
        <v>9129634</v>
      </c>
      <c r="B2780">
        <f t="shared" ca="1" si="208"/>
        <v>0.47881299370752606</v>
      </c>
      <c r="C2780" s="1">
        <f t="shared" ca="1" si="212"/>
        <v>7</v>
      </c>
      <c r="D2780" s="1">
        <f t="shared" ca="1" si="209"/>
        <v>138</v>
      </c>
      <c r="E2780" s="2">
        <f t="shared" ca="1" si="210"/>
        <v>43022</v>
      </c>
      <c r="F2780" s="6">
        <f t="shared" ca="1" si="211"/>
        <v>40.548625613445338</v>
      </c>
    </row>
    <row r="2781" spans="1:6">
      <c r="A2781" s="1">
        <v>9129637</v>
      </c>
      <c r="B2781">
        <f t="shared" ca="1" si="208"/>
        <v>0.34896543697475468</v>
      </c>
      <c r="C2781" s="1">
        <f t="shared" ca="1" si="212"/>
        <v>12</v>
      </c>
      <c r="D2781" s="1">
        <f t="shared" ca="1" si="209"/>
        <v>292</v>
      </c>
      <c r="E2781" s="2">
        <f t="shared" ca="1" si="210"/>
        <v>43011</v>
      </c>
      <c r="F2781" s="6">
        <f t="shared" ca="1" si="211"/>
        <v>24.784170861754873</v>
      </c>
    </row>
    <row r="2782" spans="1:6">
      <c r="A2782" s="1">
        <v>9129640</v>
      </c>
      <c r="B2782">
        <f t="shared" ca="1" si="208"/>
        <v>0.54436339168351489</v>
      </c>
      <c r="C2782" s="1">
        <f t="shared" ca="1" si="212"/>
        <v>109</v>
      </c>
      <c r="D2782" s="1">
        <f t="shared" ca="1" si="209"/>
        <v>245</v>
      </c>
      <c r="E2782" s="2">
        <f t="shared" ca="1" si="210"/>
        <v>42904</v>
      </c>
      <c r="F2782" s="6">
        <f t="shared" ca="1" si="211"/>
        <v>14.558027986141063</v>
      </c>
    </row>
    <row r="2783" spans="1:6">
      <c r="A2783" s="1">
        <v>9129643</v>
      </c>
      <c r="B2783">
        <f t="shared" ca="1" si="208"/>
        <v>0.89599306273656776</v>
      </c>
      <c r="C2783" s="1">
        <f t="shared" ca="1" si="212"/>
        <v>5</v>
      </c>
      <c r="D2783" s="1">
        <f t="shared" ca="1" si="209"/>
        <v>363</v>
      </c>
      <c r="E2783" s="2">
        <f t="shared" ca="1" si="210"/>
        <v>43140</v>
      </c>
      <c r="F2783" s="6">
        <f t="shared" ca="1" si="211"/>
        <v>5.3619570352320149</v>
      </c>
    </row>
    <row r="2784" spans="1:6">
      <c r="A2784" s="1">
        <v>9129646</v>
      </c>
      <c r="B2784">
        <f t="shared" ca="1" si="208"/>
        <v>0.83068107974798266</v>
      </c>
      <c r="C2784" s="1">
        <f t="shared" ca="1" si="212"/>
        <v>348</v>
      </c>
      <c r="D2784" s="1">
        <f t="shared" ca="1" si="209"/>
        <v>196</v>
      </c>
      <c r="E2784" s="2">
        <f t="shared" ca="1" si="210"/>
        <v>42947</v>
      </c>
      <c r="F2784" s="6">
        <f t="shared" ca="1" si="211"/>
        <v>9.7198128379690161</v>
      </c>
    </row>
    <row r="2785" spans="1:6">
      <c r="A2785" s="1">
        <v>9129649</v>
      </c>
      <c r="B2785">
        <f t="shared" ca="1" si="208"/>
        <v>0.41919602483906238</v>
      </c>
      <c r="C2785" s="1">
        <f t="shared" ca="1" si="212"/>
        <v>6</v>
      </c>
      <c r="D2785" s="1">
        <f t="shared" ca="1" si="209"/>
        <v>208</v>
      </c>
      <c r="E2785" s="2">
        <f t="shared" ca="1" si="210"/>
        <v>42956</v>
      </c>
      <c r="F2785" s="6">
        <f t="shared" ca="1" si="211"/>
        <v>478.12406836534541</v>
      </c>
    </row>
    <row r="2786" spans="1:6">
      <c r="A2786" s="1">
        <v>9129652</v>
      </c>
      <c r="B2786">
        <f t="shared" ca="1" si="208"/>
        <v>0.86940124455226908</v>
      </c>
      <c r="C2786" s="1">
        <f t="shared" ca="1" si="212"/>
        <v>222</v>
      </c>
      <c r="D2786" s="1">
        <f t="shared" ca="1" si="209"/>
        <v>111</v>
      </c>
      <c r="E2786" s="2">
        <f t="shared" ca="1" si="210"/>
        <v>43497</v>
      </c>
      <c r="F2786" s="6">
        <f t="shared" ca="1" si="211"/>
        <v>90.016261879488638</v>
      </c>
    </row>
    <row r="2787" spans="1:6">
      <c r="A2787" s="1">
        <v>9129655</v>
      </c>
      <c r="B2787">
        <f t="shared" ca="1" si="208"/>
        <v>0.37459214214091152</v>
      </c>
      <c r="C2787" s="1">
        <f t="shared" ca="1" si="212"/>
        <v>17</v>
      </c>
      <c r="D2787" s="1">
        <f t="shared" ca="1" si="209"/>
        <v>165</v>
      </c>
      <c r="E2787" s="2">
        <f t="shared" ca="1" si="210"/>
        <v>43149</v>
      </c>
      <c r="F2787" s="6">
        <f t="shared" ca="1" si="211"/>
        <v>17.605319122176539</v>
      </c>
    </row>
    <row r="2788" spans="1:6">
      <c r="A2788" s="1">
        <v>9129658</v>
      </c>
      <c r="B2788">
        <f t="shared" ca="1" si="208"/>
        <v>0.4667201944652476</v>
      </c>
      <c r="C2788" s="1">
        <f t="shared" ca="1" si="212"/>
        <v>2</v>
      </c>
      <c r="D2788" s="1">
        <f t="shared" ca="1" si="209"/>
        <v>30</v>
      </c>
      <c r="E2788" s="2">
        <f t="shared" ca="1" si="210"/>
        <v>42863</v>
      </c>
      <c r="F2788" s="6">
        <f t="shared" ca="1" si="211"/>
        <v>107.52244564969288</v>
      </c>
    </row>
    <row r="2789" spans="1:6">
      <c r="A2789" s="1">
        <v>9129661</v>
      </c>
      <c r="B2789">
        <f t="shared" ca="1" si="208"/>
        <v>9.8918461435462013E-2</v>
      </c>
      <c r="C2789" s="1">
        <f t="shared" ca="1" si="212"/>
        <v>6</v>
      </c>
      <c r="D2789" s="1">
        <f t="shared" ca="1" si="209"/>
        <v>208</v>
      </c>
      <c r="E2789" s="2">
        <f t="shared" ca="1" si="210"/>
        <v>42869</v>
      </c>
      <c r="F2789" s="6">
        <f t="shared" ca="1" si="211"/>
        <v>56.80399229464394</v>
      </c>
    </row>
    <row r="2790" spans="1:6">
      <c r="A2790" s="1">
        <v>9129664</v>
      </c>
      <c r="B2790">
        <f t="shared" ca="1" si="208"/>
        <v>0.58464333427861737</v>
      </c>
      <c r="C2790" s="1">
        <f t="shared" ca="1" si="212"/>
        <v>1</v>
      </c>
      <c r="D2790" s="1">
        <f t="shared" ca="1" si="209"/>
        <v>474</v>
      </c>
      <c r="E2790" s="2">
        <f t="shared" ca="1" si="210"/>
        <v>43012</v>
      </c>
      <c r="F2790" s="6">
        <f t="shared" ca="1" si="211"/>
        <v>9.1255605346531148</v>
      </c>
    </row>
    <row r="2791" spans="1:6">
      <c r="A2791" s="1">
        <v>9129667</v>
      </c>
      <c r="B2791">
        <f t="shared" ca="1" si="208"/>
        <v>0.54882211692427119</v>
      </c>
      <c r="C2791" s="1">
        <f t="shared" ca="1" si="212"/>
        <v>4</v>
      </c>
      <c r="D2791" s="1">
        <f t="shared" ca="1" si="209"/>
        <v>493</v>
      </c>
      <c r="E2791" s="2">
        <f t="shared" ca="1" si="210"/>
        <v>43328</v>
      </c>
      <c r="F2791" s="6">
        <f t="shared" ca="1" si="211"/>
        <v>16.336799984498413</v>
      </c>
    </row>
    <row r="2792" spans="1:6">
      <c r="A2792" s="1">
        <v>9129670</v>
      </c>
      <c r="B2792">
        <f t="shared" ca="1" si="208"/>
        <v>0.13596063221688126</v>
      </c>
      <c r="C2792" s="1">
        <f t="shared" ca="1" si="212"/>
        <v>18</v>
      </c>
      <c r="D2792" s="1">
        <f t="shared" ca="1" si="209"/>
        <v>511</v>
      </c>
      <c r="E2792" s="2">
        <f t="shared" ca="1" si="210"/>
        <v>43322</v>
      </c>
      <c r="F2792" s="6">
        <f t="shared" ca="1" si="211"/>
        <v>30.84137236211313</v>
      </c>
    </row>
    <row r="2793" spans="1:6">
      <c r="A2793" s="1">
        <v>9129673</v>
      </c>
      <c r="B2793">
        <f t="shared" ca="1" si="208"/>
        <v>0.83534784401518358</v>
      </c>
      <c r="C2793" s="1">
        <f t="shared" ca="1" si="212"/>
        <v>4</v>
      </c>
      <c r="D2793" s="1">
        <f t="shared" ca="1" si="209"/>
        <v>493</v>
      </c>
      <c r="E2793" s="2">
        <f t="shared" ca="1" si="210"/>
        <v>43080</v>
      </c>
      <c r="F2793" s="6">
        <f t="shared" ca="1" si="211"/>
        <v>11.353599218500159</v>
      </c>
    </row>
    <row r="2794" spans="1:6">
      <c r="A2794" s="1">
        <v>9129676</v>
      </c>
      <c r="B2794">
        <f t="shared" ca="1" si="208"/>
        <v>0.70085778844933044</v>
      </c>
      <c r="C2794" s="1">
        <f t="shared" ca="1" si="212"/>
        <v>60</v>
      </c>
      <c r="D2794" s="1">
        <f t="shared" ca="1" si="209"/>
        <v>422</v>
      </c>
      <c r="E2794" s="2">
        <f t="shared" ca="1" si="210"/>
        <v>42881</v>
      </c>
      <c r="F2794" s="6">
        <f t="shared" ca="1" si="211"/>
        <v>3.4613503813771982</v>
      </c>
    </row>
    <row r="2795" spans="1:6">
      <c r="A2795" s="1">
        <v>9129679</v>
      </c>
      <c r="B2795">
        <f t="shared" ca="1" si="208"/>
        <v>0.70863119049227064</v>
      </c>
      <c r="C2795" s="1">
        <f t="shared" ca="1" si="212"/>
        <v>221</v>
      </c>
      <c r="D2795" s="1">
        <f t="shared" ca="1" si="209"/>
        <v>473</v>
      </c>
      <c r="E2795" s="2">
        <f t="shared" ca="1" si="210"/>
        <v>42804</v>
      </c>
      <c r="F2795" s="6">
        <f t="shared" ca="1" si="211"/>
        <v>57.847893994230255</v>
      </c>
    </row>
    <row r="2796" spans="1:6">
      <c r="A2796" s="1">
        <v>9129682</v>
      </c>
      <c r="B2796">
        <f t="shared" ca="1" si="208"/>
        <v>0.54475726584958473</v>
      </c>
      <c r="C2796" s="1">
        <f t="shared" ca="1" si="212"/>
        <v>69</v>
      </c>
      <c r="D2796" s="1">
        <f t="shared" ca="1" si="209"/>
        <v>142</v>
      </c>
      <c r="E2796" s="2">
        <f t="shared" ca="1" si="210"/>
        <v>42882</v>
      </c>
      <c r="F2796" s="6">
        <f t="shared" ca="1" si="211"/>
        <v>38.45035703805263</v>
      </c>
    </row>
    <row r="2797" spans="1:6">
      <c r="A2797" s="1">
        <v>9129685</v>
      </c>
      <c r="B2797">
        <f t="shared" ca="1" si="208"/>
        <v>0.85685990246461619</v>
      </c>
      <c r="C2797" s="1">
        <f t="shared" ca="1" si="212"/>
        <v>83</v>
      </c>
      <c r="D2797" s="1">
        <f t="shared" ca="1" si="209"/>
        <v>47</v>
      </c>
      <c r="E2797" s="2">
        <f t="shared" ca="1" si="210"/>
        <v>43459</v>
      </c>
      <c r="F2797" s="6">
        <f t="shared" ca="1" si="211"/>
        <v>205.19551515221812</v>
      </c>
    </row>
    <row r="2798" spans="1:6">
      <c r="A2798" s="1">
        <v>9129688</v>
      </c>
      <c r="B2798">
        <f t="shared" ca="1" si="208"/>
        <v>0.35138380322056439</v>
      </c>
      <c r="C2798" s="1">
        <f t="shared" ca="1" si="212"/>
        <v>14</v>
      </c>
      <c r="D2798" s="1">
        <f t="shared" ca="1" si="209"/>
        <v>576</v>
      </c>
      <c r="E2798" s="2">
        <f t="shared" ca="1" si="210"/>
        <v>42754</v>
      </c>
      <c r="F2798" s="6">
        <f t="shared" ca="1" si="211"/>
        <v>66.892791214340065</v>
      </c>
    </row>
    <row r="2799" spans="1:6">
      <c r="A2799" s="1">
        <v>9129691</v>
      </c>
      <c r="B2799">
        <f t="shared" ca="1" si="208"/>
        <v>0.26494684489781628</v>
      </c>
      <c r="C2799" s="1">
        <f t="shared" ca="1" si="212"/>
        <v>2</v>
      </c>
      <c r="D2799" s="1">
        <f t="shared" ca="1" si="209"/>
        <v>30</v>
      </c>
      <c r="E2799" s="2">
        <f t="shared" ca="1" si="210"/>
        <v>43194</v>
      </c>
      <c r="F2799" s="6">
        <f t="shared" ca="1" si="211"/>
        <v>51.727305850232838</v>
      </c>
    </row>
    <row r="2800" spans="1:6">
      <c r="A2800" s="1">
        <v>9129694</v>
      </c>
      <c r="B2800">
        <f t="shared" ca="1" si="208"/>
        <v>0.50577828125159796</v>
      </c>
      <c r="C2800" s="1">
        <f t="shared" ca="1" si="212"/>
        <v>36</v>
      </c>
      <c r="D2800" s="1">
        <f t="shared" ca="1" si="209"/>
        <v>529</v>
      </c>
      <c r="E2800" s="2">
        <f t="shared" ca="1" si="210"/>
        <v>43432</v>
      </c>
      <c r="F2800" s="6">
        <f t="shared" ca="1" si="211"/>
        <v>29.028469739081718</v>
      </c>
    </row>
    <row r="2801" spans="1:6">
      <c r="A2801" s="1">
        <v>9129697</v>
      </c>
      <c r="B2801">
        <f t="shared" ca="1" si="208"/>
        <v>0.49007124078054554</v>
      </c>
      <c r="C2801" s="1">
        <f t="shared" ca="1" si="212"/>
        <v>24</v>
      </c>
      <c r="D2801" s="1">
        <f t="shared" ca="1" si="209"/>
        <v>334</v>
      </c>
      <c r="E2801" s="2">
        <f t="shared" ca="1" si="210"/>
        <v>42855</v>
      </c>
      <c r="F2801" s="6">
        <f t="shared" ca="1" si="211"/>
        <v>13.92366969661763</v>
      </c>
    </row>
    <row r="2802" spans="1:6">
      <c r="A2802" s="1">
        <v>9129700</v>
      </c>
      <c r="B2802">
        <f t="shared" ca="1" si="208"/>
        <v>0.2443525112263345</v>
      </c>
      <c r="C2802" s="1">
        <f t="shared" ca="1" si="212"/>
        <v>10</v>
      </c>
      <c r="D2802" s="1">
        <f t="shared" ca="1" si="209"/>
        <v>236</v>
      </c>
      <c r="E2802" s="2">
        <f t="shared" ca="1" si="210"/>
        <v>42915</v>
      </c>
      <c r="F2802" s="6">
        <f t="shared" ca="1" si="211"/>
        <v>11.993121150877757</v>
      </c>
    </row>
    <row r="2803" spans="1:6">
      <c r="A2803" s="1">
        <v>9129703</v>
      </c>
      <c r="B2803">
        <f t="shared" ca="1" si="208"/>
        <v>6.8281490917606935E-2</v>
      </c>
      <c r="C2803" s="1">
        <f t="shared" ca="1" si="212"/>
        <v>78</v>
      </c>
      <c r="D2803" s="1">
        <f t="shared" ca="1" si="209"/>
        <v>224</v>
      </c>
      <c r="E2803" s="2">
        <f t="shared" ca="1" si="210"/>
        <v>43491</v>
      </c>
      <c r="F2803" s="6">
        <f t="shared" ca="1" si="211"/>
        <v>49.068056481588748</v>
      </c>
    </row>
    <row r="2804" spans="1:6">
      <c r="A2804" s="1">
        <v>9129706</v>
      </c>
      <c r="B2804">
        <f t="shared" ca="1" si="208"/>
        <v>0.61752766263493841</v>
      </c>
      <c r="C2804" s="1">
        <f t="shared" ca="1" si="212"/>
        <v>1</v>
      </c>
      <c r="D2804" s="1">
        <f t="shared" ca="1" si="209"/>
        <v>474</v>
      </c>
      <c r="E2804" s="2">
        <f t="shared" ca="1" si="210"/>
        <v>43056</v>
      </c>
      <c r="F2804" s="6">
        <f t="shared" ca="1" si="211"/>
        <v>76.659151985385321</v>
      </c>
    </row>
    <row r="2805" spans="1:6">
      <c r="A2805" s="1">
        <v>9129709</v>
      </c>
      <c r="B2805">
        <f t="shared" ca="1" si="208"/>
        <v>0.8783655234563732</v>
      </c>
      <c r="C2805" s="1">
        <f t="shared" ca="1" si="212"/>
        <v>1</v>
      </c>
      <c r="D2805" s="1">
        <f t="shared" ca="1" si="209"/>
        <v>474</v>
      </c>
      <c r="E2805" s="2">
        <f t="shared" ca="1" si="210"/>
        <v>42867</v>
      </c>
      <c r="F2805" s="6">
        <f t="shared" ca="1" si="211"/>
        <v>8.784086739420756</v>
      </c>
    </row>
    <row r="2806" spans="1:6">
      <c r="A2806" s="1">
        <v>9129712</v>
      </c>
      <c r="B2806">
        <f t="shared" ca="1" si="208"/>
        <v>0.25738106428389484</v>
      </c>
      <c r="C2806" s="1">
        <f t="shared" ca="1" si="212"/>
        <v>110</v>
      </c>
      <c r="D2806" s="1">
        <f t="shared" ca="1" si="209"/>
        <v>144</v>
      </c>
      <c r="E2806" s="2">
        <f t="shared" ca="1" si="210"/>
        <v>42796</v>
      </c>
      <c r="F2806" s="6">
        <f t="shared" ca="1" si="211"/>
        <v>59.033220198276901</v>
      </c>
    </row>
    <row r="2807" spans="1:6">
      <c r="A2807" s="1">
        <v>9129715</v>
      </c>
      <c r="B2807">
        <f t="shared" ca="1" si="208"/>
        <v>0.18539464519460125</v>
      </c>
      <c r="C2807" s="1">
        <f t="shared" ca="1" si="212"/>
        <v>69</v>
      </c>
      <c r="D2807" s="1">
        <f t="shared" ca="1" si="209"/>
        <v>142</v>
      </c>
      <c r="E2807" s="2">
        <f t="shared" ca="1" si="210"/>
        <v>43170</v>
      </c>
      <c r="F2807" s="6">
        <f t="shared" ca="1" si="211"/>
        <v>49.59374203869686</v>
      </c>
    </row>
    <row r="2808" spans="1:6">
      <c r="A2808" s="1">
        <v>9129718</v>
      </c>
      <c r="B2808">
        <f t="shared" ca="1" si="208"/>
        <v>0.44254595469091507</v>
      </c>
      <c r="C2808" s="1">
        <f t="shared" ca="1" si="212"/>
        <v>36</v>
      </c>
      <c r="D2808" s="1">
        <f t="shared" ca="1" si="209"/>
        <v>529</v>
      </c>
      <c r="E2808" s="2">
        <f t="shared" ca="1" si="210"/>
        <v>43126</v>
      </c>
      <c r="F2808" s="6">
        <f t="shared" ca="1" si="211"/>
        <v>197.68655358202045</v>
      </c>
    </row>
    <row r="2809" spans="1:6">
      <c r="A2809" s="1">
        <v>9129721</v>
      </c>
      <c r="B2809">
        <f t="shared" ca="1" si="208"/>
        <v>0.25951155268874249</v>
      </c>
      <c r="C2809" s="1">
        <f t="shared" ca="1" si="212"/>
        <v>198</v>
      </c>
      <c r="D2809" s="1">
        <f t="shared" ca="1" si="209"/>
        <v>522</v>
      </c>
      <c r="E2809" s="2">
        <f t="shared" ca="1" si="210"/>
        <v>43469</v>
      </c>
      <c r="F2809" s="6">
        <f t="shared" ca="1" si="211"/>
        <v>47.129183587994447</v>
      </c>
    </row>
    <row r="2810" spans="1:6">
      <c r="A2810" s="1">
        <v>9129724</v>
      </c>
      <c r="B2810">
        <f t="shared" ca="1" si="208"/>
        <v>0.29813858719437936</v>
      </c>
      <c r="C2810" s="1">
        <f t="shared" ca="1" si="212"/>
        <v>31</v>
      </c>
      <c r="D2810" s="1">
        <f t="shared" ca="1" si="209"/>
        <v>535</v>
      </c>
      <c r="E2810" s="2">
        <f t="shared" ca="1" si="210"/>
        <v>42851</v>
      </c>
      <c r="F2810" s="6">
        <f t="shared" ca="1" si="211"/>
        <v>83.805646366269215</v>
      </c>
    </row>
    <row r="2811" spans="1:6">
      <c r="A2811" s="1">
        <v>9129727</v>
      </c>
      <c r="B2811">
        <f t="shared" ca="1" si="208"/>
        <v>0.86707029734874275</v>
      </c>
      <c r="C2811" s="1">
        <f t="shared" ca="1" si="212"/>
        <v>256</v>
      </c>
      <c r="D2811" s="1">
        <f t="shared" ca="1" si="209"/>
        <v>213</v>
      </c>
      <c r="E2811" s="2">
        <f t="shared" ca="1" si="210"/>
        <v>42961</v>
      </c>
      <c r="F2811" s="6">
        <f t="shared" ca="1" si="211"/>
        <v>30.502685775279151</v>
      </c>
    </row>
    <row r="2812" spans="1:6">
      <c r="A2812" s="1">
        <v>9129730</v>
      </c>
      <c r="B2812">
        <f t="shared" ca="1" si="208"/>
        <v>0.3345921769471556</v>
      </c>
      <c r="C2812" s="1">
        <f t="shared" ca="1" si="212"/>
        <v>31</v>
      </c>
      <c r="D2812" s="1">
        <f t="shared" ca="1" si="209"/>
        <v>535</v>
      </c>
      <c r="E2812" s="2">
        <f t="shared" ca="1" si="210"/>
        <v>42957</v>
      </c>
      <c r="F2812" s="6">
        <f t="shared" ca="1" si="211"/>
        <v>43.446245127130865</v>
      </c>
    </row>
    <row r="2813" spans="1:6">
      <c r="A2813" s="1">
        <v>9129733</v>
      </c>
      <c r="B2813">
        <f t="shared" ref="B2813:B2876" ca="1" si="213">RAND()</f>
        <v>0.12101431386181938</v>
      </c>
      <c r="C2813" s="1">
        <f t="shared" ca="1" si="212"/>
        <v>19</v>
      </c>
      <c r="D2813" s="1">
        <f t="shared" ref="D2813:D2876" ca="1" si="214">VLOOKUP(SMALL($B$2:$B$601,C2813),$B$2:$C$601,2,FALSE)</f>
        <v>42</v>
      </c>
      <c r="E2813" s="2">
        <f t="shared" ca="1" si="210"/>
        <v>42820</v>
      </c>
      <c r="F2813" s="6">
        <f t="shared" ca="1" si="211"/>
        <v>10.089905196007383</v>
      </c>
    </row>
    <row r="2814" spans="1:6">
      <c r="A2814" s="1">
        <v>9129736</v>
      </c>
      <c r="B2814">
        <f t="shared" ca="1" si="213"/>
        <v>0.66036101151279814</v>
      </c>
      <c r="C2814" s="1">
        <f t="shared" ca="1" si="212"/>
        <v>24</v>
      </c>
      <c r="D2814" s="1">
        <f t="shared" ca="1" si="214"/>
        <v>334</v>
      </c>
      <c r="E2814" s="2">
        <f t="shared" ca="1" si="210"/>
        <v>43352</v>
      </c>
      <c r="F2814" s="6">
        <f t="shared" ca="1" si="211"/>
        <v>54.80393380197301</v>
      </c>
    </row>
    <row r="2815" spans="1:6">
      <c r="A2815" s="1">
        <v>9129739</v>
      </c>
      <c r="B2815">
        <f t="shared" ca="1" si="213"/>
        <v>0.15941944630871774</v>
      </c>
      <c r="C2815" s="1">
        <f t="shared" ca="1" si="212"/>
        <v>4</v>
      </c>
      <c r="D2815" s="1">
        <f t="shared" ca="1" si="214"/>
        <v>493</v>
      </c>
      <c r="E2815" s="2">
        <f t="shared" ca="1" si="210"/>
        <v>43408</v>
      </c>
      <c r="F2815" s="6">
        <f t="shared" ca="1" si="211"/>
        <v>6.8734308352589331</v>
      </c>
    </row>
    <row r="2816" spans="1:6">
      <c r="A2816" s="1">
        <v>9129742</v>
      </c>
      <c r="B2816">
        <f t="shared" ca="1" si="213"/>
        <v>0.70253712313602623</v>
      </c>
      <c r="C2816" s="1">
        <f t="shared" ca="1" si="212"/>
        <v>2</v>
      </c>
      <c r="D2816" s="1">
        <f t="shared" ca="1" si="214"/>
        <v>30</v>
      </c>
      <c r="E2816" s="2">
        <f t="shared" ca="1" si="210"/>
        <v>43418</v>
      </c>
      <c r="F2816" s="6">
        <f t="shared" ca="1" si="211"/>
        <v>113.54962327463964</v>
      </c>
    </row>
    <row r="2817" spans="1:6">
      <c r="A2817" s="1">
        <v>9129745</v>
      </c>
      <c r="B2817">
        <f t="shared" ca="1" si="213"/>
        <v>1.3933512007082705E-3</v>
      </c>
      <c r="C2817" s="1">
        <f t="shared" ca="1" si="212"/>
        <v>1</v>
      </c>
      <c r="D2817" s="1">
        <f t="shared" ca="1" si="214"/>
        <v>474</v>
      </c>
      <c r="E2817" s="2">
        <f t="shared" ca="1" si="210"/>
        <v>43307</v>
      </c>
      <c r="F2817" s="6">
        <f t="shared" ca="1" si="211"/>
        <v>4.5887363640902201</v>
      </c>
    </row>
    <row r="2818" spans="1:6">
      <c r="A2818" s="1">
        <v>9129748</v>
      </c>
      <c r="B2818">
        <f t="shared" ca="1" si="213"/>
        <v>0.76048290660911266</v>
      </c>
      <c r="C2818" s="1">
        <f t="shared" ca="1" si="212"/>
        <v>1</v>
      </c>
      <c r="D2818" s="1">
        <f t="shared" ca="1" si="214"/>
        <v>474</v>
      </c>
      <c r="E2818" s="2">
        <f t="shared" ca="1" si="210"/>
        <v>43124</v>
      </c>
      <c r="F2818" s="6">
        <f t="shared" ca="1" si="211"/>
        <v>5.1021689462334638</v>
      </c>
    </row>
    <row r="2819" spans="1:6">
      <c r="A2819" s="1">
        <v>9129751</v>
      </c>
      <c r="B2819">
        <f t="shared" ca="1" si="213"/>
        <v>0.93688366116656041</v>
      </c>
      <c r="C2819" s="1">
        <f t="shared" ca="1" si="212"/>
        <v>49</v>
      </c>
      <c r="D2819" s="1">
        <f t="shared" ca="1" si="214"/>
        <v>26</v>
      </c>
      <c r="E2819" s="2">
        <f t="shared" ref="E2819:E2882" ca="1" si="215">RANDBETWEEN("1/1/17","2/1/19")</f>
        <v>43417</v>
      </c>
      <c r="F2819" s="6">
        <f t="shared" ref="F2819:F2882" ca="1" si="216">_xlfn.GAMMA.INV(RAND(),$J$6,$J$7)*100+3</f>
        <v>39.873283169957901</v>
      </c>
    </row>
    <row r="2820" spans="1:6">
      <c r="A2820" s="1">
        <v>9129754</v>
      </c>
      <c r="B2820">
        <f t="shared" ca="1" si="213"/>
        <v>1.6877914753489098E-2</v>
      </c>
      <c r="C2820" s="1">
        <f t="shared" ca="1" si="212"/>
        <v>4</v>
      </c>
      <c r="D2820" s="1">
        <f t="shared" ca="1" si="214"/>
        <v>493</v>
      </c>
      <c r="E2820" s="2">
        <f t="shared" ca="1" si="215"/>
        <v>42872</v>
      </c>
      <c r="F2820" s="6">
        <f t="shared" ca="1" si="216"/>
        <v>7.0913272508411271</v>
      </c>
    </row>
    <row r="2821" spans="1:6">
      <c r="A2821" s="1">
        <v>9129757</v>
      </c>
      <c r="B2821">
        <f t="shared" ca="1" si="213"/>
        <v>0.52546977143388518</v>
      </c>
      <c r="C2821" s="1">
        <f t="shared" ca="1" si="212"/>
        <v>38</v>
      </c>
      <c r="D2821" s="1">
        <f t="shared" ca="1" si="214"/>
        <v>400</v>
      </c>
      <c r="E2821" s="2">
        <f t="shared" ca="1" si="215"/>
        <v>43017</v>
      </c>
      <c r="F2821" s="6">
        <f t="shared" ca="1" si="216"/>
        <v>24.093224434420812</v>
      </c>
    </row>
    <row r="2822" spans="1:6">
      <c r="A2822" s="1">
        <v>9129760</v>
      </c>
      <c r="B2822">
        <f t="shared" ca="1" si="213"/>
        <v>0.27345833932578434</v>
      </c>
      <c r="C2822" s="1">
        <f t="shared" ca="1" si="212"/>
        <v>26</v>
      </c>
      <c r="D2822" s="1">
        <f t="shared" ca="1" si="214"/>
        <v>88</v>
      </c>
      <c r="E2822" s="2">
        <f t="shared" ca="1" si="215"/>
        <v>43349</v>
      </c>
      <c r="F2822" s="6">
        <f t="shared" ca="1" si="216"/>
        <v>9.6715006613785874</v>
      </c>
    </row>
    <row r="2823" spans="1:6">
      <c r="A2823" s="1">
        <v>9129763</v>
      </c>
      <c r="B2823">
        <f t="shared" ca="1" si="213"/>
        <v>0.78449066195275741</v>
      </c>
      <c r="C2823" s="1">
        <f t="shared" ca="1" si="212"/>
        <v>84</v>
      </c>
      <c r="D2823" s="1">
        <f t="shared" ca="1" si="214"/>
        <v>536</v>
      </c>
      <c r="E2823" s="2">
        <f t="shared" ca="1" si="215"/>
        <v>42890</v>
      </c>
      <c r="F2823" s="6">
        <f t="shared" ca="1" si="216"/>
        <v>49.451085041148652</v>
      </c>
    </row>
    <row r="2824" spans="1:6">
      <c r="A2824" s="1">
        <v>9129766</v>
      </c>
      <c r="B2824">
        <f t="shared" ca="1" si="213"/>
        <v>0.68893847831024668</v>
      </c>
      <c r="C2824" s="1">
        <f t="shared" ca="1" si="212"/>
        <v>35</v>
      </c>
      <c r="D2824" s="1">
        <f t="shared" ca="1" si="214"/>
        <v>423</v>
      </c>
      <c r="E2824" s="2">
        <f t="shared" ca="1" si="215"/>
        <v>42973</v>
      </c>
      <c r="F2824" s="6">
        <f t="shared" ca="1" si="216"/>
        <v>6.8343101184908868</v>
      </c>
    </row>
    <row r="2825" spans="1:6">
      <c r="A2825" s="1">
        <v>9129769</v>
      </c>
      <c r="B2825">
        <f t="shared" ca="1" si="213"/>
        <v>0.46128758498675759</v>
      </c>
      <c r="C2825" s="1">
        <f t="shared" ca="1" si="212"/>
        <v>9</v>
      </c>
      <c r="D2825" s="1">
        <f t="shared" ca="1" si="214"/>
        <v>278</v>
      </c>
      <c r="E2825" s="2">
        <f t="shared" ca="1" si="215"/>
        <v>42837</v>
      </c>
      <c r="F2825" s="6">
        <f t="shared" ca="1" si="216"/>
        <v>3.1680171194898428</v>
      </c>
    </row>
    <row r="2826" spans="1:6">
      <c r="A2826" s="1">
        <v>9129772</v>
      </c>
      <c r="B2826">
        <f t="shared" ca="1" si="213"/>
        <v>0.25709408905840703</v>
      </c>
      <c r="C2826" s="1">
        <f t="shared" ca="1" si="212"/>
        <v>24</v>
      </c>
      <c r="D2826" s="1">
        <f t="shared" ca="1" si="214"/>
        <v>334</v>
      </c>
      <c r="E2826" s="2">
        <f t="shared" ca="1" si="215"/>
        <v>43386</v>
      </c>
      <c r="F2826" s="6">
        <f t="shared" ca="1" si="216"/>
        <v>214.07622091437804</v>
      </c>
    </row>
    <row r="2827" spans="1:6">
      <c r="A2827" s="1">
        <v>9129775</v>
      </c>
      <c r="B2827">
        <f t="shared" ca="1" si="213"/>
        <v>0.38337145017112206</v>
      </c>
      <c r="C2827" s="1">
        <f t="shared" ca="1" si="212"/>
        <v>3</v>
      </c>
      <c r="D2827" s="1">
        <f t="shared" ca="1" si="214"/>
        <v>263</v>
      </c>
      <c r="E2827" s="2">
        <f t="shared" ca="1" si="215"/>
        <v>43466</v>
      </c>
      <c r="F2827" s="6">
        <f t="shared" ca="1" si="216"/>
        <v>18.061088309343912</v>
      </c>
    </row>
    <row r="2828" spans="1:6">
      <c r="A2828" s="1">
        <v>9129778</v>
      </c>
      <c r="B2828">
        <f t="shared" ca="1" si="213"/>
        <v>0.13010827197582731</v>
      </c>
      <c r="C2828" s="1">
        <f t="shared" ca="1" si="212"/>
        <v>9</v>
      </c>
      <c r="D2828" s="1">
        <f t="shared" ca="1" si="214"/>
        <v>278</v>
      </c>
      <c r="E2828" s="2">
        <f t="shared" ca="1" si="215"/>
        <v>42974</v>
      </c>
      <c r="F2828" s="6">
        <f t="shared" ca="1" si="216"/>
        <v>33.440067364176208</v>
      </c>
    </row>
    <row r="2829" spans="1:6">
      <c r="A2829" s="1">
        <v>9129781</v>
      </c>
      <c r="B2829">
        <f t="shared" ca="1" si="213"/>
        <v>2.7381633615641721E-2</v>
      </c>
      <c r="C2829" s="1">
        <f t="shared" ca="1" si="212"/>
        <v>26</v>
      </c>
      <c r="D2829" s="1">
        <f t="shared" ca="1" si="214"/>
        <v>88</v>
      </c>
      <c r="E2829" s="2">
        <f t="shared" ca="1" si="215"/>
        <v>42956</v>
      </c>
      <c r="F2829" s="6">
        <f t="shared" ca="1" si="216"/>
        <v>17.235506986088264</v>
      </c>
    </row>
    <row r="2830" spans="1:6">
      <c r="A2830" s="1">
        <v>9129784</v>
      </c>
      <c r="B2830">
        <f t="shared" ca="1" si="213"/>
        <v>0.78086802149396561</v>
      </c>
      <c r="C2830" s="1">
        <f t="shared" ca="1" si="212"/>
        <v>80</v>
      </c>
      <c r="D2830" s="1">
        <f t="shared" ca="1" si="214"/>
        <v>163</v>
      </c>
      <c r="E2830" s="2">
        <f t="shared" ca="1" si="215"/>
        <v>43062</v>
      </c>
      <c r="F2830" s="6">
        <f t="shared" ca="1" si="216"/>
        <v>5.1765067298856176</v>
      </c>
    </row>
    <row r="2831" spans="1:6">
      <c r="A2831" s="1">
        <v>9129787</v>
      </c>
      <c r="B2831">
        <f t="shared" ca="1" si="213"/>
        <v>0.43259041834503997</v>
      </c>
      <c r="C2831" s="1">
        <f t="shared" ca="1" si="212"/>
        <v>322</v>
      </c>
      <c r="D2831" s="1">
        <f t="shared" ca="1" si="214"/>
        <v>569</v>
      </c>
      <c r="E2831" s="2">
        <f t="shared" ca="1" si="215"/>
        <v>42986</v>
      </c>
      <c r="F2831" s="6">
        <f t="shared" ca="1" si="216"/>
        <v>9.3769389345362235</v>
      </c>
    </row>
    <row r="2832" spans="1:6">
      <c r="A2832" s="1">
        <v>9129790</v>
      </c>
      <c r="B2832">
        <f t="shared" ca="1" si="213"/>
        <v>0.87273606282346583</v>
      </c>
      <c r="C2832" s="1">
        <f t="shared" ca="1" si="212"/>
        <v>4</v>
      </c>
      <c r="D2832" s="1">
        <f t="shared" ca="1" si="214"/>
        <v>493</v>
      </c>
      <c r="E2832" s="2">
        <f t="shared" ca="1" si="215"/>
        <v>43491</v>
      </c>
      <c r="F2832" s="6">
        <f t="shared" ca="1" si="216"/>
        <v>3.2824319858374262</v>
      </c>
    </row>
    <row r="2833" spans="1:6">
      <c r="A2833" s="1">
        <v>9129793</v>
      </c>
      <c r="B2833">
        <f t="shared" ca="1" si="213"/>
        <v>0.21470243423015956</v>
      </c>
      <c r="C2833" s="1">
        <f t="shared" ca="1" si="212"/>
        <v>15</v>
      </c>
      <c r="D2833" s="1">
        <f t="shared" ca="1" si="214"/>
        <v>284</v>
      </c>
      <c r="E2833" s="2">
        <f t="shared" ca="1" si="215"/>
        <v>43399</v>
      </c>
      <c r="F2833" s="6">
        <f t="shared" ca="1" si="216"/>
        <v>3.2348843214837983</v>
      </c>
    </row>
    <row r="2834" spans="1:6">
      <c r="A2834" s="1">
        <v>9129796</v>
      </c>
      <c r="B2834">
        <f t="shared" ca="1" si="213"/>
        <v>0.20325116309641345</v>
      </c>
      <c r="C2834" s="1">
        <f t="shared" ca="1" si="212"/>
        <v>104</v>
      </c>
      <c r="D2834" s="1">
        <f t="shared" ca="1" si="214"/>
        <v>560</v>
      </c>
      <c r="E2834" s="2">
        <f t="shared" ca="1" si="215"/>
        <v>43172</v>
      </c>
      <c r="F2834" s="6">
        <f t="shared" ca="1" si="216"/>
        <v>43.378130713442864</v>
      </c>
    </row>
    <row r="2835" spans="1:6">
      <c r="A2835" s="1">
        <v>9129799</v>
      </c>
      <c r="B2835">
        <f t="shared" ca="1" si="213"/>
        <v>0.81928115643781019</v>
      </c>
      <c r="C2835" s="1">
        <f t="shared" ca="1" si="212"/>
        <v>122</v>
      </c>
      <c r="D2835" s="1">
        <f t="shared" ca="1" si="214"/>
        <v>33</v>
      </c>
      <c r="E2835" s="2">
        <f t="shared" ca="1" si="215"/>
        <v>42988</v>
      </c>
      <c r="F2835" s="6">
        <f t="shared" ca="1" si="216"/>
        <v>145.75619925987317</v>
      </c>
    </row>
    <row r="2836" spans="1:6">
      <c r="A2836" s="1">
        <v>9129802</v>
      </c>
      <c r="B2836">
        <f t="shared" ca="1" si="213"/>
        <v>0.57733147461035494</v>
      </c>
      <c r="C2836" s="1">
        <f t="shared" ca="1" si="212"/>
        <v>6</v>
      </c>
      <c r="D2836" s="1">
        <f t="shared" ca="1" si="214"/>
        <v>208</v>
      </c>
      <c r="E2836" s="2">
        <f t="shared" ca="1" si="215"/>
        <v>43272</v>
      </c>
      <c r="F2836" s="6">
        <f t="shared" ca="1" si="216"/>
        <v>281.7847556271289</v>
      </c>
    </row>
    <row r="2837" spans="1:6">
      <c r="A2837" s="1">
        <v>9129805</v>
      </c>
      <c r="B2837">
        <f t="shared" ca="1" si="213"/>
        <v>0.17213227698739786</v>
      </c>
      <c r="C2837" s="1">
        <f t="shared" ca="1" si="212"/>
        <v>1</v>
      </c>
      <c r="D2837" s="1">
        <f t="shared" ca="1" si="214"/>
        <v>474</v>
      </c>
      <c r="E2837" s="2">
        <f t="shared" ca="1" si="215"/>
        <v>42908</v>
      </c>
      <c r="F2837" s="6">
        <f t="shared" ca="1" si="216"/>
        <v>14.423694126631878</v>
      </c>
    </row>
    <row r="2838" spans="1:6">
      <c r="A2838" s="1">
        <v>9129808</v>
      </c>
      <c r="B2838">
        <f t="shared" ca="1" si="213"/>
        <v>0.63022102791371271</v>
      </c>
      <c r="C2838" s="1">
        <f t="shared" ca="1" si="212"/>
        <v>12</v>
      </c>
      <c r="D2838" s="1">
        <f t="shared" ca="1" si="214"/>
        <v>292</v>
      </c>
      <c r="E2838" s="2">
        <f t="shared" ca="1" si="215"/>
        <v>43436</v>
      </c>
      <c r="F2838" s="6">
        <f t="shared" ca="1" si="216"/>
        <v>24.119190326338373</v>
      </c>
    </row>
    <row r="2839" spans="1:6">
      <c r="A2839" s="1">
        <v>9129811</v>
      </c>
      <c r="B2839">
        <f t="shared" ca="1" si="213"/>
        <v>0.45174588403906812</v>
      </c>
      <c r="C2839" s="1">
        <f t="shared" ca="1" si="212"/>
        <v>39</v>
      </c>
      <c r="D2839" s="1">
        <f t="shared" ca="1" si="214"/>
        <v>402</v>
      </c>
      <c r="E2839" s="2">
        <f t="shared" ca="1" si="215"/>
        <v>42832</v>
      </c>
      <c r="F2839" s="6">
        <f t="shared" ca="1" si="216"/>
        <v>38.370941076363508</v>
      </c>
    </row>
    <row r="2840" spans="1:6">
      <c r="A2840" s="1">
        <v>9129814</v>
      </c>
      <c r="B2840">
        <f t="shared" ca="1" si="213"/>
        <v>4.5793987194994723E-2</v>
      </c>
      <c r="C2840" s="1">
        <f t="shared" ca="1" si="212"/>
        <v>77</v>
      </c>
      <c r="D2840" s="1">
        <f t="shared" ca="1" si="214"/>
        <v>552</v>
      </c>
      <c r="E2840" s="2">
        <f t="shared" ca="1" si="215"/>
        <v>43122</v>
      </c>
      <c r="F2840" s="6">
        <f t="shared" ca="1" si="216"/>
        <v>4.9146033079305429</v>
      </c>
    </row>
    <row r="2841" spans="1:6">
      <c r="A2841" s="1">
        <v>9129817</v>
      </c>
      <c r="B2841">
        <f t="shared" ca="1" si="213"/>
        <v>0.45612822140944642</v>
      </c>
      <c r="C2841" s="1">
        <f t="shared" ca="1" si="212"/>
        <v>107</v>
      </c>
      <c r="D2841" s="1">
        <f t="shared" ca="1" si="214"/>
        <v>173</v>
      </c>
      <c r="E2841" s="2">
        <f t="shared" ca="1" si="215"/>
        <v>43199</v>
      </c>
      <c r="F2841" s="6">
        <f t="shared" ca="1" si="216"/>
        <v>27.330981958978047</v>
      </c>
    </row>
    <row r="2842" spans="1:6">
      <c r="A2842" s="1">
        <v>9129820</v>
      </c>
      <c r="B2842">
        <f t="shared" ca="1" si="213"/>
        <v>0.15671297636046533</v>
      </c>
      <c r="C2842" s="1">
        <f t="shared" ca="1" si="212"/>
        <v>1</v>
      </c>
      <c r="D2842" s="1">
        <f t="shared" ca="1" si="214"/>
        <v>474</v>
      </c>
      <c r="E2842" s="2">
        <f t="shared" ca="1" si="215"/>
        <v>43293</v>
      </c>
      <c r="F2842" s="6">
        <f t="shared" ca="1" si="216"/>
        <v>29.820448462249114</v>
      </c>
    </row>
    <row r="2843" spans="1:6">
      <c r="A2843" s="1">
        <v>9129823</v>
      </c>
      <c r="B2843">
        <f t="shared" ca="1" si="213"/>
        <v>0.76099845595571025</v>
      </c>
      <c r="C2843" s="1">
        <f t="shared" ref="C2843:C2906" ca="1" si="217">ROUND(_xlfn.GAMMA.INV(RAND(),$J$11,$J$12)*100,0)+1</f>
        <v>3</v>
      </c>
      <c r="D2843" s="1">
        <f t="shared" ca="1" si="214"/>
        <v>263</v>
      </c>
      <c r="E2843" s="2">
        <f t="shared" ca="1" si="215"/>
        <v>42767</v>
      </c>
      <c r="F2843" s="6">
        <f t="shared" ca="1" si="216"/>
        <v>86.943663545932651</v>
      </c>
    </row>
    <row r="2844" spans="1:6">
      <c r="A2844" s="1">
        <v>9129826</v>
      </c>
      <c r="B2844">
        <f t="shared" ca="1" si="213"/>
        <v>0.1199835383008192</v>
      </c>
      <c r="C2844" s="1">
        <f t="shared" ca="1" si="217"/>
        <v>20</v>
      </c>
      <c r="D2844" s="1">
        <f t="shared" ca="1" si="214"/>
        <v>444</v>
      </c>
      <c r="E2844" s="2">
        <f t="shared" ca="1" si="215"/>
        <v>42968</v>
      </c>
      <c r="F2844" s="6">
        <f t="shared" ca="1" si="216"/>
        <v>9.9932486113646792</v>
      </c>
    </row>
    <row r="2845" spans="1:6">
      <c r="A2845" s="1">
        <v>9129829</v>
      </c>
      <c r="B2845">
        <f t="shared" ca="1" si="213"/>
        <v>0.37138026392500334</v>
      </c>
      <c r="C2845" s="1">
        <f t="shared" ca="1" si="217"/>
        <v>12</v>
      </c>
      <c r="D2845" s="1">
        <f t="shared" ca="1" si="214"/>
        <v>292</v>
      </c>
      <c r="E2845" s="2">
        <f t="shared" ca="1" si="215"/>
        <v>43258</v>
      </c>
      <c r="F2845" s="6">
        <f t="shared" ca="1" si="216"/>
        <v>95.335943612182959</v>
      </c>
    </row>
    <row r="2846" spans="1:6">
      <c r="A2846" s="1">
        <v>9129832</v>
      </c>
      <c r="B2846">
        <f t="shared" ca="1" si="213"/>
        <v>0.72561250076240569</v>
      </c>
      <c r="C2846" s="1">
        <f t="shared" ca="1" si="217"/>
        <v>3</v>
      </c>
      <c r="D2846" s="1">
        <f t="shared" ca="1" si="214"/>
        <v>263</v>
      </c>
      <c r="E2846" s="2">
        <f t="shared" ca="1" si="215"/>
        <v>43233</v>
      </c>
      <c r="F2846" s="6">
        <f t="shared" ca="1" si="216"/>
        <v>222.24554660222492</v>
      </c>
    </row>
    <row r="2847" spans="1:6">
      <c r="A2847" s="1">
        <v>9129835</v>
      </c>
      <c r="B2847">
        <f t="shared" ca="1" si="213"/>
        <v>7.0350088507444397E-2</v>
      </c>
      <c r="C2847" s="1">
        <f t="shared" ca="1" si="217"/>
        <v>2</v>
      </c>
      <c r="D2847" s="1">
        <f t="shared" ca="1" si="214"/>
        <v>30</v>
      </c>
      <c r="E2847" s="2">
        <f t="shared" ca="1" si="215"/>
        <v>43439</v>
      </c>
      <c r="F2847" s="6">
        <f t="shared" ca="1" si="216"/>
        <v>49.857357039901473</v>
      </c>
    </row>
    <row r="2848" spans="1:6">
      <c r="A2848" s="1">
        <v>9129838</v>
      </c>
      <c r="B2848">
        <f t="shared" ca="1" si="213"/>
        <v>0.42696325948648728</v>
      </c>
      <c r="C2848" s="1">
        <f t="shared" ca="1" si="217"/>
        <v>40</v>
      </c>
      <c r="D2848" s="1">
        <f t="shared" ca="1" si="214"/>
        <v>426</v>
      </c>
      <c r="E2848" s="2">
        <f t="shared" ca="1" si="215"/>
        <v>42918</v>
      </c>
      <c r="F2848" s="6">
        <f t="shared" ca="1" si="216"/>
        <v>50.057678169527243</v>
      </c>
    </row>
    <row r="2849" spans="1:6">
      <c r="A2849" s="1">
        <v>9129841</v>
      </c>
      <c r="B2849">
        <f t="shared" ca="1" si="213"/>
        <v>0.96953203862295012</v>
      </c>
      <c r="C2849" s="1">
        <f t="shared" ca="1" si="217"/>
        <v>3</v>
      </c>
      <c r="D2849" s="1">
        <f t="shared" ca="1" si="214"/>
        <v>263</v>
      </c>
      <c r="E2849" s="2">
        <f t="shared" ca="1" si="215"/>
        <v>42970</v>
      </c>
      <c r="F2849" s="6">
        <f t="shared" ca="1" si="216"/>
        <v>7.7190508294331739</v>
      </c>
    </row>
    <row r="2850" spans="1:6">
      <c r="A2850" s="1">
        <v>9129844</v>
      </c>
      <c r="B2850">
        <f t="shared" ca="1" si="213"/>
        <v>0.828332165469024</v>
      </c>
      <c r="C2850" s="1">
        <f t="shared" ca="1" si="217"/>
        <v>40</v>
      </c>
      <c r="D2850" s="1">
        <f t="shared" ca="1" si="214"/>
        <v>426</v>
      </c>
      <c r="E2850" s="2">
        <f t="shared" ca="1" si="215"/>
        <v>43429</v>
      </c>
      <c r="F2850" s="6">
        <f t="shared" ca="1" si="216"/>
        <v>74.95092753544067</v>
      </c>
    </row>
    <row r="2851" spans="1:6">
      <c r="A2851" s="1">
        <v>9129847</v>
      </c>
      <c r="B2851">
        <f t="shared" ca="1" si="213"/>
        <v>0.15534759681324561</v>
      </c>
      <c r="C2851" s="1">
        <f t="shared" ca="1" si="217"/>
        <v>54</v>
      </c>
      <c r="D2851" s="1">
        <f t="shared" ca="1" si="214"/>
        <v>168</v>
      </c>
      <c r="E2851" s="2">
        <f t="shared" ca="1" si="215"/>
        <v>43152</v>
      </c>
      <c r="F2851" s="6">
        <f t="shared" ca="1" si="216"/>
        <v>27.102911515805523</v>
      </c>
    </row>
    <row r="2852" spans="1:6">
      <c r="A2852" s="1">
        <v>9129850</v>
      </c>
      <c r="B2852">
        <f t="shared" ca="1" si="213"/>
        <v>0.40901376392064692</v>
      </c>
      <c r="C2852" s="1">
        <f t="shared" ca="1" si="217"/>
        <v>146</v>
      </c>
      <c r="D2852" s="1">
        <f t="shared" ca="1" si="214"/>
        <v>216</v>
      </c>
      <c r="E2852" s="2">
        <f t="shared" ca="1" si="215"/>
        <v>43364</v>
      </c>
      <c r="F2852" s="6">
        <f t="shared" ca="1" si="216"/>
        <v>11.761331504816749</v>
      </c>
    </row>
    <row r="2853" spans="1:6">
      <c r="A2853" s="1">
        <v>9129853</v>
      </c>
      <c r="B2853">
        <f t="shared" ca="1" si="213"/>
        <v>0.1615871404111423</v>
      </c>
      <c r="C2853" s="1">
        <f t="shared" ca="1" si="217"/>
        <v>44</v>
      </c>
      <c r="D2853" s="1">
        <f t="shared" ca="1" si="214"/>
        <v>427</v>
      </c>
      <c r="E2853" s="2">
        <f t="shared" ca="1" si="215"/>
        <v>42865</v>
      </c>
      <c r="F2853" s="6">
        <f t="shared" ca="1" si="216"/>
        <v>18.459960402282864</v>
      </c>
    </row>
    <row r="2854" spans="1:6">
      <c r="A2854" s="1">
        <v>9129856</v>
      </c>
      <c r="B2854">
        <f t="shared" ca="1" si="213"/>
        <v>0.76142120237225042</v>
      </c>
      <c r="C2854" s="1">
        <f t="shared" ca="1" si="217"/>
        <v>12</v>
      </c>
      <c r="D2854" s="1">
        <f t="shared" ca="1" si="214"/>
        <v>292</v>
      </c>
      <c r="E2854" s="2">
        <f t="shared" ca="1" si="215"/>
        <v>43243</v>
      </c>
      <c r="F2854" s="6">
        <f t="shared" ca="1" si="216"/>
        <v>141.11363869660613</v>
      </c>
    </row>
    <row r="2855" spans="1:6">
      <c r="A2855" s="1">
        <v>9129859</v>
      </c>
      <c r="B2855">
        <f t="shared" ca="1" si="213"/>
        <v>0.10307029583967264</v>
      </c>
      <c r="C2855" s="1">
        <f t="shared" ca="1" si="217"/>
        <v>25</v>
      </c>
      <c r="D2855" s="1">
        <f t="shared" ca="1" si="214"/>
        <v>257</v>
      </c>
      <c r="E2855" s="2">
        <f t="shared" ca="1" si="215"/>
        <v>42843</v>
      </c>
      <c r="F2855" s="6">
        <f t="shared" ca="1" si="216"/>
        <v>3.0138144181844662</v>
      </c>
    </row>
    <row r="2856" spans="1:6">
      <c r="A2856" s="1">
        <v>9129862</v>
      </c>
      <c r="B2856">
        <f t="shared" ca="1" si="213"/>
        <v>0.41335453449769155</v>
      </c>
      <c r="C2856" s="1">
        <f t="shared" ca="1" si="217"/>
        <v>23</v>
      </c>
      <c r="D2856" s="1">
        <f t="shared" ca="1" si="214"/>
        <v>516</v>
      </c>
      <c r="E2856" s="2">
        <f t="shared" ca="1" si="215"/>
        <v>43016</v>
      </c>
      <c r="F2856" s="6">
        <f t="shared" ca="1" si="216"/>
        <v>112.66238657743294</v>
      </c>
    </row>
    <row r="2857" spans="1:6">
      <c r="A2857" s="1">
        <v>9129865</v>
      </c>
      <c r="B2857">
        <f t="shared" ca="1" si="213"/>
        <v>0.46585671017918506</v>
      </c>
      <c r="C2857" s="1">
        <f t="shared" ca="1" si="217"/>
        <v>2</v>
      </c>
      <c r="D2857" s="1">
        <f t="shared" ca="1" si="214"/>
        <v>30</v>
      </c>
      <c r="E2857" s="2">
        <f t="shared" ca="1" si="215"/>
        <v>42913</v>
      </c>
      <c r="F2857" s="6">
        <f t="shared" ca="1" si="216"/>
        <v>4.5009666273783244</v>
      </c>
    </row>
    <row r="2858" spans="1:6">
      <c r="A2858" s="1">
        <v>9129868</v>
      </c>
      <c r="B2858">
        <f t="shared" ca="1" si="213"/>
        <v>0.38257801375152167</v>
      </c>
      <c r="C2858" s="1">
        <f t="shared" ca="1" si="217"/>
        <v>4</v>
      </c>
      <c r="D2858" s="1">
        <f t="shared" ca="1" si="214"/>
        <v>493</v>
      </c>
      <c r="E2858" s="2">
        <f t="shared" ca="1" si="215"/>
        <v>43420</v>
      </c>
      <c r="F2858" s="6">
        <f t="shared" ca="1" si="216"/>
        <v>4.091287341976253</v>
      </c>
    </row>
    <row r="2859" spans="1:6">
      <c r="A2859" s="1">
        <v>9129871</v>
      </c>
      <c r="B2859">
        <f t="shared" ca="1" si="213"/>
        <v>0.47030288227530592</v>
      </c>
      <c r="C2859" s="1">
        <f t="shared" ca="1" si="217"/>
        <v>7</v>
      </c>
      <c r="D2859" s="1">
        <f t="shared" ca="1" si="214"/>
        <v>138</v>
      </c>
      <c r="E2859" s="2">
        <f t="shared" ca="1" si="215"/>
        <v>43014</v>
      </c>
      <c r="F2859" s="6">
        <f t="shared" ca="1" si="216"/>
        <v>8.1800961302797042</v>
      </c>
    </row>
    <row r="2860" spans="1:6">
      <c r="A2860" s="1">
        <v>9129874</v>
      </c>
      <c r="B2860">
        <f t="shared" ca="1" si="213"/>
        <v>0.84783198454793918</v>
      </c>
      <c r="C2860" s="1">
        <f t="shared" ca="1" si="217"/>
        <v>1</v>
      </c>
      <c r="D2860" s="1">
        <f t="shared" ca="1" si="214"/>
        <v>474</v>
      </c>
      <c r="E2860" s="2">
        <f t="shared" ca="1" si="215"/>
        <v>42919</v>
      </c>
      <c r="F2860" s="6">
        <f t="shared" ca="1" si="216"/>
        <v>38.446230468155903</v>
      </c>
    </row>
    <row r="2861" spans="1:6">
      <c r="A2861" s="1">
        <v>9129877</v>
      </c>
      <c r="B2861">
        <f t="shared" ca="1" si="213"/>
        <v>0.51826790046992832</v>
      </c>
      <c r="C2861" s="1">
        <f t="shared" ca="1" si="217"/>
        <v>7</v>
      </c>
      <c r="D2861" s="1">
        <f t="shared" ca="1" si="214"/>
        <v>138</v>
      </c>
      <c r="E2861" s="2">
        <f t="shared" ca="1" si="215"/>
        <v>42885</v>
      </c>
      <c r="F2861" s="6">
        <f t="shared" ca="1" si="216"/>
        <v>13.642004191248841</v>
      </c>
    </row>
    <row r="2862" spans="1:6">
      <c r="A2862" s="1">
        <v>9129880</v>
      </c>
      <c r="B2862">
        <f t="shared" ca="1" si="213"/>
        <v>0.44212586102717299</v>
      </c>
      <c r="C2862" s="1">
        <f t="shared" ca="1" si="217"/>
        <v>91</v>
      </c>
      <c r="D2862" s="1">
        <f t="shared" ca="1" si="214"/>
        <v>396</v>
      </c>
      <c r="E2862" s="2">
        <f t="shared" ca="1" si="215"/>
        <v>42791</v>
      </c>
      <c r="F2862" s="6">
        <f t="shared" ca="1" si="216"/>
        <v>3.1693833237851403</v>
      </c>
    </row>
    <row r="2863" spans="1:6">
      <c r="A2863" s="1">
        <v>9129883</v>
      </c>
      <c r="B2863">
        <f t="shared" ca="1" si="213"/>
        <v>0.72313646239027107</v>
      </c>
      <c r="C2863" s="1">
        <f t="shared" ca="1" si="217"/>
        <v>45</v>
      </c>
      <c r="D2863" s="1">
        <f t="shared" ca="1" si="214"/>
        <v>482</v>
      </c>
      <c r="E2863" s="2">
        <f t="shared" ca="1" si="215"/>
        <v>42948</v>
      </c>
      <c r="F2863" s="6">
        <f t="shared" ca="1" si="216"/>
        <v>7.3601447866487471</v>
      </c>
    </row>
    <row r="2864" spans="1:6">
      <c r="A2864" s="1">
        <v>9129886</v>
      </c>
      <c r="B2864">
        <f t="shared" ca="1" si="213"/>
        <v>0.15231346511518906</v>
      </c>
      <c r="C2864" s="1">
        <f t="shared" ca="1" si="217"/>
        <v>190</v>
      </c>
      <c r="D2864" s="1">
        <f t="shared" ca="1" si="214"/>
        <v>206</v>
      </c>
      <c r="E2864" s="2">
        <f t="shared" ca="1" si="215"/>
        <v>43076</v>
      </c>
      <c r="F2864" s="6">
        <f t="shared" ca="1" si="216"/>
        <v>236.71570067214256</v>
      </c>
    </row>
    <row r="2865" spans="1:6">
      <c r="A2865" s="1">
        <v>9129889</v>
      </c>
      <c r="B2865">
        <f t="shared" ca="1" si="213"/>
        <v>0.24822498299320772</v>
      </c>
      <c r="C2865" s="1">
        <f t="shared" ca="1" si="217"/>
        <v>2</v>
      </c>
      <c r="D2865" s="1">
        <f t="shared" ca="1" si="214"/>
        <v>30</v>
      </c>
      <c r="E2865" s="2">
        <f t="shared" ca="1" si="215"/>
        <v>43367</v>
      </c>
      <c r="F2865" s="6">
        <f t="shared" ca="1" si="216"/>
        <v>3.3683716239006629</v>
      </c>
    </row>
    <row r="2866" spans="1:6">
      <c r="A2866" s="1">
        <v>9129892</v>
      </c>
      <c r="B2866">
        <f t="shared" ca="1" si="213"/>
        <v>8.4168568545289202E-2</v>
      </c>
      <c r="C2866" s="1">
        <f t="shared" ca="1" si="217"/>
        <v>156</v>
      </c>
      <c r="D2866" s="1">
        <f t="shared" ca="1" si="214"/>
        <v>347</v>
      </c>
      <c r="E2866" s="2">
        <f t="shared" ca="1" si="215"/>
        <v>43447</v>
      </c>
      <c r="F2866" s="6">
        <f t="shared" ca="1" si="216"/>
        <v>66.65098518807261</v>
      </c>
    </row>
    <row r="2867" spans="1:6">
      <c r="A2867" s="1">
        <v>9129895</v>
      </c>
      <c r="B2867">
        <f t="shared" ca="1" si="213"/>
        <v>0.97898632848506795</v>
      </c>
      <c r="C2867" s="1">
        <f t="shared" ca="1" si="217"/>
        <v>58</v>
      </c>
      <c r="D2867" s="1">
        <f t="shared" ca="1" si="214"/>
        <v>19</v>
      </c>
      <c r="E2867" s="2">
        <f t="shared" ca="1" si="215"/>
        <v>42746</v>
      </c>
      <c r="F2867" s="6">
        <f t="shared" ca="1" si="216"/>
        <v>4.3332800279625863</v>
      </c>
    </row>
    <row r="2868" spans="1:6">
      <c r="A2868" s="1">
        <v>9129898</v>
      </c>
      <c r="B2868">
        <f t="shared" ca="1" si="213"/>
        <v>0.96741683307019188</v>
      </c>
      <c r="C2868" s="1">
        <f t="shared" ca="1" si="217"/>
        <v>2</v>
      </c>
      <c r="D2868" s="1">
        <f t="shared" ca="1" si="214"/>
        <v>30</v>
      </c>
      <c r="E2868" s="2">
        <f t="shared" ca="1" si="215"/>
        <v>43130</v>
      </c>
      <c r="F2868" s="6">
        <f t="shared" ca="1" si="216"/>
        <v>3.3882663995879567</v>
      </c>
    </row>
    <row r="2869" spans="1:6">
      <c r="A2869" s="1">
        <v>9129901</v>
      </c>
      <c r="B2869">
        <f t="shared" ca="1" si="213"/>
        <v>0.86237570611524006</v>
      </c>
      <c r="C2869" s="1">
        <f t="shared" ca="1" si="217"/>
        <v>459</v>
      </c>
      <c r="D2869" s="1">
        <f t="shared" ca="1" si="214"/>
        <v>286</v>
      </c>
      <c r="E2869" s="2">
        <f t="shared" ca="1" si="215"/>
        <v>43117</v>
      </c>
      <c r="F2869" s="6">
        <f t="shared" ca="1" si="216"/>
        <v>4.2876648121632961</v>
      </c>
    </row>
    <row r="2870" spans="1:6">
      <c r="A2870" s="1">
        <v>9129904</v>
      </c>
      <c r="B2870">
        <f t="shared" ca="1" si="213"/>
        <v>3.3405868913965797E-2</v>
      </c>
      <c r="C2870" s="1">
        <f t="shared" ca="1" si="217"/>
        <v>1</v>
      </c>
      <c r="D2870" s="1">
        <f t="shared" ca="1" si="214"/>
        <v>474</v>
      </c>
      <c r="E2870" s="2">
        <f t="shared" ca="1" si="215"/>
        <v>43489</v>
      </c>
      <c r="F2870" s="6">
        <f t="shared" ca="1" si="216"/>
        <v>3.3246166009915203</v>
      </c>
    </row>
    <row r="2871" spans="1:6">
      <c r="A2871" s="1">
        <v>9129907</v>
      </c>
      <c r="B2871">
        <f t="shared" ca="1" si="213"/>
        <v>0.85893938992107544</v>
      </c>
      <c r="C2871" s="1">
        <f t="shared" ca="1" si="217"/>
        <v>182</v>
      </c>
      <c r="D2871" s="1">
        <f t="shared" ca="1" si="214"/>
        <v>261</v>
      </c>
      <c r="E2871" s="2">
        <f t="shared" ca="1" si="215"/>
        <v>42820</v>
      </c>
      <c r="F2871" s="6">
        <f t="shared" ca="1" si="216"/>
        <v>19.810249229970278</v>
      </c>
    </row>
    <row r="2872" spans="1:6">
      <c r="A2872" s="1">
        <v>9129910</v>
      </c>
      <c r="B2872">
        <f t="shared" ca="1" si="213"/>
        <v>0.36276777601700794</v>
      </c>
      <c r="C2872" s="1">
        <f t="shared" ca="1" si="217"/>
        <v>35</v>
      </c>
      <c r="D2872" s="1">
        <f t="shared" ca="1" si="214"/>
        <v>423</v>
      </c>
      <c r="E2872" s="2">
        <f t="shared" ca="1" si="215"/>
        <v>42989</v>
      </c>
      <c r="F2872" s="6">
        <f t="shared" ca="1" si="216"/>
        <v>62.679990452250287</v>
      </c>
    </row>
    <row r="2873" spans="1:6">
      <c r="A2873" s="1">
        <v>9129913</v>
      </c>
      <c r="B2873">
        <f t="shared" ca="1" si="213"/>
        <v>0.91936626552270706</v>
      </c>
      <c r="C2873" s="1">
        <f t="shared" ca="1" si="217"/>
        <v>53</v>
      </c>
      <c r="D2873" s="1">
        <f t="shared" ca="1" si="214"/>
        <v>155</v>
      </c>
      <c r="E2873" s="2">
        <f t="shared" ca="1" si="215"/>
        <v>43496</v>
      </c>
      <c r="F2873" s="6">
        <f t="shared" ca="1" si="216"/>
        <v>7.368431375506737</v>
      </c>
    </row>
    <row r="2874" spans="1:6">
      <c r="A2874" s="1">
        <v>9129916</v>
      </c>
      <c r="B2874">
        <f t="shared" ca="1" si="213"/>
        <v>0.24106855733592236</v>
      </c>
      <c r="C2874" s="1">
        <f t="shared" ca="1" si="217"/>
        <v>182</v>
      </c>
      <c r="D2874" s="1">
        <f t="shared" ca="1" si="214"/>
        <v>261</v>
      </c>
      <c r="E2874" s="2">
        <f t="shared" ca="1" si="215"/>
        <v>42911</v>
      </c>
      <c r="F2874" s="6">
        <f t="shared" ca="1" si="216"/>
        <v>82.463303869962658</v>
      </c>
    </row>
    <row r="2875" spans="1:6">
      <c r="A2875" s="1">
        <v>9129919</v>
      </c>
      <c r="B2875">
        <f t="shared" ca="1" si="213"/>
        <v>0.47250551556610365</v>
      </c>
      <c r="C2875" s="1">
        <f t="shared" ca="1" si="217"/>
        <v>106</v>
      </c>
      <c r="D2875" s="1">
        <f t="shared" ca="1" si="214"/>
        <v>238</v>
      </c>
      <c r="E2875" s="2">
        <f t="shared" ca="1" si="215"/>
        <v>43044</v>
      </c>
      <c r="F2875" s="6">
        <f t="shared" ca="1" si="216"/>
        <v>92.717320887103767</v>
      </c>
    </row>
    <row r="2876" spans="1:6">
      <c r="A2876" s="1">
        <v>9129922</v>
      </c>
      <c r="B2876">
        <f t="shared" ca="1" si="213"/>
        <v>0.51578065110808091</v>
      </c>
      <c r="C2876" s="1">
        <f t="shared" ca="1" si="217"/>
        <v>45</v>
      </c>
      <c r="D2876" s="1">
        <f t="shared" ca="1" si="214"/>
        <v>482</v>
      </c>
      <c r="E2876" s="2">
        <f t="shared" ca="1" si="215"/>
        <v>42878</v>
      </c>
      <c r="F2876" s="6">
        <f t="shared" ca="1" si="216"/>
        <v>3.0125381338082957</v>
      </c>
    </row>
    <row r="2877" spans="1:6">
      <c r="A2877" s="1">
        <v>9129925</v>
      </c>
      <c r="B2877">
        <f t="shared" ref="B2877:B2940" ca="1" si="218">RAND()</f>
        <v>0.52778988342005162</v>
      </c>
      <c r="C2877" s="1">
        <f t="shared" ca="1" si="217"/>
        <v>7</v>
      </c>
      <c r="D2877" s="1">
        <f t="shared" ref="D2877:D2940" ca="1" si="219">VLOOKUP(SMALL($B$2:$B$601,C2877),$B$2:$C$601,2,FALSE)</f>
        <v>138</v>
      </c>
      <c r="E2877" s="2">
        <f t="shared" ca="1" si="215"/>
        <v>43162</v>
      </c>
      <c r="F2877" s="6">
        <f t="shared" ca="1" si="216"/>
        <v>106.64696664519566</v>
      </c>
    </row>
    <row r="2878" spans="1:6">
      <c r="A2878" s="1">
        <v>9129928</v>
      </c>
      <c r="B2878">
        <f t="shared" ca="1" si="218"/>
        <v>0.73504435160183157</v>
      </c>
      <c r="C2878" s="1">
        <f t="shared" ca="1" si="217"/>
        <v>87</v>
      </c>
      <c r="D2878" s="1">
        <f t="shared" ca="1" si="219"/>
        <v>551</v>
      </c>
      <c r="E2878" s="2">
        <f t="shared" ca="1" si="215"/>
        <v>43016</v>
      </c>
      <c r="F2878" s="6">
        <f t="shared" ca="1" si="216"/>
        <v>3.6324385358792828</v>
      </c>
    </row>
    <row r="2879" spans="1:6">
      <c r="A2879" s="1">
        <v>9129931</v>
      </c>
      <c r="B2879">
        <f t="shared" ca="1" si="218"/>
        <v>0.68813283066766151</v>
      </c>
      <c r="C2879" s="1">
        <f t="shared" ca="1" si="217"/>
        <v>93</v>
      </c>
      <c r="D2879" s="1">
        <f t="shared" ca="1" si="219"/>
        <v>518</v>
      </c>
      <c r="E2879" s="2">
        <f t="shared" ca="1" si="215"/>
        <v>42899</v>
      </c>
      <c r="F2879" s="6">
        <f t="shared" ca="1" si="216"/>
        <v>88.095207037819492</v>
      </c>
    </row>
    <row r="2880" spans="1:6">
      <c r="A2880" s="1">
        <v>9129934</v>
      </c>
      <c r="B2880">
        <f t="shared" ca="1" si="218"/>
        <v>0.18227467434567379</v>
      </c>
      <c r="C2880" s="1">
        <f t="shared" ca="1" si="217"/>
        <v>2</v>
      </c>
      <c r="D2880" s="1">
        <f t="shared" ca="1" si="219"/>
        <v>30</v>
      </c>
      <c r="E2880" s="2">
        <f t="shared" ca="1" si="215"/>
        <v>43195</v>
      </c>
      <c r="F2880" s="6">
        <f t="shared" ca="1" si="216"/>
        <v>171.43012062251489</v>
      </c>
    </row>
    <row r="2881" spans="1:6">
      <c r="A2881" s="1">
        <v>9129937</v>
      </c>
      <c r="B2881">
        <f t="shared" ca="1" si="218"/>
        <v>0.95549832935529089</v>
      </c>
      <c r="C2881" s="1">
        <f t="shared" ca="1" si="217"/>
        <v>5</v>
      </c>
      <c r="D2881" s="1">
        <f t="shared" ca="1" si="219"/>
        <v>363</v>
      </c>
      <c r="E2881" s="2">
        <f t="shared" ca="1" si="215"/>
        <v>42844</v>
      </c>
      <c r="F2881" s="6">
        <f t="shared" ca="1" si="216"/>
        <v>26.194341417015515</v>
      </c>
    </row>
    <row r="2882" spans="1:6">
      <c r="A2882" s="1">
        <v>9129940</v>
      </c>
      <c r="B2882">
        <f t="shared" ca="1" si="218"/>
        <v>0.30019051784374884</v>
      </c>
      <c r="C2882" s="1">
        <f t="shared" ca="1" si="217"/>
        <v>94</v>
      </c>
      <c r="D2882" s="1">
        <f t="shared" ca="1" si="219"/>
        <v>87</v>
      </c>
      <c r="E2882" s="2">
        <f t="shared" ca="1" si="215"/>
        <v>42830</v>
      </c>
      <c r="F2882" s="6">
        <f t="shared" ca="1" si="216"/>
        <v>59.468514407136453</v>
      </c>
    </row>
    <row r="2883" spans="1:6">
      <c r="A2883" s="1">
        <v>9129943</v>
      </c>
      <c r="B2883">
        <f t="shared" ca="1" si="218"/>
        <v>0.56918174816942102</v>
      </c>
      <c r="C2883" s="1">
        <f t="shared" ca="1" si="217"/>
        <v>282</v>
      </c>
      <c r="D2883" s="1">
        <f t="shared" ca="1" si="219"/>
        <v>207</v>
      </c>
      <c r="E2883" s="2">
        <f t="shared" ref="E2883:E2946" ca="1" si="220">RANDBETWEEN("1/1/17","2/1/19")</f>
        <v>42989</v>
      </c>
      <c r="F2883" s="6">
        <f t="shared" ref="F2883:F2946" ca="1" si="221">_xlfn.GAMMA.INV(RAND(),$J$6,$J$7)*100+3</f>
        <v>84.91894125529177</v>
      </c>
    </row>
    <row r="2884" spans="1:6">
      <c r="A2884" s="1">
        <v>9129946</v>
      </c>
      <c r="B2884">
        <f t="shared" ca="1" si="218"/>
        <v>0.99573207037889799</v>
      </c>
      <c r="C2884" s="1">
        <f t="shared" ca="1" si="217"/>
        <v>5</v>
      </c>
      <c r="D2884" s="1">
        <f t="shared" ca="1" si="219"/>
        <v>363</v>
      </c>
      <c r="E2884" s="2">
        <f t="shared" ca="1" si="220"/>
        <v>43370</v>
      </c>
      <c r="F2884" s="6">
        <f t="shared" ca="1" si="221"/>
        <v>4.0314601728019284</v>
      </c>
    </row>
    <row r="2885" spans="1:6">
      <c r="A2885" s="1">
        <v>9129949</v>
      </c>
      <c r="B2885">
        <f t="shared" ca="1" si="218"/>
        <v>0.21387445529610249</v>
      </c>
      <c r="C2885" s="1">
        <f t="shared" ca="1" si="217"/>
        <v>10</v>
      </c>
      <c r="D2885" s="1">
        <f t="shared" ca="1" si="219"/>
        <v>236</v>
      </c>
      <c r="E2885" s="2">
        <f t="shared" ca="1" si="220"/>
        <v>43265</v>
      </c>
      <c r="F2885" s="6">
        <f t="shared" ca="1" si="221"/>
        <v>102.6367631971828</v>
      </c>
    </row>
    <row r="2886" spans="1:6">
      <c r="A2886" s="1">
        <v>9129952</v>
      </c>
      <c r="B2886">
        <f t="shared" ca="1" si="218"/>
        <v>0.25873975055271603</v>
      </c>
      <c r="C2886" s="1">
        <f t="shared" ca="1" si="217"/>
        <v>194</v>
      </c>
      <c r="D2886" s="1">
        <f t="shared" ca="1" si="219"/>
        <v>174</v>
      </c>
      <c r="E2886" s="2">
        <f t="shared" ca="1" si="220"/>
        <v>43183</v>
      </c>
      <c r="F2886" s="6">
        <f t="shared" ca="1" si="221"/>
        <v>3.1618958028930932</v>
      </c>
    </row>
    <row r="2887" spans="1:6">
      <c r="A2887" s="1">
        <v>9129955</v>
      </c>
      <c r="B2887">
        <f t="shared" ca="1" si="218"/>
        <v>0.98270204247535553</v>
      </c>
      <c r="C2887" s="1">
        <f t="shared" ca="1" si="217"/>
        <v>18</v>
      </c>
      <c r="D2887" s="1">
        <f t="shared" ca="1" si="219"/>
        <v>511</v>
      </c>
      <c r="E2887" s="2">
        <f t="shared" ca="1" si="220"/>
        <v>42961</v>
      </c>
      <c r="F2887" s="6">
        <f t="shared" ca="1" si="221"/>
        <v>43.51713450831776</v>
      </c>
    </row>
    <row r="2888" spans="1:6">
      <c r="A2888" s="1">
        <v>9129958</v>
      </c>
      <c r="B2888">
        <f t="shared" ca="1" si="218"/>
        <v>0.71700229180591568</v>
      </c>
      <c r="C2888" s="1">
        <f t="shared" ca="1" si="217"/>
        <v>3</v>
      </c>
      <c r="D2888" s="1">
        <f t="shared" ca="1" si="219"/>
        <v>263</v>
      </c>
      <c r="E2888" s="2">
        <f t="shared" ca="1" si="220"/>
        <v>42926</v>
      </c>
      <c r="F2888" s="6">
        <f t="shared" ca="1" si="221"/>
        <v>17.001029826006182</v>
      </c>
    </row>
    <row r="2889" spans="1:6">
      <c r="A2889" s="1">
        <v>9129961</v>
      </c>
      <c r="B2889">
        <f t="shared" ca="1" si="218"/>
        <v>0.77722126572293337</v>
      </c>
      <c r="C2889" s="1">
        <f t="shared" ca="1" si="217"/>
        <v>3</v>
      </c>
      <c r="D2889" s="1">
        <f t="shared" ca="1" si="219"/>
        <v>263</v>
      </c>
      <c r="E2889" s="2">
        <f t="shared" ca="1" si="220"/>
        <v>42918</v>
      </c>
      <c r="F2889" s="6">
        <f t="shared" ca="1" si="221"/>
        <v>36.756635698141089</v>
      </c>
    </row>
    <row r="2890" spans="1:6">
      <c r="A2890" s="1">
        <v>9129964</v>
      </c>
      <c r="B2890">
        <f t="shared" ca="1" si="218"/>
        <v>2.4633020858754517E-2</v>
      </c>
      <c r="C2890" s="1">
        <f t="shared" ca="1" si="217"/>
        <v>35</v>
      </c>
      <c r="D2890" s="1">
        <f t="shared" ca="1" si="219"/>
        <v>423</v>
      </c>
      <c r="E2890" s="2">
        <f t="shared" ca="1" si="220"/>
        <v>42951</v>
      </c>
      <c r="F2890" s="6">
        <f t="shared" ca="1" si="221"/>
        <v>50.151265428172266</v>
      </c>
    </row>
    <row r="2891" spans="1:6">
      <c r="A2891" s="1">
        <v>9129967</v>
      </c>
      <c r="B2891">
        <f t="shared" ca="1" si="218"/>
        <v>0.50472044496271073</v>
      </c>
      <c r="C2891" s="1">
        <f t="shared" ca="1" si="217"/>
        <v>1</v>
      </c>
      <c r="D2891" s="1">
        <f t="shared" ca="1" si="219"/>
        <v>474</v>
      </c>
      <c r="E2891" s="2">
        <f t="shared" ca="1" si="220"/>
        <v>43004</v>
      </c>
      <c r="F2891" s="6">
        <f t="shared" ca="1" si="221"/>
        <v>3.0715496621959466</v>
      </c>
    </row>
    <row r="2892" spans="1:6">
      <c r="A2892" s="1">
        <v>9129970</v>
      </c>
      <c r="B2892">
        <f t="shared" ca="1" si="218"/>
        <v>0.25876219602543393</v>
      </c>
      <c r="C2892" s="1">
        <f t="shared" ca="1" si="217"/>
        <v>9</v>
      </c>
      <c r="D2892" s="1">
        <f t="shared" ca="1" si="219"/>
        <v>278</v>
      </c>
      <c r="E2892" s="2">
        <f t="shared" ca="1" si="220"/>
        <v>43344</v>
      </c>
      <c r="F2892" s="6">
        <f t="shared" ca="1" si="221"/>
        <v>65.338153084855605</v>
      </c>
    </row>
    <row r="2893" spans="1:6">
      <c r="A2893" s="1">
        <v>9129973</v>
      </c>
      <c r="B2893">
        <f t="shared" ca="1" si="218"/>
        <v>3.4937431190054768E-2</v>
      </c>
      <c r="C2893" s="1">
        <f t="shared" ca="1" si="217"/>
        <v>206</v>
      </c>
      <c r="D2893" s="1">
        <f t="shared" ca="1" si="219"/>
        <v>412</v>
      </c>
      <c r="E2893" s="2">
        <f t="shared" ca="1" si="220"/>
        <v>43124</v>
      </c>
      <c r="F2893" s="6">
        <f t="shared" ca="1" si="221"/>
        <v>63.600306238670989</v>
      </c>
    </row>
    <row r="2894" spans="1:6">
      <c r="A2894" s="1">
        <v>9129976</v>
      </c>
      <c r="B2894">
        <f t="shared" ca="1" si="218"/>
        <v>0.36319280944121968</v>
      </c>
      <c r="C2894" s="1">
        <f t="shared" ca="1" si="217"/>
        <v>109</v>
      </c>
      <c r="D2894" s="1">
        <f t="shared" ca="1" si="219"/>
        <v>245</v>
      </c>
      <c r="E2894" s="2">
        <f t="shared" ca="1" si="220"/>
        <v>42878</v>
      </c>
      <c r="F2894" s="6">
        <f t="shared" ca="1" si="221"/>
        <v>172.56686008127627</v>
      </c>
    </row>
    <row r="2895" spans="1:6">
      <c r="A2895" s="1">
        <v>9129979</v>
      </c>
      <c r="B2895">
        <f t="shared" ca="1" si="218"/>
        <v>0.68062461182679035</v>
      </c>
      <c r="C2895" s="1">
        <f t="shared" ca="1" si="217"/>
        <v>35</v>
      </c>
      <c r="D2895" s="1">
        <f t="shared" ca="1" si="219"/>
        <v>423</v>
      </c>
      <c r="E2895" s="2">
        <f t="shared" ca="1" si="220"/>
        <v>42796</v>
      </c>
      <c r="F2895" s="6">
        <f t="shared" ca="1" si="221"/>
        <v>41.900363142680582</v>
      </c>
    </row>
    <row r="2896" spans="1:6">
      <c r="A2896" s="1">
        <v>9129982</v>
      </c>
      <c r="B2896">
        <f t="shared" ca="1" si="218"/>
        <v>0.17534051599857237</v>
      </c>
      <c r="C2896" s="1">
        <f t="shared" ca="1" si="217"/>
        <v>57</v>
      </c>
      <c r="D2896" s="1">
        <f t="shared" ca="1" si="219"/>
        <v>24</v>
      </c>
      <c r="E2896" s="2">
        <f t="shared" ca="1" si="220"/>
        <v>43324</v>
      </c>
      <c r="F2896" s="6">
        <f t="shared" ca="1" si="221"/>
        <v>6.4782201665234549</v>
      </c>
    </row>
    <row r="2897" spans="1:6">
      <c r="A2897" s="1">
        <v>9129985</v>
      </c>
      <c r="B2897">
        <f t="shared" ca="1" si="218"/>
        <v>0.1472404558494288</v>
      </c>
      <c r="C2897" s="1">
        <f t="shared" ca="1" si="217"/>
        <v>1</v>
      </c>
      <c r="D2897" s="1">
        <f t="shared" ca="1" si="219"/>
        <v>474</v>
      </c>
      <c r="E2897" s="2">
        <f t="shared" ca="1" si="220"/>
        <v>43253</v>
      </c>
      <c r="F2897" s="6">
        <f t="shared" ca="1" si="221"/>
        <v>20.87150985401852</v>
      </c>
    </row>
    <row r="2898" spans="1:6">
      <c r="A2898" s="1">
        <v>9129988</v>
      </c>
      <c r="B2898">
        <f t="shared" ca="1" si="218"/>
        <v>0.33798495303742004</v>
      </c>
      <c r="C2898" s="1">
        <f t="shared" ca="1" si="217"/>
        <v>72</v>
      </c>
      <c r="D2898" s="1">
        <f t="shared" ca="1" si="219"/>
        <v>267</v>
      </c>
      <c r="E2898" s="2">
        <f t="shared" ca="1" si="220"/>
        <v>42891</v>
      </c>
      <c r="F2898" s="6">
        <f t="shared" ca="1" si="221"/>
        <v>77.713473869503574</v>
      </c>
    </row>
    <row r="2899" spans="1:6">
      <c r="A2899" s="1">
        <v>9129991</v>
      </c>
      <c r="B2899">
        <f t="shared" ca="1" si="218"/>
        <v>6.4263463471608162E-2</v>
      </c>
      <c r="C2899" s="1">
        <f t="shared" ca="1" si="217"/>
        <v>121</v>
      </c>
      <c r="D2899" s="1">
        <f t="shared" ca="1" si="219"/>
        <v>243</v>
      </c>
      <c r="E2899" s="2">
        <f t="shared" ca="1" si="220"/>
        <v>42911</v>
      </c>
      <c r="F2899" s="6">
        <f t="shared" ca="1" si="221"/>
        <v>222.98716855363591</v>
      </c>
    </row>
    <row r="2900" spans="1:6">
      <c r="A2900" s="1">
        <v>9129994</v>
      </c>
      <c r="B2900">
        <f t="shared" ca="1" si="218"/>
        <v>0.25947907458177655</v>
      </c>
      <c r="C2900" s="1">
        <f t="shared" ca="1" si="217"/>
        <v>37</v>
      </c>
      <c r="D2900" s="1">
        <f t="shared" ca="1" si="219"/>
        <v>517</v>
      </c>
      <c r="E2900" s="2">
        <f t="shared" ca="1" si="220"/>
        <v>43464</v>
      </c>
      <c r="F2900" s="6">
        <f t="shared" ca="1" si="221"/>
        <v>22.440663582007687</v>
      </c>
    </row>
    <row r="2901" spans="1:6">
      <c r="A2901" s="1">
        <v>9129997</v>
      </c>
      <c r="B2901">
        <f t="shared" ca="1" si="218"/>
        <v>1.5012403695563892E-2</v>
      </c>
      <c r="C2901" s="1">
        <f t="shared" ca="1" si="217"/>
        <v>5</v>
      </c>
      <c r="D2901" s="1">
        <f t="shared" ca="1" si="219"/>
        <v>363</v>
      </c>
      <c r="E2901" s="2">
        <f t="shared" ca="1" si="220"/>
        <v>42992</v>
      </c>
      <c r="F2901" s="6">
        <f t="shared" ca="1" si="221"/>
        <v>46.615608605176028</v>
      </c>
    </row>
    <row r="2902" spans="1:6">
      <c r="A2902" s="1">
        <v>9130000</v>
      </c>
      <c r="B2902">
        <f t="shared" ca="1" si="218"/>
        <v>0.1543378935455747</v>
      </c>
      <c r="C2902" s="1">
        <f t="shared" ca="1" si="217"/>
        <v>43</v>
      </c>
      <c r="D2902" s="1">
        <f t="shared" ca="1" si="219"/>
        <v>73</v>
      </c>
      <c r="E2902" s="2">
        <f t="shared" ca="1" si="220"/>
        <v>42873</v>
      </c>
      <c r="F2902" s="6">
        <f t="shared" ca="1" si="221"/>
        <v>3.1170094249079283</v>
      </c>
    </row>
    <row r="2903" spans="1:6">
      <c r="A2903" s="1">
        <v>9130003</v>
      </c>
      <c r="B2903">
        <f t="shared" ca="1" si="218"/>
        <v>0.89964414307725149</v>
      </c>
      <c r="C2903" s="1">
        <f t="shared" ca="1" si="217"/>
        <v>18</v>
      </c>
      <c r="D2903" s="1">
        <f t="shared" ca="1" si="219"/>
        <v>511</v>
      </c>
      <c r="E2903" s="2">
        <f t="shared" ca="1" si="220"/>
        <v>42853</v>
      </c>
      <c r="F2903" s="6">
        <f t="shared" ca="1" si="221"/>
        <v>45.238028427577376</v>
      </c>
    </row>
    <row r="2904" spans="1:6">
      <c r="A2904" s="1">
        <v>9130006</v>
      </c>
      <c r="B2904">
        <f t="shared" ca="1" si="218"/>
        <v>0.26961973825870467</v>
      </c>
      <c r="C2904" s="1">
        <f t="shared" ca="1" si="217"/>
        <v>4</v>
      </c>
      <c r="D2904" s="1">
        <f t="shared" ca="1" si="219"/>
        <v>493</v>
      </c>
      <c r="E2904" s="2">
        <f t="shared" ca="1" si="220"/>
        <v>43197</v>
      </c>
      <c r="F2904" s="6">
        <f t="shared" ca="1" si="221"/>
        <v>3.1393274370797455</v>
      </c>
    </row>
    <row r="2905" spans="1:6">
      <c r="A2905" s="1">
        <v>9130009</v>
      </c>
      <c r="B2905">
        <f t="shared" ca="1" si="218"/>
        <v>0.8478708351704799</v>
      </c>
      <c r="C2905" s="1">
        <f t="shared" ca="1" si="217"/>
        <v>30</v>
      </c>
      <c r="D2905" s="1">
        <f t="shared" ca="1" si="219"/>
        <v>53</v>
      </c>
      <c r="E2905" s="2">
        <f t="shared" ca="1" si="220"/>
        <v>42888</v>
      </c>
      <c r="F2905" s="6">
        <f t="shared" ca="1" si="221"/>
        <v>73.083622959280774</v>
      </c>
    </row>
    <row r="2906" spans="1:6">
      <c r="A2906" s="1">
        <v>9130012</v>
      </c>
      <c r="B2906">
        <f t="shared" ca="1" si="218"/>
        <v>0.99823229049877971</v>
      </c>
      <c r="C2906" s="1">
        <f t="shared" ca="1" si="217"/>
        <v>41</v>
      </c>
      <c r="D2906" s="1">
        <f t="shared" ca="1" si="219"/>
        <v>37</v>
      </c>
      <c r="E2906" s="2">
        <f t="shared" ca="1" si="220"/>
        <v>43032</v>
      </c>
      <c r="F2906" s="6">
        <f t="shared" ca="1" si="221"/>
        <v>7.613059313422851</v>
      </c>
    </row>
    <row r="2907" spans="1:6">
      <c r="A2907" s="1">
        <v>9130015</v>
      </c>
      <c r="B2907">
        <f t="shared" ca="1" si="218"/>
        <v>0.64841998168310577</v>
      </c>
      <c r="C2907" s="1">
        <f t="shared" ref="C2907:C2970" ca="1" si="222">ROUND(_xlfn.GAMMA.INV(RAND(),$J$11,$J$12)*100,0)+1</f>
        <v>14</v>
      </c>
      <c r="D2907" s="1">
        <f t="shared" ca="1" si="219"/>
        <v>576</v>
      </c>
      <c r="E2907" s="2">
        <f t="shared" ca="1" si="220"/>
        <v>42856</v>
      </c>
      <c r="F2907" s="6">
        <f t="shared" ca="1" si="221"/>
        <v>3.7191139252258467</v>
      </c>
    </row>
    <row r="2908" spans="1:6">
      <c r="A2908" s="1">
        <v>9130018</v>
      </c>
      <c r="B2908">
        <f t="shared" ca="1" si="218"/>
        <v>0.37800682589981693</v>
      </c>
      <c r="C2908" s="1">
        <f t="shared" ca="1" si="222"/>
        <v>62</v>
      </c>
      <c r="D2908" s="1">
        <f t="shared" ca="1" si="219"/>
        <v>235</v>
      </c>
      <c r="E2908" s="2">
        <f t="shared" ca="1" si="220"/>
        <v>42882</v>
      </c>
      <c r="F2908" s="6">
        <f t="shared" ca="1" si="221"/>
        <v>29.216632092351173</v>
      </c>
    </row>
    <row r="2909" spans="1:6">
      <c r="A2909" s="1">
        <v>9130021</v>
      </c>
      <c r="B2909">
        <f t="shared" ca="1" si="218"/>
        <v>0.70271784176450347</v>
      </c>
      <c r="C2909" s="1">
        <f t="shared" ca="1" si="222"/>
        <v>2</v>
      </c>
      <c r="D2909" s="1">
        <f t="shared" ca="1" si="219"/>
        <v>30</v>
      </c>
      <c r="E2909" s="2">
        <f t="shared" ca="1" si="220"/>
        <v>43200</v>
      </c>
      <c r="F2909" s="6">
        <f t="shared" ca="1" si="221"/>
        <v>8.1166059245183497</v>
      </c>
    </row>
    <row r="2910" spans="1:6">
      <c r="A2910" s="1">
        <v>9130024</v>
      </c>
      <c r="B2910">
        <f t="shared" ca="1" si="218"/>
        <v>0.8659700569328701</v>
      </c>
      <c r="C2910" s="1">
        <f t="shared" ca="1" si="222"/>
        <v>1</v>
      </c>
      <c r="D2910" s="1">
        <f t="shared" ca="1" si="219"/>
        <v>474</v>
      </c>
      <c r="E2910" s="2">
        <f t="shared" ca="1" si="220"/>
        <v>43404</v>
      </c>
      <c r="F2910" s="6">
        <f t="shared" ca="1" si="221"/>
        <v>67.240414172577601</v>
      </c>
    </row>
    <row r="2911" spans="1:6">
      <c r="A2911" s="1">
        <v>9130027</v>
      </c>
      <c r="B2911">
        <f t="shared" ca="1" si="218"/>
        <v>0.8035803300134059</v>
      </c>
      <c r="C2911" s="1">
        <f t="shared" ca="1" si="222"/>
        <v>15</v>
      </c>
      <c r="D2911" s="1">
        <f t="shared" ca="1" si="219"/>
        <v>284</v>
      </c>
      <c r="E2911" s="2">
        <f t="shared" ca="1" si="220"/>
        <v>42811</v>
      </c>
      <c r="F2911" s="6">
        <f t="shared" ca="1" si="221"/>
        <v>16.18249557400447</v>
      </c>
    </row>
    <row r="2912" spans="1:6">
      <c r="A2912" s="1">
        <v>9130030</v>
      </c>
      <c r="B2912">
        <f t="shared" ca="1" si="218"/>
        <v>1.703550786649688E-2</v>
      </c>
      <c r="C2912" s="1">
        <f t="shared" ca="1" si="222"/>
        <v>74</v>
      </c>
      <c r="D2912" s="1">
        <f t="shared" ca="1" si="219"/>
        <v>450</v>
      </c>
      <c r="E2912" s="2">
        <f t="shared" ca="1" si="220"/>
        <v>43363</v>
      </c>
      <c r="F2912" s="6">
        <f t="shared" ca="1" si="221"/>
        <v>287.75065268757589</v>
      </c>
    </row>
    <row r="2913" spans="1:6">
      <c r="A2913" s="1">
        <v>9130033</v>
      </c>
      <c r="B2913">
        <f t="shared" ca="1" si="218"/>
        <v>0.81191346406781706</v>
      </c>
      <c r="C2913" s="1">
        <f t="shared" ca="1" si="222"/>
        <v>3</v>
      </c>
      <c r="D2913" s="1">
        <f t="shared" ca="1" si="219"/>
        <v>263</v>
      </c>
      <c r="E2913" s="2">
        <f t="shared" ca="1" si="220"/>
        <v>43276</v>
      </c>
      <c r="F2913" s="6">
        <f t="shared" ca="1" si="221"/>
        <v>3.8849626837345306</v>
      </c>
    </row>
    <row r="2914" spans="1:6">
      <c r="A2914" s="1">
        <v>9130036</v>
      </c>
      <c r="B2914">
        <f t="shared" ca="1" si="218"/>
        <v>3.9459343223984034E-2</v>
      </c>
      <c r="C2914" s="1">
        <f t="shared" ca="1" si="222"/>
        <v>16</v>
      </c>
      <c r="D2914" s="1">
        <f t="shared" ca="1" si="219"/>
        <v>465</v>
      </c>
      <c r="E2914" s="2">
        <f t="shared" ca="1" si="220"/>
        <v>43442</v>
      </c>
      <c r="F2914" s="6">
        <f t="shared" ca="1" si="221"/>
        <v>51.88194419247899</v>
      </c>
    </row>
    <row r="2915" spans="1:6">
      <c r="A2915" s="1">
        <v>9130039</v>
      </c>
      <c r="B2915">
        <f t="shared" ca="1" si="218"/>
        <v>0.84302813289823064</v>
      </c>
      <c r="C2915" s="1">
        <f t="shared" ca="1" si="222"/>
        <v>14</v>
      </c>
      <c r="D2915" s="1">
        <f t="shared" ca="1" si="219"/>
        <v>576</v>
      </c>
      <c r="E2915" s="2">
        <f t="shared" ca="1" si="220"/>
        <v>43390</v>
      </c>
      <c r="F2915" s="6">
        <f t="shared" ca="1" si="221"/>
        <v>23.246062210369338</v>
      </c>
    </row>
    <row r="2916" spans="1:6">
      <c r="A2916" s="1">
        <v>9130042</v>
      </c>
      <c r="B2916">
        <f t="shared" ca="1" si="218"/>
        <v>0.85483145207107836</v>
      </c>
      <c r="C2916" s="1">
        <f t="shared" ca="1" si="222"/>
        <v>21</v>
      </c>
      <c r="D2916" s="1">
        <f t="shared" ca="1" si="219"/>
        <v>566</v>
      </c>
      <c r="E2916" s="2">
        <f t="shared" ca="1" si="220"/>
        <v>43285</v>
      </c>
      <c r="F2916" s="6">
        <f t="shared" ca="1" si="221"/>
        <v>13.266690846529848</v>
      </c>
    </row>
    <row r="2917" spans="1:6">
      <c r="A2917" s="1">
        <v>9130045</v>
      </c>
      <c r="B2917">
        <f t="shared" ca="1" si="218"/>
        <v>0.32620634127657677</v>
      </c>
      <c r="C2917" s="1">
        <f t="shared" ca="1" si="222"/>
        <v>180</v>
      </c>
      <c r="D2917" s="1">
        <f t="shared" ca="1" si="219"/>
        <v>387</v>
      </c>
      <c r="E2917" s="2">
        <f t="shared" ca="1" si="220"/>
        <v>42990</v>
      </c>
      <c r="F2917" s="6">
        <f t="shared" ca="1" si="221"/>
        <v>18.667554974525821</v>
      </c>
    </row>
    <row r="2918" spans="1:6">
      <c r="A2918" s="1">
        <v>9130048</v>
      </c>
      <c r="B2918">
        <f t="shared" ca="1" si="218"/>
        <v>0.43446532278109895</v>
      </c>
      <c r="C2918" s="1">
        <f t="shared" ca="1" si="222"/>
        <v>1</v>
      </c>
      <c r="D2918" s="1">
        <f t="shared" ca="1" si="219"/>
        <v>474</v>
      </c>
      <c r="E2918" s="2">
        <f t="shared" ca="1" si="220"/>
        <v>43009</v>
      </c>
      <c r="F2918" s="6">
        <f t="shared" ca="1" si="221"/>
        <v>37.446504798240198</v>
      </c>
    </row>
    <row r="2919" spans="1:6">
      <c r="A2919" s="1">
        <v>9130051</v>
      </c>
      <c r="B2919">
        <f t="shared" ca="1" si="218"/>
        <v>0.11724398170535033</v>
      </c>
      <c r="C2919" s="1">
        <f t="shared" ca="1" si="222"/>
        <v>17</v>
      </c>
      <c r="D2919" s="1">
        <f t="shared" ca="1" si="219"/>
        <v>165</v>
      </c>
      <c r="E2919" s="2">
        <f t="shared" ca="1" si="220"/>
        <v>43218</v>
      </c>
      <c r="F2919" s="6">
        <f t="shared" ca="1" si="221"/>
        <v>48.848716989358543</v>
      </c>
    </row>
    <row r="2920" spans="1:6">
      <c r="A2920" s="1">
        <v>9130054</v>
      </c>
      <c r="B2920">
        <f t="shared" ca="1" si="218"/>
        <v>5.7394259995349306E-2</v>
      </c>
      <c r="C2920" s="1">
        <f t="shared" ca="1" si="222"/>
        <v>1</v>
      </c>
      <c r="D2920" s="1">
        <f t="shared" ca="1" si="219"/>
        <v>474</v>
      </c>
      <c r="E2920" s="2">
        <f t="shared" ca="1" si="220"/>
        <v>43310</v>
      </c>
      <c r="F2920" s="6">
        <f t="shared" ca="1" si="221"/>
        <v>27.919596325181676</v>
      </c>
    </row>
    <row r="2921" spans="1:6">
      <c r="A2921" s="1">
        <v>9130057</v>
      </c>
      <c r="B2921">
        <f t="shared" ca="1" si="218"/>
        <v>0.75357229873498455</v>
      </c>
      <c r="C2921" s="1">
        <f t="shared" ca="1" si="222"/>
        <v>18</v>
      </c>
      <c r="D2921" s="1">
        <f t="shared" ca="1" si="219"/>
        <v>511</v>
      </c>
      <c r="E2921" s="2">
        <f t="shared" ca="1" si="220"/>
        <v>43127</v>
      </c>
      <c r="F2921" s="6">
        <f t="shared" ca="1" si="221"/>
        <v>39.794720918438337</v>
      </c>
    </row>
    <row r="2922" spans="1:6">
      <c r="A2922" s="1">
        <v>9130060</v>
      </c>
      <c r="B2922">
        <f t="shared" ca="1" si="218"/>
        <v>0.89553512671088942</v>
      </c>
      <c r="C2922" s="1">
        <f t="shared" ca="1" si="222"/>
        <v>19</v>
      </c>
      <c r="D2922" s="1">
        <f t="shared" ca="1" si="219"/>
        <v>42</v>
      </c>
      <c r="E2922" s="2">
        <f t="shared" ca="1" si="220"/>
        <v>42988</v>
      </c>
      <c r="F2922" s="6">
        <f t="shared" ca="1" si="221"/>
        <v>4.274887957512818</v>
      </c>
    </row>
    <row r="2923" spans="1:6">
      <c r="A2923" s="1">
        <v>9130063</v>
      </c>
      <c r="B2923">
        <f t="shared" ca="1" si="218"/>
        <v>0.30876991126425657</v>
      </c>
      <c r="C2923" s="1">
        <f t="shared" ca="1" si="222"/>
        <v>5</v>
      </c>
      <c r="D2923" s="1">
        <f t="shared" ca="1" si="219"/>
        <v>363</v>
      </c>
      <c r="E2923" s="2">
        <f t="shared" ca="1" si="220"/>
        <v>43302</v>
      </c>
      <c r="F2923" s="6">
        <f t="shared" ca="1" si="221"/>
        <v>14.320590905403069</v>
      </c>
    </row>
    <row r="2924" spans="1:6">
      <c r="A2924" s="1">
        <v>9130066</v>
      </c>
      <c r="B2924">
        <f t="shared" ca="1" si="218"/>
        <v>0.33360577922984602</v>
      </c>
      <c r="C2924" s="1">
        <f t="shared" ca="1" si="222"/>
        <v>47</v>
      </c>
      <c r="D2924" s="1">
        <f t="shared" ca="1" si="219"/>
        <v>515</v>
      </c>
      <c r="E2924" s="2">
        <f t="shared" ca="1" si="220"/>
        <v>43181</v>
      </c>
      <c r="F2924" s="6">
        <f t="shared" ca="1" si="221"/>
        <v>314.5834068710144</v>
      </c>
    </row>
    <row r="2925" spans="1:6">
      <c r="A2925" s="1">
        <v>9130069</v>
      </c>
      <c r="B2925">
        <f t="shared" ca="1" si="218"/>
        <v>0.95496137556095562</v>
      </c>
      <c r="C2925" s="1">
        <f t="shared" ca="1" si="222"/>
        <v>34</v>
      </c>
      <c r="D2925" s="1">
        <f t="shared" ca="1" si="219"/>
        <v>503</v>
      </c>
      <c r="E2925" s="2">
        <f t="shared" ca="1" si="220"/>
        <v>43032</v>
      </c>
      <c r="F2925" s="6">
        <f t="shared" ca="1" si="221"/>
        <v>3.0010891316299211</v>
      </c>
    </row>
    <row r="2926" spans="1:6">
      <c r="A2926" s="1">
        <v>9130072</v>
      </c>
      <c r="B2926">
        <f t="shared" ca="1" si="218"/>
        <v>0.73147079018823058</v>
      </c>
      <c r="C2926" s="1">
        <f t="shared" ca="1" si="222"/>
        <v>55</v>
      </c>
      <c r="D2926" s="1">
        <f t="shared" ca="1" si="219"/>
        <v>220</v>
      </c>
      <c r="E2926" s="2">
        <f t="shared" ca="1" si="220"/>
        <v>43206</v>
      </c>
      <c r="F2926" s="6">
        <f t="shared" ca="1" si="221"/>
        <v>6.1227501511571418</v>
      </c>
    </row>
    <row r="2927" spans="1:6">
      <c r="A2927" s="1">
        <v>9130075</v>
      </c>
      <c r="B2927">
        <f t="shared" ca="1" si="218"/>
        <v>0.97848429541049076</v>
      </c>
      <c r="C2927" s="1">
        <f t="shared" ca="1" si="222"/>
        <v>23</v>
      </c>
      <c r="D2927" s="1">
        <f t="shared" ca="1" si="219"/>
        <v>516</v>
      </c>
      <c r="E2927" s="2">
        <f t="shared" ca="1" si="220"/>
        <v>43260</v>
      </c>
      <c r="F2927" s="6">
        <f t="shared" ca="1" si="221"/>
        <v>15.259892161590468</v>
      </c>
    </row>
    <row r="2928" spans="1:6">
      <c r="A2928" s="1">
        <v>9130078</v>
      </c>
      <c r="B2928">
        <f t="shared" ca="1" si="218"/>
        <v>0.18109779762441192</v>
      </c>
      <c r="C2928" s="1">
        <f t="shared" ca="1" si="222"/>
        <v>168</v>
      </c>
      <c r="D2928" s="1">
        <f t="shared" ca="1" si="219"/>
        <v>125</v>
      </c>
      <c r="E2928" s="2">
        <f t="shared" ca="1" si="220"/>
        <v>42938</v>
      </c>
      <c r="F2928" s="6">
        <f t="shared" ca="1" si="221"/>
        <v>10.48310555579568</v>
      </c>
    </row>
    <row r="2929" spans="1:6">
      <c r="A2929" s="1">
        <v>9130081</v>
      </c>
      <c r="B2929">
        <f t="shared" ca="1" si="218"/>
        <v>0.43652533230368373</v>
      </c>
      <c r="C2929" s="1">
        <f t="shared" ca="1" si="222"/>
        <v>10</v>
      </c>
      <c r="D2929" s="1">
        <f t="shared" ca="1" si="219"/>
        <v>236</v>
      </c>
      <c r="E2929" s="2">
        <f t="shared" ca="1" si="220"/>
        <v>43134</v>
      </c>
      <c r="F2929" s="6">
        <f t="shared" ca="1" si="221"/>
        <v>118.95201028804831</v>
      </c>
    </row>
    <row r="2930" spans="1:6">
      <c r="A2930" s="1">
        <v>9130084</v>
      </c>
      <c r="B2930">
        <f t="shared" ca="1" si="218"/>
        <v>0.4304737602061619</v>
      </c>
      <c r="C2930" s="1">
        <f t="shared" ca="1" si="222"/>
        <v>162</v>
      </c>
      <c r="D2930" s="1">
        <f t="shared" ca="1" si="219"/>
        <v>186</v>
      </c>
      <c r="E2930" s="2">
        <f t="shared" ca="1" si="220"/>
        <v>42853</v>
      </c>
      <c r="F2930" s="6">
        <f t="shared" ca="1" si="221"/>
        <v>5.6741765083512909</v>
      </c>
    </row>
    <row r="2931" spans="1:6">
      <c r="A2931" s="1">
        <v>9130087</v>
      </c>
      <c r="B2931">
        <f t="shared" ca="1" si="218"/>
        <v>7.820235702508771E-2</v>
      </c>
      <c r="C2931" s="1">
        <f t="shared" ca="1" si="222"/>
        <v>15</v>
      </c>
      <c r="D2931" s="1">
        <f t="shared" ca="1" si="219"/>
        <v>284</v>
      </c>
      <c r="E2931" s="2">
        <f t="shared" ca="1" si="220"/>
        <v>43051</v>
      </c>
      <c r="F2931" s="6">
        <f t="shared" ca="1" si="221"/>
        <v>12.880908302243768</v>
      </c>
    </row>
    <row r="2932" spans="1:6">
      <c r="A2932" s="1">
        <v>9130090</v>
      </c>
      <c r="B2932">
        <f t="shared" ca="1" si="218"/>
        <v>0.12002516755292869</v>
      </c>
      <c r="C2932" s="1">
        <f t="shared" ca="1" si="222"/>
        <v>1</v>
      </c>
      <c r="D2932" s="1">
        <f t="shared" ca="1" si="219"/>
        <v>474</v>
      </c>
      <c r="E2932" s="2">
        <f t="shared" ca="1" si="220"/>
        <v>43095</v>
      </c>
      <c r="F2932" s="6">
        <f t="shared" ca="1" si="221"/>
        <v>27.086730974766507</v>
      </c>
    </row>
    <row r="2933" spans="1:6">
      <c r="A2933" s="1">
        <v>9130093</v>
      </c>
      <c r="B2933">
        <f t="shared" ca="1" si="218"/>
        <v>0.75310508915400942</v>
      </c>
      <c r="C2933" s="1">
        <f t="shared" ca="1" si="222"/>
        <v>32</v>
      </c>
      <c r="D2933" s="1">
        <f t="shared" ca="1" si="219"/>
        <v>497</v>
      </c>
      <c r="E2933" s="2">
        <f t="shared" ca="1" si="220"/>
        <v>43256</v>
      </c>
      <c r="F2933" s="6">
        <f t="shared" ca="1" si="221"/>
        <v>436.58804995175325</v>
      </c>
    </row>
    <row r="2934" spans="1:6">
      <c r="A2934" s="1">
        <v>9130096</v>
      </c>
      <c r="B2934">
        <f t="shared" ca="1" si="218"/>
        <v>0.11310575889106855</v>
      </c>
      <c r="C2934" s="1">
        <f t="shared" ca="1" si="222"/>
        <v>13</v>
      </c>
      <c r="D2934" s="1">
        <f t="shared" ca="1" si="219"/>
        <v>80</v>
      </c>
      <c r="E2934" s="2">
        <f t="shared" ca="1" si="220"/>
        <v>43148</v>
      </c>
      <c r="F2934" s="6">
        <f t="shared" ca="1" si="221"/>
        <v>261.53615679087312</v>
      </c>
    </row>
    <row r="2935" spans="1:6">
      <c r="A2935" s="1">
        <v>9130099</v>
      </c>
      <c r="B2935">
        <f t="shared" ca="1" si="218"/>
        <v>0.4754030628051652</v>
      </c>
      <c r="C2935" s="1">
        <f t="shared" ca="1" si="222"/>
        <v>46</v>
      </c>
      <c r="D2935" s="1">
        <f t="shared" ca="1" si="219"/>
        <v>192</v>
      </c>
      <c r="E2935" s="2">
        <f t="shared" ca="1" si="220"/>
        <v>42812</v>
      </c>
      <c r="F2935" s="6">
        <f t="shared" ca="1" si="221"/>
        <v>258.99368515510798</v>
      </c>
    </row>
    <row r="2936" spans="1:6">
      <c r="A2936" s="1">
        <v>9130102</v>
      </c>
      <c r="B2936">
        <f t="shared" ca="1" si="218"/>
        <v>0.46619489565228756</v>
      </c>
      <c r="C2936" s="1">
        <f t="shared" ca="1" si="222"/>
        <v>80</v>
      </c>
      <c r="D2936" s="1">
        <f t="shared" ca="1" si="219"/>
        <v>163</v>
      </c>
      <c r="E2936" s="2">
        <f t="shared" ca="1" si="220"/>
        <v>43321</v>
      </c>
      <c r="F2936" s="6">
        <f t="shared" ca="1" si="221"/>
        <v>47.138196011756307</v>
      </c>
    </row>
    <row r="2937" spans="1:6">
      <c r="A2937" s="1">
        <v>9130105</v>
      </c>
      <c r="B2937">
        <f t="shared" ca="1" si="218"/>
        <v>0.57392018349560081</v>
      </c>
      <c r="C2937" s="1">
        <f t="shared" ca="1" si="222"/>
        <v>59</v>
      </c>
      <c r="D2937" s="1">
        <f t="shared" ca="1" si="219"/>
        <v>95</v>
      </c>
      <c r="E2937" s="2">
        <f t="shared" ca="1" si="220"/>
        <v>42791</v>
      </c>
      <c r="F2937" s="6">
        <f t="shared" ca="1" si="221"/>
        <v>3.3518105367373847</v>
      </c>
    </row>
    <row r="2938" spans="1:6">
      <c r="A2938" s="1">
        <v>9130108</v>
      </c>
      <c r="B2938">
        <f t="shared" ca="1" si="218"/>
        <v>0.66356240576610304</v>
      </c>
      <c r="C2938" s="1">
        <f t="shared" ca="1" si="222"/>
        <v>26</v>
      </c>
      <c r="D2938" s="1">
        <f t="shared" ca="1" si="219"/>
        <v>88</v>
      </c>
      <c r="E2938" s="2">
        <f t="shared" ca="1" si="220"/>
        <v>42950</v>
      </c>
      <c r="F2938" s="6">
        <f t="shared" ca="1" si="221"/>
        <v>136.99775301498238</v>
      </c>
    </row>
    <row r="2939" spans="1:6">
      <c r="A2939" s="1">
        <v>9130111</v>
      </c>
      <c r="B2939">
        <f t="shared" ca="1" si="218"/>
        <v>0.83571835522727922</v>
      </c>
      <c r="C2939" s="1">
        <f t="shared" ca="1" si="222"/>
        <v>1</v>
      </c>
      <c r="D2939" s="1">
        <f t="shared" ca="1" si="219"/>
        <v>474</v>
      </c>
      <c r="E2939" s="2">
        <f t="shared" ca="1" si="220"/>
        <v>43161</v>
      </c>
      <c r="F2939" s="6">
        <f t="shared" ca="1" si="221"/>
        <v>39.610520816302561</v>
      </c>
    </row>
    <row r="2940" spans="1:6">
      <c r="A2940" s="1">
        <v>9130114</v>
      </c>
      <c r="B2940">
        <f t="shared" ca="1" si="218"/>
        <v>0.5200895879147881</v>
      </c>
      <c r="C2940" s="1">
        <f t="shared" ca="1" si="222"/>
        <v>39</v>
      </c>
      <c r="D2940" s="1">
        <f t="shared" ca="1" si="219"/>
        <v>402</v>
      </c>
      <c r="E2940" s="2">
        <f t="shared" ca="1" si="220"/>
        <v>42947</v>
      </c>
      <c r="F2940" s="6">
        <f t="shared" ca="1" si="221"/>
        <v>11.447713989869047</v>
      </c>
    </row>
    <row r="2941" spans="1:6">
      <c r="A2941" s="1">
        <v>9130117</v>
      </c>
      <c r="B2941">
        <f t="shared" ref="B2941:B3004" ca="1" si="223">RAND()</f>
        <v>0.57516649694385713</v>
      </c>
      <c r="C2941" s="1">
        <f t="shared" ca="1" si="222"/>
        <v>1</v>
      </c>
      <c r="D2941" s="1">
        <f t="shared" ref="D2941:D3004" ca="1" si="224">VLOOKUP(SMALL($B$2:$B$601,C2941),$B$2:$C$601,2,FALSE)</f>
        <v>474</v>
      </c>
      <c r="E2941" s="2">
        <f t="shared" ca="1" si="220"/>
        <v>43114</v>
      </c>
      <c r="F2941" s="6">
        <f t="shared" ca="1" si="221"/>
        <v>59.554893284628228</v>
      </c>
    </row>
    <row r="2942" spans="1:6">
      <c r="A2942" s="1">
        <v>9130120</v>
      </c>
      <c r="B2942">
        <f t="shared" ca="1" si="223"/>
        <v>0.44517113233456984</v>
      </c>
      <c r="C2942" s="1">
        <f t="shared" ca="1" si="222"/>
        <v>52</v>
      </c>
      <c r="D2942" s="1">
        <f t="shared" ca="1" si="224"/>
        <v>574</v>
      </c>
      <c r="E2942" s="2">
        <f t="shared" ca="1" si="220"/>
        <v>43060</v>
      </c>
      <c r="F2942" s="6">
        <f t="shared" ca="1" si="221"/>
        <v>20.945008606787681</v>
      </c>
    </row>
    <row r="2943" spans="1:6">
      <c r="A2943" s="1">
        <v>9130123</v>
      </c>
      <c r="B2943">
        <f t="shared" ca="1" si="223"/>
        <v>0.65634195901566517</v>
      </c>
      <c r="C2943" s="1">
        <f t="shared" ca="1" si="222"/>
        <v>33</v>
      </c>
      <c r="D2943" s="1">
        <f t="shared" ca="1" si="224"/>
        <v>501</v>
      </c>
      <c r="E2943" s="2">
        <f t="shared" ca="1" si="220"/>
        <v>43233</v>
      </c>
      <c r="F2943" s="6">
        <f t="shared" ca="1" si="221"/>
        <v>22.512080924633878</v>
      </c>
    </row>
    <row r="2944" spans="1:6">
      <c r="A2944" s="1">
        <v>9130126</v>
      </c>
      <c r="B2944">
        <f t="shared" ca="1" si="223"/>
        <v>0.1172534582230732</v>
      </c>
      <c r="C2944" s="1">
        <f t="shared" ca="1" si="222"/>
        <v>9</v>
      </c>
      <c r="D2944" s="1">
        <f t="shared" ca="1" si="224"/>
        <v>278</v>
      </c>
      <c r="E2944" s="2">
        <f t="shared" ca="1" si="220"/>
        <v>43432</v>
      </c>
      <c r="F2944" s="6">
        <f t="shared" ca="1" si="221"/>
        <v>268.90727957448769</v>
      </c>
    </row>
    <row r="2945" spans="1:6">
      <c r="A2945" s="1">
        <v>9130129</v>
      </c>
      <c r="B2945">
        <f t="shared" ca="1" si="223"/>
        <v>0.59454606722100356</v>
      </c>
      <c r="C2945" s="1">
        <f t="shared" ca="1" si="222"/>
        <v>5</v>
      </c>
      <c r="D2945" s="1">
        <f t="shared" ca="1" si="224"/>
        <v>363</v>
      </c>
      <c r="E2945" s="2">
        <f t="shared" ca="1" si="220"/>
        <v>42813</v>
      </c>
      <c r="F2945" s="6">
        <f t="shared" ca="1" si="221"/>
        <v>164.46407656031818</v>
      </c>
    </row>
    <row r="2946" spans="1:6">
      <c r="A2946" s="1">
        <v>9130132</v>
      </c>
      <c r="B2946">
        <f t="shared" ca="1" si="223"/>
        <v>0.44456485809380719</v>
      </c>
      <c r="C2946" s="1">
        <f t="shared" ca="1" si="222"/>
        <v>113</v>
      </c>
      <c r="D2946" s="1">
        <f t="shared" ca="1" si="224"/>
        <v>330</v>
      </c>
      <c r="E2946" s="2">
        <f t="shared" ca="1" si="220"/>
        <v>43061</v>
      </c>
      <c r="F2946" s="6">
        <f t="shared" ca="1" si="221"/>
        <v>9.2437096163002188</v>
      </c>
    </row>
    <row r="2947" spans="1:6">
      <c r="A2947" s="1">
        <v>9130135</v>
      </c>
      <c r="B2947">
        <f t="shared" ca="1" si="223"/>
        <v>0.99484222689700874</v>
      </c>
      <c r="C2947" s="1">
        <f t="shared" ca="1" si="222"/>
        <v>65</v>
      </c>
      <c r="D2947" s="1">
        <f t="shared" ca="1" si="224"/>
        <v>463</v>
      </c>
      <c r="E2947" s="2">
        <f t="shared" ref="E2947:E3010" ca="1" si="225">RANDBETWEEN("1/1/17","2/1/19")</f>
        <v>43434</v>
      </c>
      <c r="F2947" s="6">
        <f t="shared" ref="F2947:F3010" ca="1" si="226">_xlfn.GAMMA.INV(RAND(),$J$6,$J$7)*100+3</f>
        <v>10.682084245018784</v>
      </c>
    </row>
    <row r="2948" spans="1:6">
      <c r="A2948" s="1">
        <v>9130138</v>
      </c>
      <c r="B2948">
        <f t="shared" ca="1" si="223"/>
        <v>0.82161508849661768</v>
      </c>
      <c r="C2948" s="1">
        <f t="shared" ca="1" si="222"/>
        <v>104</v>
      </c>
      <c r="D2948" s="1">
        <f t="shared" ca="1" si="224"/>
        <v>560</v>
      </c>
      <c r="E2948" s="2">
        <f t="shared" ca="1" si="225"/>
        <v>43322</v>
      </c>
      <c r="F2948" s="6">
        <f t="shared" ca="1" si="226"/>
        <v>72.466055369739621</v>
      </c>
    </row>
    <row r="2949" spans="1:6">
      <c r="A2949" s="1">
        <v>9130141</v>
      </c>
      <c r="B2949">
        <f t="shared" ca="1" si="223"/>
        <v>0.51463307272600212</v>
      </c>
      <c r="C2949" s="1">
        <f t="shared" ca="1" si="222"/>
        <v>8</v>
      </c>
      <c r="D2949" s="1">
        <f t="shared" ca="1" si="224"/>
        <v>456</v>
      </c>
      <c r="E2949" s="2">
        <f t="shared" ca="1" si="225"/>
        <v>43470</v>
      </c>
      <c r="F2949" s="6">
        <f t="shared" ca="1" si="226"/>
        <v>29.425908523252716</v>
      </c>
    </row>
    <row r="2950" spans="1:6">
      <c r="A2950" s="1">
        <v>9130144</v>
      </c>
      <c r="B2950">
        <f t="shared" ca="1" si="223"/>
        <v>0.11529320538380228</v>
      </c>
      <c r="C2950" s="1">
        <f t="shared" ca="1" si="222"/>
        <v>39</v>
      </c>
      <c r="D2950" s="1">
        <f t="shared" ca="1" si="224"/>
        <v>402</v>
      </c>
      <c r="E2950" s="2">
        <f t="shared" ca="1" si="225"/>
        <v>42847</v>
      </c>
      <c r="F2950" s="6">
        <f t="shared" ca="1" si="226"/>
        <v>89.288157243947921</v>
      </c>
    </row>
    <row r="2951" spans="1:6">
      <c r="A2951" s="1">
        <v>9130147</v>
      </c>
      <c r="B2951">
        <f t="shared" ca="1" si="223"/>
        <v>2.6562681352365503E-2</v>
      </c>
      <c r="C2951" s="1">
        <f t="shared" ca="1" si="222"/>
        <v>126</v>
      </c>
      <c r="D2951" s="1">
        <f t="shared" ca="1" si="224"/>
        <v>587</v>
      </c>
      <c r="E2951" s="2">
        <f t="shared" ca="1" si="225"/>
        <v>42839</v>
      </c>
      <c r="F2951" s="6">
        <f t="shared" ca="1" si="226"/>
        <v>122.26021153518114</v>
      </c>
    </row>
    <row r="2952" spans="1:6">
      <c r="A2952" s="1">
        <v>9130150</v>
      </c>
      <c r="B2952">
        <f t="shared" ca="1" si="223"/>
        <v>0.90548563931354942</v>
      </c>
      <c r="C2952" s="1">
        <f t="shared" ca="1" si="222"/>
        <v>41</v>
      </c>
      <c r="D2952" s="1">
        <f t="shared" ca="1" si="224"/>
        <v>37</v>
      </c>
      <c r="E2952" s="2">
        <f t="shared" ca="1" si="225"/>
        <v>43291</v>
      </c>
      <c r="F2952" s="6">
        <f t="shared" ca="1" si="226"/>
        <v>95.230228031899614</v>
      </c>
    </row>
    <row r="2953" spans="1:6">
      <c r="A2953" s="1">
        <v>9130153</v>
      </c>
      <c r="B2953">
        <f t="shared" ca="1" si="223"/>
        <v>0.42471196790939647</v>
      </c>
      <c r="C2953" s="1">
        <f t="shared" ca="1" si="222"/>
        <v>34</v>
      </c>
      <c r="D2953" s="1">
        <f t="shared" ca="1" si="224"/>
        <v>503</v>
      </c>
      <c r="E2953" s="2">
        <f t="shared" ca="1" si="225"/>
        <v>42899</v>
      </c>
      <c r="F2953" s="6">
        <f t="shared" ca="1" si="226"/>
        <v>13.939697414509622</v>
      </c>
    </row>
    <row r="2954" spans="1:6">
      <c r="A2954" s="1">
        <v>9130156</v>
      </c>
      <c r="B2954">
        <f t="shared" ca="1" si="223"/>
        <v>0.59611319861226031</v>
      </c>
      <c r="C2954" s="1">
        <f t="shared" ca="1" si="222"/>
        <v>35</v>
      </c>
      <c r="D2954" s="1">
        <f t="shared" ca="1" si="224"/>
        <v>423</v>
      </c>
      <c r="E2954" s="2">
        <f t="shared" ca="1" si="225"/>
        <v>42896</v>
      </c>
      <c r="F2954" s="6">
        <f t="shared" ca="1" si="226"/>
        <v>4.9788415091860321</v>
      </c>
    </row>
    <row r="2955" spans="1:6">
      <c r="A2955" s="1">
        <v>9130159</v>
      </c>
      <c r="B2955">
        <f t="shared" ca="1" si="223"/>
        <v>0.52204106487163515</v>
      </c>
      <c r="C2955" s="1">
        <f t="shared" ca="1" si="222"/>
        <v>160</v>
      </c>
      <c r="D2955" s="1">
        <f t="shared" ca="1" si="224"/>
        <v>239</v>
      </c>
      <c r="E2955" s="2">
        <f t="shared" ca="1" si="225"/>
        <v>43020</v>
      </c>
      <c r="F2955" s="6">
        <f t="shared" ca="1" si="226"/>
        <v>6.4535587643793129</v>
      </c>
    </row>
    <row r="2956" spans="1:6">
      <c r="A2956" s="1">
        <v>9130162</v>
      </c>
      <c r="B2956">
        <f t="shared" ca="1" si="223"/>
        <v>0.12619646428031039</v>
      </c>
      <c r="C2956" s="1">
        <f t="shared" ca="1" si="222"/>
        <v>93</v>
      </c>
      <c r="D2956" s="1">
        <f t="shared" ca="1" si="224"/>
        <v>518</v>
      </c>
      <c r="E2956" s="2">
        <f t="shared" ca="1" si="225"/>
        <v>42788</v>
      </c>
      <c r="F2956" s="6">
        <f t="shared" ca="1" si="226"/>
        <v>4.6566098752265637</v>
      </c>
    </row>
    <row r="2957" spans="1:6">
      <c r="A2957" s="1">
        <v>9130165</v>
      </c>
      <c r="B2957">
        <f t="shared" ca="1" si="223"/>
        <v>0.82414877617529292</v>
      </c>
      <c r="C2957" s="1">
        <f t="shared" ca="1" si="222"/>
        <v>75</v>
      </c>
      <c r="D2957" s="1">
        <f t="shared" ca="1" si="224"/>
        <v>599</v>
      </c>
      <c r="E2957" s="2">
        <f t="shared" ca="1" si="225"/>
        <v>43117</v>
      </c>
      <c r="F2957" s="6">
        <f t="shared" ca="1" si="226"/>
        <v>78.777480020076666</v>
      </c>
    </row>
    <row r="2958" spans="1:6">
      <c r="A2958" s="1">
        <v>9130168</v>
      </c>
      <c r="B2958">
        <f t="shared" ca="1" si="223"/>
        <v>0.81526057185462364</v>
      </c>
      <c r="C2958" s="1">
        <f t="shared" ca="1" si="222"/>
        <v>59</v>
      </c>
      <c r="D2958" s="1">
        <f t="shared" ca="1" si="224"/>
        <v>95</v>
      </c>
      <c r="E2958" s="2">
        <f t="shared" ca="1" si="225"/>
        <v>43215</v>
      </c>
      <c r="F2958" s="6">
        <f t="shared" ca="1" si="226"/>
        <v>5.1408996614579916</v>
      </c>
    </row>
    <row r="2959" spans="1:6">
      <c r="A2959" s="1">
        <v>9130171</v>
      </c>
      <c r="B2959">
        <f t="shared" ca="1" si="223"/>
        <v>0.95726592302011204</v>
      </c>
      <c r="C2959" s="1">
        <f t="shared" ca="1" si="222"/>
        <v>9</v>
      </c>
      <c r="D2959" s="1">
        <f t="shared" ca="1" si="224"/>
        <v>278</v>
      </c>
      <c r="E2959" s="2">
        <f t="shared" ca="1" si="225"/>
        <v>43009</v>
      </c>
      <c r="F2959" s="6">
        <f t="shared" ca="1" si="226"/>
        <v>103.9545189384072</v>
      </c>
    </row>
    <row r="2960" spans="1:6">
      <c r="A2960" s="1">
        <v>9130174</v>
      </c>
      <c r="B2960">
        <f t="shared" ca="1" si="223"/>
        <v>0.67048208677377741</v>
      </c>
      <c r="C2960" s="1">
        <f t="shared" ca="1" si="222"/>
        <v>20</v>
      </c>
      <c r="D2960" s="1">
        <f t="shared" ca="1" si="224"/>
        <v>444</v>
      </c>
      <c r="E2960" s="2">
        <f t="shared" ca="1" si="225"/>
        <v>43136</v>
      </c>
      <c r="F2960" s="6">
        <f t="shared" ca="1" si="226"/>
        <v>6.2075174839716887</v>
      </c>
    </row>
    <row r="2961" spans="1:6">
      <c r="A2961" s="1">
        <v>9130177</v>
      </c>
      <c r="B2961">
        <f t="shared" ca="1" si="223"/>
        <v>0.22576598747731058</v>
      </c>
      <c r="C2961" s="1">
        <f t="shared" ca="1" si="222"/>
        <v>1</v>
      </c>
      <c r="D2961" s="1">
        <f t="shared" ca="1" si="224"/>
        <v>474</v>
      </c>
      <c r="E2961" s="2">
        <f t="shared" ca="1" si="225"/>
        <v>42858</v>
      </c>
      <c r="F2961" s="6">
        <f t="shared" ca="1" si="226"/>
        <v>8.3674632412041099</v>
      </c>
    </row>
    <row r="2962" spans="1:6">
      <c r="A2962" s="1">
        <v>9130180</v>
      </c>
      <c r="B2962">
        <f t="shared" ca="1" si="223"/>
        <v>0.70835436540714491</v>
      </c>
      <c r="C2962" s="1">
        <f t="shared" ca="1" si="222"/>
        <v>6</v>
      </c>
      <c r="D2962" s="1">
        <f t="shared" ca="1" si="224"/>
        <v>208</v>
      </c>
      <c r="E2962" s="2">
        <f t="shared" ca="1" si="225"/>
        <v>42925</v>
      </c>
      <c r="F2962" s="6">
        <f t="shared" ca="1" si="226"/>
        <v>47.580450350322494</v>
      </c>
    </row>
    <row r="2963" spans="1:6">
      <c r="A2963" s="1">
        <v>9130183</v>
      </c>
      <c r="B2963">
        <f t="shared" ca="1" si="223"/>
        <v>0.60204564024508289</v>
      </c>
      <c r="C2963" s="1">
        <f t="shared" ca="1" si="222"/>
        <v>481</v>
      </c>
      <c r="D2963" s="1">
        <f t="shared" ca="1" si="224"/>
        <v>123</v>
      </c>
      <c r="E2963" s="2">
        <f t="shared" ca="1" si="225"/>
        <v>43475</v>
      </c>
      <c r="F2963" s="6">
        <f t="shared" ca="1" si="226"/>
        <v>3.0009176935397548</v>
      </c>
    </row>
    <row r="2964" spans="1:6">
      <c r="A2964" s="1">
        <v>9130186</v>
      </c>
      <c r="B2964">
        <f t="shared" ca="1" si="223"/>
        <v>0.7566500867109035</v>
      </c>
      <c r="C2964" s="1">
        <f t="shared" ca="1" si="222"/>
        <v>138</v>
      </c>
      <c r="D2964" s="1">
        <f t="shared" ca="1" si="224"/>
        <v>406</v>
      </c>
      <c r="E2964" s="2">
        <f t="shared" ca="1" si="225"/>
        <v>43405</v>
      </c>
      <c r="F2964" s="6">
        <f t="shared" ca="1" si="226"/>
        <v>19.363809590751615</v>
      </c>
    </row>
    <row r="2965" spans="1:6">
      <c r="A2965" s="1">
        <v>9130189</v>
      </c>
      <c r="B2965">
        <f t="shared" ca="1" si="223"/>
        <v>3.1153612818869303E-2</v>
      </c>
      <c r="C2965" s="1">
        <f t="shared" ca="1" si="222"/>
        <v>60</v>
      </c>
      <c r="D2965" s="1">
        <f t="shared" ca="1" si="224"/>
        <v>422</v>
      </c>
      <c r="E2965" s="2">
        <f t="shared" ca="1" si="225"/>
        <v>43475</v>
      </c>
      <c r="F2965" s="6">
        <f t="shared" ca="1" si="226"/>
        <v>5.4308326257048112</v>
      </c>
    </row>
    <row r="2966" spans="1:6">
      <c r="A2966" s="1">
        <v>9130192</v>
      </c>
      <c r="B2966">
        <f t="shared" ca="1" si="223"/>
        <v>0.70646848178445731</v>
      </c>
      <c r="C2966" s="1">
        <f t="shared" ca="1" si="222"/>
        <v>41</v>
      </c>
      <c r="D2966" s="1">
        <f t="shared" ca="1" si="224"/>
        <v>37</v>
      </c>
      <c r="E2966" s="2">
        <f t="shared" ca="1" si="225"/>
        <v>43028</v>
      </c>
      <c r="F2966" s="6">
        <f t="shared" ca="1" si="226"/>
        <v>5.4623972233682787</v>
      </c>
    </row>
    <row r="2967" spans="1:6">
      <c r="A2967" s="1">
        <v>9130195</v>
      </c>
      <c r="B2967">
        <f t="shared" ca="1" si="223"/>
        <v>0.65262115771149798</v>
      </c>
      <c r="C2967" s="1">
        <f t="shared" ca="1" si="222"/>
        <v>3</v>
      </c>
      <c r="D2967" s="1">
        <f t="shared" ca="1" si="224"/>
        <v>263</v>
      </c>
      <c r="E2967" s="2">
        <f t="shared" ca="1" si="225"/>
        <v>43173</v>
      </c>
      <c r="F2967" s="6">
        <f t="shared" ca="1" si="226"/>
        <v>3.0002871370528346</v>
      </c>
    </row>
    <row r="2968" spans="1:6">
      <c r="A2968" s="1">
        <v>9130198</v>
      </c>
      <c r="B2968">
        <f t="shared" ca="1" si="223"/>
        <v>0.25482684061644545</v>
      </c>
      <c r="C2968" s="1">
        <f t="shared" ca="1" si="222"/>
        <v>248</v>
      </c>
      <c r="D2968" s="1">
        <f t="shared" ca="1" si="224"/>
        <v>260</v>
      </c>
      <c r="E2968" s="2">
        <f t="shared" ca="1" si="225"/>
        <v>43440</v>
      </c>
      <c r="F2968" s="6">
        <f t="shared" ca="1" si="226"/>
        <v>11.396143530085492</v>
      </c>
    </row>
    <row r="2969" spans="1:6">
      <c r="A2969" s="1">
        <v>9130201</v>
      </c>
      <c r="B2969">
        <f t="shared" ca="1" si="223"/>
        <v>0.97183945929769033</v>
      </c>
      <c r="C2969" s="1">
        <f t="shared" ca="1" si="222"/>
        <v>10</v>
      </c>
      <c r="D2969" s="1">
        <f t="shared" ca="1" si="224"/>
        <v>236</v>
      </c>
      <c r="E2969" s="2">
        <f t="shared" ca="1" si="225"/>
        <v>42949</v>
      </c>
      <c r="F2969" s="6">
        <f t="shared" ca="1" si="226"/>
        <v>4.6203550463769885</v>
      </c>
    </row>
    <row r="2970" spans="1:6">
      <c r="A2970" s="1">
        <v>9130204</v>
      </c>
      <c r="B2970">
        <f t="shared" ca="1" si="223"/>
        <v>0.27610894742457581</v>
      </c>
      <c r="C2970" s="1">
        <f t="shared" ca="1" si="222"/>
        <v>13</v>
      </c>
      <c r="D2970" s="1">
        <f t="shared" ca="1" si="224"/>
        <v>80</v>
      </c>
      <c r="E2970" s="2">
        <f t="shared" ca="1" si="225"/>
        <v>43270</v>
      </c>
      <c r="F2970" s="6">
        <f t="shared" ca="1" si="226"/>
        <v>17.258174422798717</v>
      </c>
    </row>
    <row r="2971" spans="1:6">
      <c r="A2971" s="1">
        <v>9130207</v>
      </c>
      <c r="B2971">
        <f t="shared" ca="1" si="223"/>
        <v>0.96851009094157003</v>
      </c>
      <c r="C2971" s="1">
        <f t="shared" ref="C2971:C3034" ca="1" si="227">ROUND(_xlfn.GAMMA.INV(RAND(),$J$11,$J$12)*100,0)+1</f>
        <v>15</v>
      </c>
      <c r="D2971" s="1">
        <f t="shared" ca="1" si="224"/>
        <v>284</v>
      </c>
      <c r="E2971" s="2">
        <f t="shared" ca="1" si="225"/>
        <v>43414</v>
      </c>
      <c r="F2971" s="6">
        <f t="shared" ca="1" si="226"/>
        <v>3.9367257307232832</v>
      </c>
    </row>
    <row r="2972" spans="1:6">
      <c r="A2972" s="1">
        <v>9130210</v>
      </c>
      <c r="B2972">
        <f t="shared" ca="1" si="223"/>
        <v>0.26718870842448383</v>
      </c>
      <c r="C2972" s="1">
        <f t="shared" ca="1" si="227"/>
        <v>37</v>
      </c>
      <c r="D2972" s="1">
        <f t="shared" ca="1" si="224"/>
        <v>517</v>
      </c>
      <c r="E2972" s="2">
        <f t="shared" ca="1" si="225"/>
        <v>43066</v>
      </c>
      <c r="F2972" s="6">
        <f t="shared" ca="1" si="226"/>
        <v>17.965779564087498</v>
      </c>
    </row>
    <row r="2973" spans="1:6">
      <c r="A2973" s="1">
        <v>9130213</v>
      </c>
      <c r="B2973">
        <f t="shared" ca="1" si="223"/>
        <v>2.83130509564824E-2</v>
      </c>
      <c r="C2973" s="1">
        <f t="shared" ca="1" si="227"/>
        <v>4</v>
      </c>
      <c r="D2973" s="1">
        <f t="shared" ca="1" si="224"/>
        <v>493</v>
      </c>
      <c r="E2973" s="2">
        <f t="shared" ca="1" si="225"/>
        <v>43461</v>
      </c>
      <c r="F2973" s="6">
        <f t="shared" ca="1" si="226"/>
        <v>405.57676685640655</v>
      </c>
    </row>
    <row r="2974" spans="1:6">
      <c r="A2974" s="1">
        <v>9130216</v>
      </c>
      <c r="B2974">
        <f t="shared" ca="1" si="223"/>
        <v>0.76643747028184772</v>
      </c>
      <c r="C2974" s="1">
        <f t="shared" ca="1" si="227"/>
        <v>29</v>
      </c>
      <c r="D2974" s="1">
        <f t="shared" ca="1" si="224"/>
        <v>514</v>
      </c>
      <c r="E2974" s="2">
        <f t="shared" ca="1" si="225"/>
        <v>42782</v>
      </c>
      <c r="F2974" s="6">
        <f t="shared" ca="1" si="226"/>
        <v>3.2938247438102262</v>
      </c>
    </row>
    <row r="2975" spans="1:6">
      <c r="A2975" s="1">
        <v>9130219</v>
      </c>
      <c r="B2975">
        <f t="shared" ca="1" si="223"/>
        <v>0.83328797357928641</v>
      </c>
      <c r="C2975" s="1">
        <f t="shared" ca="1" si="227"/>
        <v>49</v>
      </c>
      <c r="D2975" s="1">
        <f t="shared" ca="1" si="224"/>
        <v>26</v>
      </c>
      <c r="E2975" s="2">
        <f t="shared" ca="1" si="225"/>
        <v>42995</v>
      </c>
      <c r="F2975" s="6">
        <f t="shared" ca="1" si="226"/>
        <v>89.697164214801376</v>
      </c>
    </row>
    <row r="2976" spans="1:6">
      <c r="A2976" s="1">
        <v>9130222</v>
      </c>
      <c r="B2976">
        <f t="shared" ca="1" si="223"/>
        <v>0.95193428756726384</v>
      </c>
      <c r="C2976" s="1">
        <f t="shared" ca="1" si="227"/>
        <v>2</v>
      </c>
      <c r="D2976" s="1">
        <f t="shared" ca="1" si="224"/>
        <v>30</v>
      </c>
      <c r="E2976" s="2">
        <f t="shared" ca="1" si="225"/>
        <v>43321</v>
      </c>
      <c r="F2976" s="6">
        <f t="shared" ca="1" si="226"/>
        <v>5.2001409326162706</v>
      </c>
    </row>
    <row r="2977" spans="1:6">
      <c r="A2977" s="1">
        <v>9130225</v>
      </c>
      <c r="B2977">
        <f t="shared" ca="1" si="223"/>
        <v>0.11510460873866557</v>
      </c>
      <c r="C2977" s="1">
        <f t="shared" ca="1" si="227"/>
        <v>28</v>
      </c>
      <c r="D2977" s="1">
        <f t="shared" ca="1" si="224"/>
        <v>401</v>
      </c>
      <c r="E2977" s="2">
        <f t="shared" ca="1" si="225"/>
        <v>42998</v>
      </c>
      <c r="F2977" s="6">
        <f t="shared" ca="1" si="226"/>
        <v>41.6933273944462</v>
      </c>
    </row>
    <row r="2978" spans="1:6">
      <c r="A2978" s="1">
        <v>9130228</v>
      </c>
      <c r="B2978">
        <f t="shared" ca="1" si="223"/>
        <v>0.49722092832157816</v>
      </c>
      <c r="C2978" s="1">
        <f t="shared" ca="1" si="227"/>
        <v>9</v>
      </c>
      <c r="D2978" s="1">
        <f t="shared" ca="1" si="224"/>
        <v>278</v>
      </c>
      <c r="E2978" s="2">
        <f t="shared" ca="1" si="225"/>
        <v>42771</v>
      </c>
      <c r="F2978" s="6">
        <f t="shared" ca="1" si="226"/>
        <v>66.47013586204632</v>
      </c>
    </row>
    <row r="2979" spans="1:6">
      <c r="A2979" s="1">
        <v>9130231</v>
      </c>
      <c r="B2979">
        <f t="shared" ca="1" si="223"/>
        <v>0.53783044348539089</v>
      </c>
      <c r="C2979" s="1">
        <f t="shared" ca="1" si="227"/>
        <v>2</v>
      </c>
      <c r="D2979" s="1">
        <f t="shared" ca="1" si="224"/>
        <v>30</v>
      </c>
      <c r="E2979" s="2">
        <f t="shared" ca="1" si="225"/>
        <v>43308</v>
      </c>
      <c r="F2979" s="6">
        <f t="shared" ca="1" si="226"/>
        <v>47.976113307082855</v>
      </c>
    </row>
    <row r="2980" spans="1:6">
      <c r="A2980" s="1">
        <v>9130234</v>
      </c>
      <c r="B2980">
        <f t="shared" ca="1" si="223"/>
        <v>0.93328395084022775</v>
      </c>
      <c r="C2980" s="1">
        <f t="shared" ca="1" si="227"/>
        <v>25</v>
      </c>
      <c r="D2980" s="1">
        <f t="shared" ca="1" si="224"/>
        <v>257</v>
      </c>
      <c r="E2980" s="2">
        <f t="shared" ca="1" si="225"/>
        <v>42994</v>
      </c>
      <c r="F2980" s="6">
        <f t="shared" ca="1" si="226"/>
        <v>93.508311179575671</v>
      </c>
    </row>
    <row r="2981" spans="1:6">
      <c r="A2981" s="1">
        <v>9130237</v>
      </c>
      <c r="B2981">
        <f t="shared" ca="1" si="223"/>
        <v>0.66265292107561624</v>
      </c>
      <c r="C2981" s="1">
        <f t="shared" ca="1" si="227"/>
        <v>4</v>
      </c>
      <c r="D2981" s="1">
        <f t="shared" ca="1" si="224"/>
        <v>493</v>
      </c>
      <c r="E2981" s="2">
        <f t="shared" ca="1" si="225"/>
        <v>43179</v>
      </c>
      <c r="F2981" s="6">
        <f t="shared" ca="1" si="226"/>
        <v>15.238485273107504</v>
      </c>
    </row>
    <row r="2982" spans="1:6">
      <c r="A2982" s="1">
        <v>9130240</v>
      </c>
      <c r="B2982">
        <f t="shared" ca="1" si="223"/>
        <v>0.92474306107194959</v>
      </c>
      <c r="C2982" s="1">
        <f t="shared" ca="1" si="227"/>
        <v>216</v>
      </c>
      <c r="D2982" s="1">
        <f t="shared" ca="1" si="224"/>
        <v>120</v>
      </c>
      <c r="E2982" s="2">
        <f t="shared" ca="1" si="225"/>
        <v>42740</v>
      </c>
      <c r="F2982" s="6">
        <f t="shared" ca="1" si="226"/>
        <v>104.22430347818776</v>
      </c>
    </row>
    <row r="2983" spans="1:6">
      <c r="A2983" s="1">
        <v>9130243</v>
      </c>
      <c r="B2983">
        <f t="shared" ca="1" si="223"/>
        <v>0.42530041640359295</v>
      </c>
      <c r="C2983" s="1">
        <f t="shared" ca="1" si="227"/>
        <v>2</v>
      </c>
      <c r="D2983" s="1">
        <f t="shared" ca="1" si="224"/>
        <v>30</v>
      </c>
      <c r="E2983" s="2">
        <f t="shared" ca="1" si="225"/>
        <v>43421</v>
      </c>
      <c r="F2983" s="6">
        <f t="shared" ca="1" si="226"/>
        <v>3.001275917386061</v>
      </c>
    </row>
    <row r="2984" spans="1:6">
      <c r="A2984" s="1">
        <v>9130246</v>
      </c>
      <c r="B2984">
        <f t="shared" ca="1" si="223"/>
        <v>0.62150538957366741</v>
      </c>
      <c r="C2984" s="1">
        <f t="shared" ca="1" si="227"/>
        <v>7</v>
      </c>
      <c r="D2984" s="1">
        <f t="shared" ca="1" si="224"/>
        <v>138</v>
      </c>
      <c r="E2984" s="2">
        <f t="shared" ca="1" si="225"/>
        <v>43048</v>
      </c>
      <c r="F2984" s="6">
        <f t="shared" ca="1" si="226"/>
        <v>17.375269362040093</v>
      </c>
    </row>
    <row r="2985" spans="1:6">
      <c r="A2985" s="1">
        <v>9130249</v>
      </c>
      <c r="B2985">
        <f t="shared" ca="1" si="223"/>
        <v>0.58064276638059042</v>
      </c>
      <c r="C2985" s="1">
        <f t="shared" ca="1" si="227"/>
        <v>1</v>
      </c>
      <c r="D2985" s="1">
        <f t="shared" ca="1" si="224"/>
        <v>474</v>
      </c>
      <c r="E2985" s="2">
        <f t="shared" ca="1" si="225"/>
        <v>42829</v>
      </c>
      <c r="F2985" s="6">
        <f t="shared" ca="1" si="226"/>
        <v>49.532819225192881</v>
      </c>
    </row>
    <row r="2986" spans="1:6">
      <c r="A2986" s="1">
        <v>9130252</v>
      </c>
      <c r="B2986">
        <f t="shared" ca="1" si="223"/>
        <v>0.80703357362905404</v>
      </c>
      <c r="C2986" s="1">
        <f t="shared" ca="1" si="227"/>
        <v>26</v>
      </c>
      <c r="D2986" s="1">
        <f t="shared" ca="1" si="224"/>
        <v>88</v>
      </c>
      <c r="E2986" s="2">
        <f t="shared" ca="1" si="225"/>
        <v>42932</v>
      </c>
      <c r="F2986" s="6">
        <f t="shared" ca="1" si="226"/>
        <v>90.495523720627915</v>
      </c>
    </row>
    <row r="2987" spans="1:6">
      <c r="A2987" s="1">
        <v>9130255</v>
      </c>
      <c r="B2987">
        <f t="shared" ca="1" si="223"/>
        <v>0.10262030194158833</v>
      </c>
      <c r="C2987" s="1">
        <f t="shared" ca="1" si="227"/>
        <v>79</v>
      </c>
      <c r="D2987" s="1">
        <f t="shared" ca="1" si="224"/>
        <v>547</v>
      </c>
      <c r="E2987" s="2">
        <f t="shared" ca="1" si="225"/>
        <v>43436</v>
      </c>
      <c r="F2987" s="6">
        <f t="shared" ca="1" si="226"/>
        <v>91.706636569597791</v>
      </c>
    </row>
    <row r="2988" spans="1:6">
      <c r="A2988" s="1">
        <v>9130258</v>
      </c>
      <c r="B2988">
        <f t="shared" ca="1" si="223"/>
        <v>0.58554261943494812</v>
      </c>
      <c r="C2988" s="1">
        <f t="shared" ca="1" si="227"/>
        <v>12</v>
      </c>
      <c r="D2988" s="1">
        <f t="shared" ca="1" si="224"/>
        <v>292</v>
      </c>
      <c r="E2988" s="2">
        <f t="shared" ca="1" si="225"/>
        <v>43376</v>
      </c>
      <c r="F2988" s="6">
        <f t="shared" ca="1" si="226"/>
        <v>10.555119776824018</v>
      </c>
    </row>
    <row r="2989" spans="1:6">
      <c r="A2989" s="1">
        <v>9130261</v>
      </c>
      <c r="B2989">
        <f t="shared" ca="1" si="223"/>
        <v>0.13148034703635214</v>
      </c>
      <c r="C2989" s="1">
        <f t="shared" ca="1" si="227"/>
        <v>123</v>
      </c>
      <c r="D2989" s="1">
        <f t="shared" ca="1" si="224"/>
        <v>288</v>
      </c>
      <c r="E2989" s="2">
        <f t="shared" ca="1" si="225"/>
        <v>43160</v>
      </c>
      <c r="F2989" s="6">
        <f t="shared" ca="1" si="226"/>
        <v>58.055425517062794</v>
      </c>
    </row>
    <row r="2990" spans="1:6">
      <c r="A2990" s="1">
        <v>9130264</v>
      </c>
      <c r="B2990">
        <f t="shared" ca="1" si="223"/>
        <v>0.24515077753156178</v>
      </c>
      <c r="C2990" s="1">
        <f t="shared" ca="1" si="227"/>
        <v>116</v>
      </c>
      <c r="D2990" s="1">
        <f t="shared" ca="1" si="224"/>
        <v>153</v>
      </c>
      <c r="E2990" s="2">
        <f t="shared" ca="1" si="225"/>
        <v>43481</v>
      </c>
      <c r="F2990" s="6">
        <f t="shared" ca="1" si="226"/>
        <v>7.0066462967576983</v>
      </c>
    </row>
    <row r="2991" spans="1:6">
      <c r="A2991" s="1">
        <v>9130267</v>
      </c>
      <c r="B2991">
        <f t="shared" ca="1" si="223"/>
        <v>0.27435866496882255</v>
      </c>
      <c r="C2991" s="1">
        <f t="shared" ca="1" si="227"/>
        <v>1</v>
      </c>
      <c r="D2991" s="1">
        <f t="shared" ca="1" si="224"/>
        <v>474</v>
      </c>
      <c r="E2991" s="2">
        <f t="shared" ca="1" si="225"/>
        <v>43102</v>
      </c>
      <c r="F2991" s="6">
        <f t="shared" ca="1" si="226"/>
        <v>7.2693303016285249</v>
      </c>
    </row>
    <row r="2992" spans="1:6">
      <c r="A2992" s="1">
        <v>9130270</v>
      </c>
      <c r="B2992">
        <f t="shared" ca="1" si="223"/>
        <v>0.97130048314034012</v>
      </c>
      <c r="C2992" s="1">
        <f t="shared" ca="1" si="227"/>
        <v>101</v>
      </c>
      <c r="D2992" s="1">
        <f t="shared" ca="1" si="224"/>
        <v>166</v>
      </c>
      <c r="E2992" s="2">
        <f t="shared" ca="1" si="225"/>
        <v>43123</v>
      </c>
      <c r="F2992" s="6">
        <f t="shared" ca="1" si="226"/>
        <v>132.11585155739053</v>
      </c>
    </row>
    <row r="2993" spans="1:6">
      <c r="A2993" s="1">
        <v>9130273</v>
      </c>
      <c r="B2993">
        <f t="shared" ca="1" si="223"/>
        <v>0.79039263022017758</v>
      </c>
      <c r="C2993" s="1">
        <f t="shared" ca="1" si="227"/>
        <v>9</v>
      </c>
      <c r="D2993" s="1">
        <f t="shared" ca="1" si="224"/>
        <v>278</v>
      </c>
      <c r="E2993" s="2">
        <f t="shared" ca="1" si="225"/>
        <v>42822</v>
      </c>
      <c r="F2993" s="6">
        <f t="shared" ca="1" si="226"/>
        <v>11.390547827472815</v>
      </c>
    </row>
    <row r="2994" spans="1:6">
      <c r="A2994" s="1">
        <v>9130276</v>
      </c>
      <c r="B2994">
        <f t="shared" ca="1" si="223"/>
        <v>0.10543188467576758</v>
      </c>
      <c r="C2994" s="1">
        <f t="shared" ca="1" si="227"/>
        <v>49</v>
      </c>
      <c r="D2994" s="1">
        <f t="shared" ca="1" si="224"/>
        <v>26</v>
      </c>
      <c r="E2994" s="2">
        <f t="shared" ca="1" si="225"/>
        <v>42948</v>
      </c>
      <c r="F2994" s="6">
        <f t="shared" ca="1" si="226"/>
        <v>46.710999720012602</v>
      </c>
    </row>
    <row r="2995" spans="1:6">
      <c r="A2995" s="1">
        <v>9130279</v>
      </c>
      <c r="B2995">
        <f t="shared" ca="1" si="223"/>
        <v>0.60771990712728041</v>
      </c>
      <c r="C2995" s="1">
        <f t="shared" ca="1" si="227"/>
        <v>4</v>
      </c>
      <c r="D2995" s="1">
        <f t="shared" ca="1" si="224"/>
        <v>493</v>
      </c>
      <c r="E2995" s="2">
        <f t="shared" ca="1" si="225"/>
        <v>42850</v>
      </c>
      <c r="F2995" s="6">
        <f t="shared" ca="1" si="226"/>
        <v>3.1216910185972688</v>
      </c>
    </row>
    <row r="2996" spans="1:6">
      <c r="A2996" s="1">
        <v>9130282</v>
      </c>
      <c r="B2996">
        <f t="shared" ca="1" si="223"/>
        <v>0.20794944448800978</v>
      </c>
      <c r="C2996" s="1">
        <f t="shared" ca="1" si="227"/>
        <v>13</v>
      </c>
      <c r="D2996" s="1">
        <f t="shared" ca="1" si="224"/>
        <v>80</v>
      </c>
      <c r="E2996" s="2">
        <f t="shared" ca="1" si="225"/>
        <v>42752</v>
      </c>
      <c r="F2996" s="6">
        <f t="shared" ca="1" si="226"/>
        <v>41.187232002412841</v>
      </c>
    </row>
    <row r="2997" spans="1:6">
      <c r="A2997" s="1">
        <v>9130285</v>
      </c>
      <c r="B2997">
        <f t="shared" ca="1" si="223"/>
        <v>0.97218814941320009</v>
      </c>
      <c r="C2997" s="1">
        <f t="shared" ca="1" si="227"/>
        <v>11</v>
      </c>
      <c r="D2997" s="1">
        <f t="shared" ca="1" si="224"/>
        <v>437</v>
      </c>
      <c r="E2997" s="2">
        <f t="shared" ca="1" si="225"/>
        <v>43264</v>
      </c>
      <c r="F2997" s="6">
        <f t="shared" ca="1" si="226"/>
        <v>5.1989894220458943</v>
      </c>
    </row>
    <row r="2998" spans="1:6">
      <c r="A2998" s="1">
        <v>9130288</v>
      </c>
      <c r="B2998">
        <f t="shared" ca="1" si="223"/>
        <v>0.53254986731391718</v>
      </c>
      <c r="C2998" s="1">
        <f t="shared" ca="1" si="227"/>
        <v>3</v>
      </c>
      <c r="D2998" s="1">
        <f t="shared" ca="1" si="224"/>
        <v>263</v>
      </c>
      <c r="E2998" s="2">
        <f t="shared" ca="1" si="225"/>
        <v>43396</v>
      </c>
      <c r="F2998" s="6">
        <f t="shared" ca="1" si="226"/>
        <v>60.792469405894224</v>
      </c>
    </row>
    <row r="2999" spans="1:6">
      <c r="A2999" s="1">
        <v>9130291</v>
      </c>
      <c r="B2999">
        <f t="shared" ca="1" si="223"/>
        <v>0.20437699768305251</v>
      </c>
      <c r="C2999" s="1">
        <f t="shared" ca="1" si="227"/>
        <v>21</v>
      </c>
      <c r="D2999" s="1">
        <f t="shared" ca="1" si="224"/>
        <v>566</v>
      </c>
      <c r="E2999" s="2">
        <f t="shared" ca="1" si="225"/>
        <v>42761</v>
      </c>
      <c r="F2999" s="6">
        <f t="shared" ca="1" si="226"/>
        <v>32.278655087946774</v>
      </c>
    </row>
    <row r="3000" spans="1:6">
      <c r="A3000" s="1">
        <v>9130294</v>
      </c>
      <c r="B3000">
        <f t="shared" ca="1" si="223"/>
        <v>0.37381244771420297</v>
      </c>
      <c r="C3000" s="1">
        <f t="shared" ca="1" si="227"/>
        <v>27</v>
      </c>
      <c r="D3000" s="1">
        <f t="shared" ca="1" si="224"/>
        <v>398</v>
      </c>
      <c r="E3000" s="2">
        <f t="shared" ca="1" si="225"/>
        <v>42909</v>
      </c>
      <c r="F3000" s="6">
        <f t="shared" ca="1" si="226"/>
        <v>3.0215066708627814</v>
      </c>
    </row>
    <row r="3001" spans="1:6">
      <c r="A3001" s="1">
        <v>9130297</v>
      </c>
      <c r="B3001">
        <f t="shared" ca="1" si="223"/>
        <v>0.34463382803108644</v>
      </c>
      <c r="C3001" s="1">
        <f t="shared" ca="1" si="227"/>
        <v>11</v>
      </c>
      <c r="D3001" s="1">
        <f t="shared" ca="1" si="224"/>
        <v>437</v>
      </c>
      <c r="E3001" s="2">
        <f t="shared" ca="1" si="225"/>
        <v>43165</v>
      </c>
      <c r="F3001" s="6">
        <f t="shared" ca="1" si="226"/>
        <v>24.147032089529429</v>
      </c>
    </row>
    <row r="3002" spans="1:6">
      <c r="A3002" s="1">
        <v>9130300</v>
      </c>
      <c r="B3002">
        <f t="shared" ca="1" si="223"/>
        <v>0.63737483920397797</v>
      </c>
      <c r="C3002" s="1">
        <f t="shared" ca="1" si="227"/>
        <v>2</v>
      </c>
      <c r="D3002" s="1">
        <f t="shared" ca="1" si="224"/>
        <v>30</v>
      </c>
      <c r="E3002" s="2">
        <f t="shared" ca="1" si="225"/>
        <v>43048</v>
      </c>
      <c r="F3002" s="6">
        <f t="shared" ca="1" si="226"/>
        <v>3.5246178929437044</v>
      </c>
    </row>
    <row r="3003" spans="1:6">
      <c r="A3003" s="1">
        <v>9130303</v>
      </c>
      <c r="B3003">
        <f t="shared" ca="1" si="223"/>
        <v>0.69974523586417536</v>
      </c>
      <c r="C3003" s="1">
        <f t="shared" ca="1" si="227"/>
        <v>15</v>
      </c>
      <c r="D3003" s="1">
        <f t="shared" ca="1" si="224"/>
        <v>284</v>
      </c>
      <c r="E3003" s="2">
        <f t="shared" ca="1" si="225"/>
        <v>43012</v>
      </c>
      <c r="F3003" s="6">
        <f t="shared" ca="1" si="226"/>
        <v>33.781741666414916</v>
      </c>
    </row>
    <row r="3004" spans="1:6">
      <c r="A3004" s="1">
        <v>9130306</v>
      </c>
      <c r="B3004">
        <f t="shared" ca="1" si="223"/>
        <v>0.36450429073802137</v>
      </c>
      <c r="C3004" s="1">
        <f t="shared" ca="1" si="227"/>
        <v>8</v>
      </c>
      <c r="D3004" s="1">
        <f t="shared" ca="1" si="224"/>
        <v>456</v>
      </c>
      <c r="E3004" s="2">
        <f t="shared" ca="1" si="225"/>
        <v>43464</v>
      </c>
      <c r="F3004" s="6">
        <f t="shared" ca="1" si="226"/>
        <v>16.101241184485154</v>
      </c>
    </row>
    <row r="3005" spans="1:6">
      <c r="A3005" s="1">
        <v>9130309</v>
      </c>
      <c r="B3005">
        <f t="shared" ref="B3005:B3068" ca="1" si="228">RAND()</f>
        <v>0.13193366873911005</v>
      </c>
      <c r="C3005" s="1">
        <f t="shared" ca="1" si="227"/>
        <v>40</v>
      </c>
      <c r="D3005" s="1">
        <f t="shared" ref="D3005:D3068" ca="1" si="229">VLOOKUP(SMALL($B$2:$B$601,C3005),$B$2:$C$601,2,FALSE)</f>
        <v>426</v>
      </c>
      <c r="E3005" s="2">
        <f t="shared" ca="1" si="225"/>
        <v>43285</v>
      </c>
      <c r="F3005" s="6">
        <f t="shared" ca="1" si="226"/>
        <v>3.2305913008902767</v>
      </c>
    </row>
    <row r="3006" spans="1:6">
      <c r="A3006" s="1">
        <v>9130312</v>
      </c>
      <c r="B3006">
        <f t="shared" ca="1" si="228"/>
        <v>0.54096196363327997</v>
      </c>
      <c r="C3006" s="1">
        <f t="shared" ca="1" si="227"/>
        <v>4</v>
      </c>
      <c r="D3006" s="1">
        <f t="shared" ca="1" si="229"/>
        <v>493</v>
      </c>
      <c r="E3006" s="2">
        <f t="shared" ca="1" si="225"/>
        <v>42809</v>
      </c>
      <c r="F3006" s="6">
        <f t="shared" ca="1" si="226"/>
        <v>10.104967706921784</v>
      </c>
    </row>
    <row r="3007" spans="1:6">
      <c r="A3007" s="1">
        <v>9130315</v>
      </c>
      <c r="B3007">
        <f t="shared" ca="1" si="228"/>
        <v>0.66234848925308065</v>
      </c>
      <c r="C3007" s="1">
        <f t="shared" ca="1" si="227"/>
        <v>118</v>
      </c>
      <c r="D3007" s="1">
        <f t="shared" ca="1" si="229"/>
        <v>172</v>
      </c>
      <c r="E3007" s="2">
        <f t="shared" ca="1" si="225"/>
        <v>42883</v>
      </c>
      <c r="F3007" s="6">
        <f t="shared" ca="1" si="226"/>
        <v>17.602660054832377</v>
      </c>
    </row>
    <row r="3008" spans="1:6">
      <c r="A3008" s="1">
        <v>9130318</v>
      </c>
      <c r="B3008">
        <f t="shared" ca="1" si="228"/>
        <v>9.9046148671538381E-2</v>
      </c>
      <c r="C3008" s="1">
        <f t="shared" ca="1" si="227"/>
        <v>21</v>
      </c>
      <c r="D3008" s="1">
        <f t="shared" ca="1" si="229"/>
        <v>566</v>
      </c>
      <c r="E3008" s="2">
        <f t="shared" ca="1" si="225"/>
        <v>43350</v>
      </c>
      <c r="F3008" s="6">
        <f t="shared" ca="1" si="226"/>
        <v>133.33869106666435</v>
      </c>
    </row>
    <row r="3009" spans="1:6">
      <c r="A3009" s="1">
        <v>9130321</v>
      </c>
      <c r="B3009">
        <f t="shared" ca="1" si="228"/>
        <v>0.76203867731301866</v>
      </c>
      <c r="C3009" s="1">
        <f t="shared" ca="1" si="227"/>
        <v>11</v>
      </c>
      <c r="D3009" s="1">
        <f t="shared" ca="1" si="229"/>
        <v>437</v>
      </c>
      <c r="E3009" s="2">
        <f t="shared" ca="1" si="225"/>
        <v>43220</v>
      </c>
      <c r="F3009" s="6">
        <f t="shared" ca="1" si="226"/>
        <v>4.9186733301590921</v>
      </c>
    </row>
    <row r="3010" spans="1:6">
      <c r="A3010" s="1">
        <v>9130324</v>
      </c>
      <c r="B3010">
        <f t="shared" ca="1" si="228"/>
        <v>0.32466201537031936</v>
      </c>
      <c r="C3010" s="1">
        <f t="shared" ca="1" si="227"/>
        <v>65</v>
      </c>
      <c r="D3010" s="1">
        <f t="shared" ca="1" si="229"/>
        <v>463</v>
      </c>
      <c r="E3010" s="2">
        <f t="shared" ca="1" si="225"/>
        <v>43004</v>
      </c>
      <c r="F3010" s="6">
        <f t="shared" ca="1" si="226"/>
        <v>33.378246058560947</v>
      </c>
    </row>
    <row r="3011" spans="1:6">
      <c r="A3011" s="1">
        <v>9130327</v>
      </c>
      <c r="B3011">
        <f t="shared" ca="1" si="228"/>
        <v>8.7975175830881436E-2</v>
      </c>
      <c r="C3011" s="1">
        <f t="shared" ca="1" si="227"/>
        <v>1</v>
      </c>
      <c r="D3011" s="1">
        <f t="shared" ca="1" si="229"/>
        <v>474</v>
      </c>
      <c r="E3011" s="2">
        <f t="shared" ref="E3011:E3074" ca="1" si="230">RANDBETWEEN("1/1/17","2/1/19")</f>
        <v>42777</v>
      </c>
      <c r="F3011" s="6">
        <f t="shared" ref="F3011:F3074" ca="1" si="231">_xlfn.GAMMA.INV(RAND(),$J$6,$J$7)*100+3</f>
        <v>75.468291184964556</v>
      </c>
    </row>
    <row r="3012" spans="1:6">
      <c r="A3012" s="1">
        <v>9130330</v>
      </c>
      <c r="B3012">
        <f t="shared" ca="1" si="228"/>
        <v>0.6538173578719837</v>
      </c>
      <c r="C3012" s="1">
        <f t="shared" ca="1" si="227"/>
        <v>46</v>
      </c>
      <c r="D3012" s="1">
        <f t="shared" ca="1" si="229"/>
        <v>192</v>
      </c>
      <c r="E3012" s="2">
        <f t="shared" ca="1" si="230"/>
        <v>43041</v>
      </c>
      <c r="F3012" s="6">
        <f t="shared" ca="1" si="231"/>
        <v>12.615041594365366</v>
      </c>
    </row>
    <row r="3013" spans="1:6">
      <c r="A3013" s="1">
        <v>9130333</v>
      </c>
      <c r="B3013">
        <f t="shared" ca="1" si="228"/>
        <v>0.77741502153487874</v>
      </c>
      <c r="C3013" s="1">
        <f t="shared" ca="1" si="227"/>
        <v>53</v>
      </c>
      <c r="D3013" s="1">
        <f t="shared" ca="1" si="229"/>
        <v>155</v>
      </c>
      <c r="E3013" s="2">
        <f t="shared" ca="1" si="230"/>
        <v>42763</v>
      </c>
      <c r="F3013" s="6">
        <f t="shared" ca="1" si="231"/>
        <v>80.490542307238073</v>
      </c>
    </row>
    <row r="3014" spans="1:6">
      <c r="A3014" s="1">
        <v>9130336</v>
      </c>
      <c r="B3014">
        <f t="shared" ca="1" si="228"/>
        <v>0.4612900778352238</v>
      </c>
      <c r="C3014" s="1">
        <f t="shared" ca="1" si="227"/>
        <v>2</v>
      </c>
      <c r="D3014" s="1">
        <f t="shared" ca="1" si="229"/>
        <v>30</v>
      </c>
      <c r="E3014" s="2">
        <f t="shared" ca="1" si="230"/>
        <v>42749</v>
      </c>
      <c r="F3014" s="6">
        <f t="shared" ca="1" si="231"/>
        <v>13.973857308986188</v>
      </c>
    </row>
    <row r="3015" spans="1:6">
      <c r="A3015" s="1">
        <v>9130339</v>
      </c>
      <c r="B3015">
        <f t="shared" ca="1" si="228"/>
        <v>0.52699233620276253</v>
      </c>
      <c r="C3015" s="1">
        <f t="shared" ca="1" si="227"/>
        <v>4</v>
      </c>
      <c r="D3015" s="1">
        <f t="shared" ca="1" si="229"/>
        <v>493</v>
      </c>
      <c r="E3015" s="2">
        <f t="shared" ca="1" si="230"/>
        <v>43113</v>
      </c>
      <c r="F3015" s="6">
        <f t="shared" ca="1" si="231"/>
        <v>58.827040182092972</v>
      </c>
    </row>
    <row r="3016" spans="1:6">
      <c r="A3016" s="1">
        <v>9130342</v>
      </c>
      <c r="B3016">
        <f t="shared" ca="1" si="228"/>
        <v>3.5345493661893657E-2</v>
      </c>
      <c r="C3016" s="1">
        <f t="shared" ca="1" si="227"/>
        <v>148</v>
      </c>
      <c r="D3016" s="1">
        <f t="shared" ca="1" si="229"/>
        <v>541</v>
      </c>
      <c r="E3016" s="2">
        <f t="shared" ca="1" si="230"/>
        <v>43023</v>
      </c>
      <c r="F3016" s="6">
        <f t="shared" ca="1" si="231"/>
        <v>3.5854430422086447</v>
      </c>
    </row>
    <row r="3017" spans="1:6">
      <c r="A3017" s="1">
        <v>9130345</v>
      </c>
      <c r="B3017">
        <f t="shared" ca="1" si="228"/>
        <v>0.86586584265658206</v>
      </c>
      <c r="C3017" s="1">
        <f t="shared" ca="1" si="227"/>
        <v>7</v>
      </c>
      <c r="D3017" s="1">
        <f t="shared" ca="1" si="229"/>
        <v>138</v>
      </c>
      <c r="E3017" s="2">
        <f t="shared" ca="1" si="230"/>
        <v>43407</v>
      </c>
      <c r="F3017" s="6">
        <f t="shared" ca="1" si="231"/>
        <v>36.422428585227493</v>
      </c>
    </row>
    <row r="3018" spans="1:6">
      <c r="A3018" s="1">
        <v>9130348</v>
      </c>
      <c r="B3018">
        <f t="shared" ca="1" si="228"/>
        <v>0.64577889201021799</v>
      </c>
      <c r="C3018" s="1">
        <f t="shared" ca="1" si="227"/>
        <v>59</v>
      </c>
      <c r="D3018" s="1">
        <f t="shared" ca="1" si="229"/>
        <v>95</v>
      </c>
      <c r="E3018" s="2">
        <f t="shared" ca="1" si="230"/>
        <v>43152</v>
      </c>
      <c r="F3018" s="6">
        <f t="shared" ca="1" si="231"/>
        <v>12.473752688067581</v>
      </c>
    </row>
    <row r="3019" spans="1:6">
      <c r="A3019" s="1">
        <v>9130351</v>
      </c>
      <c r="B3019">
        <f t="shared" ca="1" si="228"/>
        <v>0.54949926805414662</v>
      </c>
      <c r="C3019" s="1">
        <f t="shared" ca="1" si="227"/>
        <v>22</v>
      </c>
      <c r="D3019" s="1">
        <f t="shared" ca="1" si="229"/>
        <v>413</v>
      </c>
      <c r="E3019" s="2">
        <f t="shared" ca="1" si="230"/>
        <v>43098</v>
      </c>
      <c r="F3019" s="6">
        <f t="shared" ca="1" si="231"/>
        <v>16.273909809106005</v>
      </c>
    </row>
    <row r="3020" spans="1:6">
      <c r="A3020" s="1">
        <v>9130354</v>
      </c>
      <c r="B3020">
        <f t="shared" ca="1" si="228"/>
        <v>0.61053130966293379</v>
      </c>
      <c r="C3020" s="1">
        <f t="shared" ca="1" si="227"/>
        <v>78</v>
      </c>
      <c r="D3020" s="1">
        <f t="shared" ca="1" si="229"/>
        <v>224</v>
      </c>
      <c r="E3020" s="2">
        <f t="shared" ca="1" si="230"/>
        <v>43312</v>
      </c>
      <c r="F3020" s="6">
        <f t="shared" ca="1" si="231"/>
        <v>76.963436923019742</v>
      </c>
    </row>
    <row r="3021" spans="1:6">
      <c r="A3021" s="1">
        <v>9130357</v>
      </c>
      <c r="B3021">
        <f t="shared" ca="1" si="228"/>
        <v>0.59130614578850926</v>
      </c>
      <c r="C3021" s="1">
        <f t="shared" ca="1" si="227"/>
        <v>10</v>
      </c>
      <c r="D3021" s="1">
        <f t="shared" ca="1" si="229"/>
        <v>236</v>
      </c>
      <c r="E3021" s="2">
        <f t="shared" ca="1" si="230"/>
        <v>42872</v>
      </c>
      <c r="F3021" s="6">
        <f t="shared" ca="1" si="231"/>
        <v>9.4246296346796044</v>
      </c>
    </row>
    <row r="3022" spans="1:6">
      <c r="A3022" s="1">
        <v>9130360</v>
      </c>
      <c r="B3022">
        <f t="shared" ca="1" si="228"/>
        <v>0.26698537464171701</v>
      </c>
      <c r="C3022" s="1">
        <f t="shared" ca="1" si="227"/>
        <v>6</v>
      </c>
      <c r="D3022" s="1">
        <f t="shared" ca="1" si="229"/>
        <v>208</v>
      </c>
      <c r="E3022" s="2">
        <f t="shared" ca="1" si="230"/>
        <v>42744</v>
      </c>
      <c r="F3022" s="6">
        <f t="shared" ca="1" si="231"/>
        <v>3.2279178590930488</v>
      </c>
    </row>
    <row r="3023" spans="1:6">
      <c r="A3023" s="1">
        <v>9130363</v>
      </c>
      <c r="B3023">
        <f t="shared" ca="1" si="228"/>
        <v>0.12247790542431269</v>
      </c>
      <c r="C3023" s="1">
        <f t="shared" ca="1" si="227"/>
        <v>1</v>
      </c>
      <c r="D3023" s="1">
        <f t="shared" ca="1" si="229"/>
        <v>474</v>
      </c>
      <c r="E3023" s="2">
        <f t="shared" ca="1" si="230"/>
        <v>42766</v>
      </c>
      <c r="F3023" s="6">
        <f t="shared" ca="1" si="231"/>
        <v>25.467732022949811</v>
      </c>
    </row>
    <row r="3024" spans="1:6">
      <c r="A3024" s="1">
        <v>9130366</v>
      </c>
      <c r="B3024">
        <f t="shared" ca="1" si="228"/>
        <v>0.18645481688693877</v>
      </c>
      <c r="C3024" s="1">
        <f t="shared" ca="1" si="227"/>
        <v>1</v>
      </c>
      <c r="D3024" s="1">
        <f t="shared" ca="1" si="229"/>
        <v>474</v>
      </c>
      <c r="E3024" s="2">
        <f t="shared" ca="1" si="230"/>
        <v>42886</v>
      </c>
      <c r="F3024" s="6">
        <f t="shared" ca="1" si="231"/>
        <v>5.9472878818855195</v>
      </c>
    </row>
    <row r="3025" spans="1:6">
      <c r="A3025" s="1">
        <v>9130369</v>
      </c>
      <c r="B3025">
        <f t="shared" ca="1" si="228"/>
        <v>0.20814573596975794</v>
      </c>
      <c r="C3025" s="1">
        <f t="shared" ca="1" si="227"/>
        <v>4</v>
      </c>
      <c r="D3025" s="1">
        <f t="shared" ca="1" si="229"/>
        <v>493</v>
      </c>
      <c r="E3025" s="2">
        <f t="shared" ca="1" si="230"/>
        <v>43083</v>
      </c>
      <c r="F3025" s="6">
        <f t="shared" ca="1" si="231"/>
        <v>105.04454907998084</v>
      </c>
    </row>
    <row r="3026" spans="1:6">
      <c r="A3026" s="1">
        <v>9130372</v>
      </c>
      <c r="B3026">
        <f t="shared" ca="1" si="228"/>
        <v>0.1806847146007009</v>
      </c>
      <c r="C3026" s="1">
        <f t="shared" ca="1" si="227"/>
        <v>29</v>
      </c>
      <c r="D3026" s="1">
        <f t="shared" ca="1" si="229"/>
        <v>514</v>
      </c>
      <c r="E3026" s="2">
        <f t="shared" ca="1" si="230"/>
        <v>43407</v>
      </c>
      <c r="F3026" s="6">
        <f t="shared" ca="1" si="231"/>
        <v>10.850760168024518</v>
      </c>
    </row>
    <row r="3027" spans="1:6">
      <c r="A3027" s="1">
        <v>9130375</v>
      </c>
      <c r="B3027">
        <f t="shared" ca="1" si="228"/>
        <v>0.52227785531568349</v>
      </c>
      <c r="C3027" s="1">
        <f t="shared" ca="1" si="227"/>
        <v>47</v>
      </c>
      <c r="D3027" s="1">
        <f t="shared" ca="1" si="229"/>
        <v>515</v>
      </c>
      <c r="E3027" s="2">
        <f t="shared" ca="1" si="230"/>
        <v>42899</v>
      </c>
      <c r="F3027" s="6">
        <f t="shared" ca="1" si="231"/>
        <v>115.42007302961856</v>
      </c>
    </row>
    <row r="3028" spans="1:6">
      <c r="A3028" s="1">
        <v>9130378</v>
      </c>
      <c r="B3028">
        <f t="shared" ca="1" si="228"/>
        <v>0.60420884227315952</v>
      </c>
      <c r="C3028" s="1">
        <f t="shared" ca="1" si="227"/>
        <v>72</v>
      </c>
      <c r="D3028" s="1">
        <f t="shared" ca="1" si="229"/>
        <v>267</v>
      </c>
      <c r="E3028" s="2">
        <f t="shared" ca="1" si="230"/>
        <v>43321</v>
      </c>
      <c r="F3028" s="6">
        <f t="shared" ca="1" si="231"/>
        <v>4.5401107822099442</v>
      </c>
    </row>
    <row r="3029" spans="1:6">
      <c r="A3029" s="1">
        <v>9130381</v>
      </c>
      <c r="B3029">
        <f t="shared" ca="1" si="228"/>
        <v>0.72153390605454026</v>
      </c>
      <c r="C3029" s="1">
        <f t="shared" ca="1" si="227"/>
        <v>99</v>
      </c>
      <c r="D3029" s="1">
        <f t="shared" ca="1" si="229"/>
        <v>464</v>
      </c>
      <c r="E3029" s="2">
        <f t="shared" ca="1" si="230"/>
        <v>42849</v>
      </c>
      <c r="F3029" s="6">
        <f t="shared" ca="1" si="231"/>
        <v>59.794977825016588</v>
      </c>
    </row>
    <row r="3030" spans="1:6">
      <c r="A3030" s="1">
        <v>9130384</v>
      </c>
      <c r="B3030">
        <f t="shared" ca="1" si="228"/>
        <v>0.88508897925968766</v>
      </c>
      <c r="C3030" s="1">
        <f t="shared" ca="1" si="227"/>
        <v>64</v>
      </c>
      <c r="D3030" s="1">
        <f t="shared" ca="1" si="229"/>
        <v>1</v>
      </c>
      <c r="E3030" s="2">
        <f t="shared" ca="1" si="230"/>
        <v>42853</v>
      </c>
      <c r="F3030" s="6">
        <f t="shared" ca="1" si="231"/>
        <v>217.52002397304219</v>
      </c>
    </row>
    <row r="3031" spans="1:6">
      <c r="A3031" s="1">
        <v>9130387</v>
      </c>
      <c r="B3031">
        <f t="shared" ca="1" si="228"/>
        <v>0.75401652414825182</v>
      </c>
      <c r="C3031" s="1">
        <f t="shared" ca="1" si="227"/>
        <v>187</v>
      </c>
      <c r="D3031" s="1">
        <f t="shared" ca="1" si="229"/>
        <v>178</v>
      </c>
      <c r="E3031" s="2">
        <f t="shared" ca="1" si="230"/>
        <v>42938</v>
      </c>
      <c r="F3031" s="6">
        <f t="shared" ca="1" si="231"/>
        <v>30.640343420166165</v>
      </c>
    </row>
    <row r="3032" spans="1:6">
      <c r="A3032" s="1">
        <v>9130390</v>
      </c>
      <c r="B3032">
        <f t="shared" ca="1" si="228"/>
        <v>0.78867604849696848</v>
      </c>
      <c r="C3032" s="1">
        <f t="shared" ca="1" si="227"/>
        <v>9</v>
      </c>
      <c r="D3032" s="1">
        <f t="shared" ca="1" si="229"/>
        <v>278</v>
      </c>
      <c r="E3032" s="2">
        <f t="shared" ca="1" si="230"/>
        <v>43059</v>
      </c>
      <c r="F3032" s="6">
        <f t="shared" ca="1" si="231"/>
        <v>3.0520760880593252</v>
      </c>
    </row>
    <row r="3033" spans="1:6">
      <c r="A3033" s="1">
        <v>9130393</v>
      </c>
      <c r="B3033">
        <f t="shared" ca="1" si="228"/>
        <v>0.19670946088006114</v>
      </c>
      <c r="C3033" s="1">
        <f t="shared" ca="1" si="227"/>
        <v>83</v>
      </c>
      <c r="D3033" s="1">
        <f t="shared" ca="1" si="229"/>
        <v>47</v>
      </c>
      <c r="E3033" s="2">
        <f t="shared" ca="1" si="230"/>
        <v>42871</v>
      </c>
      <c r="F3033" s="6">
        <f t="shared" ca="1" si="231"/>
        <v>3.0603610505684009</v>
      </c>
    </row>
    <row r="3034" spans="1:6">
      <c r="A3034" s="1">
        <v>9130396</v>
      </c>
      <c r="B3034">
        <f t="shared" ca="1" si="228"/>
        <v>0.92979432655845762</v>
      </c>
      <c r="C3034" s="1">
        <f t="shared" ca="1" si="227"/>
        <v>102</v>
      </c>
      <c r="D3034" s="1">
        <f t="shared" ca="1" si="229"/>
        <v>366</v>
      </c>
      <c r="E3034" s="2">
        <f t="shared" ca="1" si="230"/>
        <v>42902</v>
      </c>
      <c r="F3034" s="6">
        <f t="shared" ca="1" si="231"/>
        <v>78.03310524796764</v>
      </c>
    </row>
    <row r="3035" spans="1:6">
      <c r="A3035" s="1">
        <v>9130399</v>
      </c>
      <c r="B3035">
        <f t="shared" ca="1" si="228"/>
        <v>1.3953899437969319E-2</v>
      </c>
      <c r="C3035" s="1">
        <f t="shared" ref="C3035:C3098" ca="1" si="232">ROUND(_xlfn.GAMMA.INV(RAND(),$J$11,$J$12)*100,0)+1</f>
        <v>26</v>
      </c>
      <c r="D3035" s="1">
        <f t="shared" ca="1" si="229"/>
        <v>88</v>
      </c>
      <c r="E3035" s="2">
        <f t="shared" ca="1" si="230"/>
        <v>42979</v>
      </c>
      <c r="F3035" s="6">
        <f t="shared" ca="1" si="231"/>
        <v>3.0426033289521239</v>
      </c>
    </row>
    <row r="3036" spans="1:6">
      <c r="A3036" s="1">
        <v>9130402</v>
      </c>
      <c r="B3036">
        <f t="shared" ca="1" si="228"/>
        <v>0.45821882879432885</v>
      </c>
      <c r="C3036" s="1">
        <f t="shared" ca="1" si="232"/>
        <v>335</v>
      </c>
      <c r="D3036" s="1">
        <f t="shared" ca="1" si="229"/>
        <v>250</v>
      </c>
      <c r="E3036" s="2">
        <f t="shared" ca="1" si="230"/>
        <v>43139</v>
      </c>
      <c r="F3036" s="6">
        <f t="shared" ca="1" si="231"/>
        <v>13.324076353866909</v>
      </c>
    </row>
    <row r="3037" spans="1:6">
      <c r="A3037" s="1">
        <v>9130405</v>
      </c>
      <c r="B3037">
        <f t="shared" ca="1" si="228"/>
        <v>0.60764530384753535</v>
      </c>
      <c r="C3037" s="1">
        <f t="shared" ca="1" si="232"/>
        <v>1</v>
      </c>
      <c r="D3037" s="1">
        <f t="shared" ca="1" si="229"/>
        <v>474</v>
      </c>
      <c r="E3037" s="2">
        <f t="shared" ca="1" si="230"/>
        <v>43078</v>
      </c>
      <c r="F3037" s="6">
        <f t="shared" ca="1" si="231"/>
        <v>18.712824323118042</v>
      </c>
    </row>
    <row r="3038" spans="1:6">
      <c r="A3038" s="1">
        <v>9130408</v>
      </c>
      <c r="B3038">
        <f t="shared" ca="1" si="228"/>
        <v>0.40546873501302672</v>
      </c>
      <c r="C3038" s="1">
        <f t="shared" ca="1" si="232"/>
        <v>59</v>
      </c>
      <c r="D3038" s="1">
        <f t="shared" ca="1" si="229"/>
        <v>95</v>
      </c>
      <c r="E3038" s="2">
        <f t="shared" ca="1" si="230"/>
        <v>43020</v>
      </c>
      <c r="F3038" s="6">
        <f t="shared" ca="1" si="231"/>
        <v>11.833825518836587</v>
      </c>
    </row>
    <row r="3039" spans="1:6">
      <c r="A3039" s="1">
        <v>9130411</v>
      </c>
      <c r="B3039">
        <f t="shared" ca="1" si="228"/>
        <v>0.57839986137104626</v>
      </c>
      <c r="C3039" s="1">
        <f t="shared" ca="1" si="232"/>
        <v>14</v>
      </c>
      <c r="D3039" s="1">
        <f t="shared" ca="1" si="229"/>
        <v>576</v>
      </c>
      <c r="E3039" s="2">
        <f t="shared" ca="1" si="230"/>
        <v>43118</v>
      </c>
      <c r="F3039" s="6">
        <f t="shared" ca="1" si="231"/>
        <v>13.814609820867187</v>
      </c>
    </row>
    <row r="3040" spans="1:6">
      <c r="A3040" s="1">
        <v>9130414</v>
      </c>
      <c r="B3040">
        <f t="shared" ca="1" si="228"/>
        <v>0.93743377869560374</v>
      </c>
      <c r="C3040" s="1">
        <f t="shared" ca="1" si="232"/>
        <v>2</v>
      </c>
      <c r="D3040" s="1">
        <f t="shared" ca="1" si="229"/>
        <v>30</v>
      </c>
      <c r="E3040" s="2">
        <f t="shared" ca="1" si="230"/>
        <v>43113</v>
      </c>
      <c r="F3040" s="6">
        <f t="shared" ca="1" si="231"/>
        <v>70.923964487511029</v>
      </c>
    </row>
    <row r="3041" spans="1:6">
      <c r="A3041" s="1">
        <v>9130417</v>
      </c>
      <c r="B3041">
        <f t="shared" ca="1" si="228"/>
        <v>0.50813069900347618</v>
      </c>
      <c r="C3041" s="1">
        <f t="shared" ca="1" si="232"/>
        <v>21</v>
      </c>
      <c r="D3041" s="1">
        <f t="shared" ca="1" si="229"/>
        <v>566</v>
      </c>
      <c r="E3041" s="2">
        <f t="shared" ca="1" si="230"/>
        <v>43099</v>
      </c>
      <c r="F3041" s="6">
        <f t="shared" ca="1" si="231"/>
        <v>7.2293562849323045</v>
      </c>
    </row>
    <row r="3042" spans="1:6">
      <c r="A3042" s="1">
        <v>9130420</v>
      </c>
      <c r="B3042">
        <f t="shared" ca="1" si="228"/>
        <v>0.15452064004220711</v>
      </c>
      <c r="C3042" s="1">
        <f t="shared" ca="1" si="232"/>
        <v>4</v>
      </c>
      <c r="D3042" s="1">
        <f t="shared" ca="1" si="229"/>
        <v>493</v>
      </c>
      <c r="E3042" s="2">
        <f t="shared" ca="1" si="230"/>
        <v>43290</v>
      </c>
      <c r="F3042" s="6">
        <f t="shared" ca="1" si="231"/>
        <v>109.9174526376468</v>
      </c>
    </row>
    <row r="3043" spans="1:6">
      <c r="A3043" s="1">
        <v>9130423</v>
      </c>
      <c r="B3043">
        <f t="shared" ca="1" si="228"/>
        <v>0.88989371557671637</v>
      </c>
      <c r="C3043" s="1">
        <f t="shared" ca="1" si="232"/>
        <v>8</v>
      </c>
      <c r="D3043" s="1">
        <f t="shared" ca="1" si="229"/>
        <v>456</v>
      </c>
      <c r="E3043" s="2">
        <f t="shared" ca="1" si="230"/>
        <v>42936</v>
      </c>
      <c r="F3043" s="6">
        <f t="shared" ca="1" si="231"/>
        <v>28.182766446315814</v>
      </c>
    </row>
    <row r="3044" spans="1:6">
      <c r="A3044" s="1">
        <v>9130426</v>
      </c>
      <c r="B3044">
        <f t="shared" ca="1" si="228"/>
        <v>0.68699928019340106</v>
      </c>
      <c r="C3044" s="1">
        <f t="shared" ca="1" si="232"/>
        <v>86</v>
      </c>
      <c r="D3044" s="1">
        <f t="shared" ca="1" si="229"/>
        <v>526</v>
      </c>
      <c r="E3044" s="2">
        <f t="shared" ca="1" si="230"/>
        <v>42964</v>
      </c>
      <c r="F3044" s="6">
        <f t="shared" ca="1" si="231"/>
        <v>15.012891341721327</v>
      </c>
    </row>
    <row r="3045" spans="1:6">
      <c r="A3045" s="1">
        <v>9130429</v>
      </c>
      <c r="B3045">
        <f t="shared" ca="1" si="228"/>
        <v>7.0674085911730522E-3</v>
      </c>
      <c r="C3045" s="1">
        <f t="shared" ca="1" si="232"/>
        <v>41</v>
      </c>
      <c r="D3045" s="1">
        <f t="shared" ca="1" si="229"/>
        <v>37</v>
      </c>
      <c r="E3045" s="2">
        <f t="shared" ca="1" si="230"/>
        <v>43332</v>
      </c>
      <c r="F3045" s="6">
        <f t="shared" ca="1" si="231"/>
        <v>143.5114743870526</v>
      </c>
    </row>
    <row r="3046" spans="1:6">
      <c r="A3046" s="1">
        <v>9130432</v>
      </c>
      <c r="B3046">
        <f t="shared" ca="1" si="228"/>
        <v>8.1242710846335053E-2</v>
      </c>
      <c r="C3046" s="1">
        <f t="shared" ca="1" si="232"/>
        <v>32</v>
      </c>
      <c r="D3046" s="1">
        <f t="shared" ca="1" si="229"/>
        <v>497</v>
      </c>
      <c r="E3046" s="2">
        <f t="shared" ca="1" si="230"/>
        <v>42960</v>
      </c>
      <c r="F3046" s="6">
        <f t="shared" ca="1" si="231"/>
        <v>83.497619326090756</v>
      </c>
    </row>
    <row r="3047" spans="1:6">
      <c r="A3047" s="1">
        <v>9130435</v>
      </c>
      <c r="B3047">
        <f t="shared" ca="1" si="228"/>
        <v>0.35444101501459246</v>
      </c>
      <c r="C3047" s="1">
        <f t="shared" ca="1" si="232"/>
        <v>5</v>
      </c>
      <c r="D3047" s="1">
        <f t="shared" ca="1" si="229"/>
        <v>363</v>
      </c>
      <c r="E3047" s="2">
        <f t="shared" ca="1" si="230"/>
        <v>42844</v>
      </c>
      <c r="F3047" s="6">
        <f t="shared" ca="1" si="231"/>
        <v>113.68238624059762</v>
      </c>
    </row>
    <row r="3048" spans="1:6">
      <c r="A3048" s="1">
        <v>9130438</v>
      </c>
      <c r="B3048">
        <f t="shared" ca="1" si="228"/>
        <v>0.67389008686443752</v>
      </c>
      <c r="C3048" s="1">
        <f t="shared" ca="1" si="232"/>
        <v>16</v>
      </c>
      <c r="D3048" s="1">
        <f t="shared" ca="1" si="229"/>
        <v>465</v>
      </c>
      <c r="E3048" s="2">
        <f t="shared" ca="1" si="230"/>
        <v>43126</v>
      </c>
      <c r="F3048" s="6">
        <f t="shared" ca="1" si="231"/>
        <v>3.5218519335181515</v>
      </c>
    </row>
    <row r="3049" spans="1:6">
      <c r="A3049" s="1">
        <v>9130441</v>
      </c>
      <c r="B3049">
        <f t="shared" ca="1" si="228"/>
        <v>8.3554544742933667E-2</v>
      </c>
      <c r="C3049" s="1">
        <f t="shared" ca="1" si="232"/>
        <v>240</v>
      </c>
      <c r="D3049" s="1">
        <f t="shared" ca="1" si="229"/>
        <v>252</v>
      </c>
      <c r="E3049" s="2">
        <f t="shared" ca="1" si="230"/>
        <v>42929</v>
      </c>
      <c r="F3049" s="6">
        <f t="shared" ca="1" si="231"/>
        <v>49.681794712309937</v>
      </c>
    </row>
    <row r="3050" spans="1:6">
      <c r="A3050" s="1">
        <v>9130444</v>
      </c>
      <c r="B3050">
        <f t="shared" ca="1" si="228"/>
        <v>0.86616204790694162</v>
      </c>
      <c r="C3050" s="1">
        <f t="shared" ca="1" si="232"/>
        <v>30</v>
      </c>
      <c r="D3050" s="1">
        <f t="shared" ca="1" si="229"/>
        <v>53</v>
      </c>
      <c r="E3050" s="2">
        <f t="shared" ca="1" si="230"/>
        <v>43401</v>
      </c>
      <c r="F3050" s="6">
        <f t="shared" ca="1" si="231"/>
        <v>12.744400618970849</v>
      </c>
    </row>
    <row r="3051" spans="1:6">
      <c r="A3051" s="1">
        <v>9130447</v>
      </c>
      <c r="B3051">
        <f t="shared" ca="1" si="228"/>
        <v>0.57983527587792838</v>
      </c>
      <c r="C3051" s="1">
        <f t="shared" ca="1" si="232"/>
        <v>2</v>
      </c>
      <c r="D3051" s="1">
        <f t="shared" ca="1" si="229"/>
        <v>30</v>
      </c>
      <c r="E3051" s="2">
        <f t="shared" ca="1" si="230"/>
        <v>42758</v>
      </c>
      <c r="F3051" s="6">
        <f t="shared" ca="1" si="231"/>
        <v>420.19777390884991</v>
      </c>
    </row>
    <row r="3052" spans="1:6">
      <c r="A3052" s="1">
        <v>9130450</v>
      </c>
      <c r="B3052">
        <f t="shared" ca="1" si="228"/>
        <v>0.56879553184944942</v>
      </c>
      <c r="C3052" s="1">
        <f t="shared" ca="1" si="232"/>
        <v>18</v>
      </c>
      <c r="D3052" s="1">
        <f t="shared" ca="1" si="229"/>
        <v>511</v>
      </c>
      <c r="E3052" s="2">
        <f t="shared" ca="1" si="230"/>
        <v>42779</v>
      </c>
      <c r="F3052" s="6">
        <f t="shared" ca="1" si="231"/>
        <v>49.137799683559173</v>
      </c>
    </row>
    <row r="3053" spans="1:6">
      <c r="A3053" s="1">
        <v>9130453</v>
      </c>
      <c r="B3053">
        <f t="shared" ca="1" si="228"/>
        <v>0.45858576012355912</v>
      </c>
      <c r="C3053" s="1">
        <f t="shared" ca="1" si="232"/>
        <v>11</v>
      </c>
      <c r="D3053" s="1">
        <f t="shared" ca="1" si="229"/>
        <v>437</v>
      </c>
      <c r="E3053" s="2">
        <f t="shared" ca="1" si="230"/>
        <v>42882</v>
      </c>
      <c r="F3053" s="6">
        <f t="shared" ca="1" si="231"/>
        <v>9.7514481711214493</v>
      </c>
    </row>
    <row r="3054" spans="1:6">
      <c r="A3054" s="1">
        <v>9130456</v>
      </c>
      <c r="B3054">
        <f t="shared" ca="1" si="228"/>
        <v>0.50355665313424103</v>
      </c>
      <c r="C3054" s="1">
        <f t="shared" ca="1" si="232"/>
        <v>2</v>
      </c>
      <c r="D3054" s="1">
        <f t="shared" ca="1" si="229"/>
        <v>30</v>
      </c>
      <c r="E3054" s="2">
        <f t="shared" ca="1" si="230"/>
        <v>42826</v>
      </c>
      <c r="F3054" s="6">
        <f t="shared" ca="1" si="231"/>
        <v>3.1545364766124058</v>
      </c>
    </row>
    <row r="3055" spans="1:6">
      <c r="A3055" s="1">
        <v>9130459</v>
      </c>
      <c r="B3055">
        <f t="shared" ca="1" si="228"/>
        <v>0.75572996794463887</v>
      </c>
      <c r="C3055" s="1">
        <f t="shared" ca="1" si="232"/>
        <v>32</v>
      </c>
      <c r="D3055" s="1">
        <f t="shared" ca="1" si="229"/>
        <v>497</v>
      </c>
      <c r="E3055" s="2">
        <f t="shared" ca="1" si="230"/>
        <v>43346</v>
      </c>
      <c r="F3055" s="6">
        <f t="shared" ca="1" si="231"/>
        <v>254.12549818846156</v>
      </c>
    </row>
    <row r="3056" spans="1:6">
      <c r="A3056" s="1">
        <v>9130462</v>
      </c>
      <c r="B3056">
        <f t="shared" ca="1" si="228"/>
        <v>0.91458893984380618</v>
      </c>
      <c r="C3056" s="1">
        <f t="shared" ca="1" si="232"/>
        <v>6</v>
      </c>
      <c r="D3056" s="1">
        <f t="shared" ca="1" si="229"/>
        <v>208</v>
      </c>
      <c r="E3056" s="2">
        <f t="shared" ca="1" si="230"/>
        <v>43370</v>
      </c>
      <c r="F3056" s="6">
        <f t="shared" ca="1" si="231"/>
        <v>14.04990732292651</v>
      </c>
    </row>
    <row r="3057" spans="1:6">
      <c r="A3057" s="1">
        <v>9130465</v>
      </c>
      <c r="B3057">
        <f t="shared" ca="1" si="228"/>
        <v>0.22472982653009221</v>
      </c>
      <c r="C3057" s="1">
        <f t="shared" ca="1" si="232"/>
        <v>2</v>
      </c>
      <c r="D3057" s="1">
        <f t="shared" ca="1" si="229"/>
        <v>30</v>
      </c>
      <c r="E3057" s="2">
        <f t="shared" ca="1" si="230"/>
        <v>43318</v>
      </c>
      <c r="F3057" s="6">
        <f t="shared" ca="1" si="231"/>
        <v>214.60929117628106</v>
      </c>
    </row>
    <row r="3058" spans="1:6">
      <c r="A3058" s="1">
        <v>9130468</v>
      </c>
      <c r="B3058">
        <f t="shared" ca="1" si="228"/>
        <v>0.66093811450599804</v>
      </c>
      <c r="C3058" s="1">
        <f t="shared" ca="1" si="232"/>
        <v>24</v>
      </c>
      <c r="D3058" s="1">
        <f t="shared" ca="1" si="229"/>
        <v>334</v>
      </c>
      <c r="E3058" s="2">
        <f t="shared" ca="1" si="230"/>
        <v>43361</v>
      </c>
      <c r="F3058" s="6">
        <f t="shared" ca="1" si="231"/>
        <v>113.0641055432545</v>
      </c>
    </row>
    <row r="3059" spans="1:6">
      <c r="A3059" s="1">
        <v>9130471</v>
      </c>
      <c r="B3059">
        <f t="shared" ca="1" si="228"/>
        <v>8.8759167371488035E-2</v>
      </c>
      <c r="C3059" s="1">
        <f t="shared" ca="1" si="232"/>
        <v>121</v>
      </c>
      <c r="D3059" s="1">
        <f t="shared" ca="1" si="229"/>
        <v>243</v>
      </c>
      <c r="E3059" s="2">
        <f t="shared" ca="1" si="230"/>
        <v>42866</v>
      </c>
      <c r="F3059" s="6">
        <f t="shared" ca="1" si="231"/>
        <v>52.759454949716577</v>
      </c>
    </row>
    <row r="3060" spans="1:6">
      <c r="A3060" s="1">
        <v>9130474</v>
      </c>
      <c r="B3060">
        <f t="shared" ca="1" si="228"/>
        <v>0.73454232456539326</v>
      </c>
      <c r="C3060" s="1">
        <f t="shared" ca="1" si="232"/>
        <v>18</v>
      </c>
      <c r="D3060" s="1">
        <f t="shared" ca="1" si="229"/>
        <v>511</v>
      </c>
      <c r="E3060" s="2">
        <f t="shared" ca="1" si="230"/>
        <v>42951</v>
      </c>
      <c r="F3060" s="6">
        <f t="shared" ca="1" si="231"/>
        <v>87.82985167664269</v>
      </c>
    </row>
    <row r="3061" spans="1:6">
      <c r="A3061" s="1">
        <v>9130477</v>
      </c>
      <c r="B3061">
        <f t="shared" ca="1" si="228"/>
        <v>0.82503196420200497</v>
      </c>
      <c r="C3061" s="1">
        <f t="shared" ca="1" si="232"/>
        <v>35</v>
      </c>
      <c r="D3061" s="1">
        <f t="shared" ca="1" si="229"/>
        <v>423</v>
      </c>
      <c r="E3061" s="2">
        <f t="shared" ca="1" si="230"/>
        <v>42789</v>
      </c>
      <c r="F3061" s="6">
        <f t="shared" ca="1" si="231"/>
        <v>34.072417493545281</v>
      </c>
    </row>
    <row r="3062" spans="1:6">
      <c r="A3062" s="1">
        <v>9130480</v>
      </c>
      <c r="B3062">
        <f t="shared" ca="1" si="228"/>
        <v>0.16141076371586505</v>
      </c>
      <c r="C3062" s="1">
        <f t="shared" ca="1" si="232"/>
        <v>16</v>
      </c>
      <c r="D3062" s="1">
        <f t="shared" ca="1" si="229"/>
        <v>465</v>
      </c>
      <c r="E3062" s="2">
        <f t="shared" ca="1" si="230"/>
        <v>42857</v>
      </c>
      <c r="F3062" s="6">
        <f t="shared" ca="1" si="231"/>
        <v>30.831619066947482</v>
      </c>
    </row>
    <row r="3063" spans="1:6">
      <c r="A3063" s="1">
        <v>9130483</v>
      </c>
      <c r="B3063">
        <f t="shared" ca="1" si="228"/>
        <v>0.27658893045335353</v>
      </c>
      <c r="C3063" s="1">
        <f t="shared" ca="1" si="232"/>
        <v>1</v>
      </c>
      <c r="D3063" s="1">
        <f t="shared" ca="1" si="229"/>
        <v>474</v>
      </c>
      <c r="E3063" s="2">
        <f t="shared" ca="1" si="230"/>
        <v>43131</v>
      </c>
      <c r="F3063" s="6">
        <f t="shared" ca="1" si="231"/>
        <v>3.0240714725705766</v>
      </c>
    </row>
    <row r="3064" spans="1:6">
      <c r="A3064" s="1">
        <v>9130486</v>
      </c>
      <c r="B3064">
        <f t="shared" ca="1" si="228"/>
        <v>0.74123305713965104</v>
      </c>
      <c r="C3064" s="1">
        <f t="shared" ca="1" si="232"/>
        <v>18</v>
      </c>
      <c r="D3064" s="1">
        <f t="shared" ca="1" si="229"/>
        <v>511</v>
      </c>
      <c r="E3064" s="2">
        <f t="shared" ca="1" si="230"/>
        <v>43424</v>
      </c>
      <c r="F3064" s="6">
        <f t="shared" ca="1" si="231"/>
        <v>210.63486885854988</v>
      </c>
    </row>
    <row r="3065" spans="1:6">
      <c r="A3065" s="1">
        <v>9130489</v>
      </c>
      <c r="B3065">
        <f t="shared" ca="1" si="228"/>
        <v>0.54383609078117634</v>
      </c>
      <c r="C3065" s="1">
        <f t="shared" ca="1" si="232"/>
        <v>23</v>
      </c>
      <c r="D3065" s="1">
        <f t="shared" ca="1" si="229"/>
        <v>516</v>
      </c>
      <c r="E3065" s="2">
        <f t="shared" ca="1" si="230"/>
        <v>43492</v>
      </c>
      <c r="F3065" s="6">
        <f t="shared" ca="1" si="231"/>
        <v>30.909517075861483</v>
      </c>
    </row>
    <row r="3066" spans="1:6">
      <c r="A3066" s="1">
        <v>9130492</v>
      </c>
      <c r="B3066">
        <f t="shared" ca="1" si="228"/>
        <v>0.35026246265707817</v>
      </c>
      <c r="C3066" s="1">
        <f t="shared" ca="1" si="232"/>
        <v>2</v>
      </c>
      <c r="D3066" s="1">
        <f t="shared" ca="1" si="229"/>
        <v>30</v>
      </c>
      <c r="E3066" s="2">
        <f t="shared" ca="1" si="230"/>
        <v>43409</v>
      </c>
      <c r="F3066" s="6">
        <f t="shared" ca="1" si="231"/>
        <v>17.503338866494989</v>
      </c>
    </row>
    <row r="3067" spans="1:6">
      <c r="A3067" s="1">
        <v>9130495</v>
      </c>
      <c r="B3067">
        <f t="shared" ca="1" si="228"/>
        <v>0.29834630323650069</v>
      </c>
      <c r="C3067" s="1">
        <f t="shared" ca="1" si="232"/>
        <v>5</v>
      </c>
      <c r="D3067" s="1">
        <f t="shared" ca="1" si="229"/>
        <v>363</v>
      </c>
      <c r="E3067" s="2">
        <f t="shared" ca="1" si="230"/>
        <v>43056</v>
      </c>
      <c r="F3067" s="6">
        <f t="shared" ca="1" si="231"/>
        <v>24.167340661884555</v>
      </c>
    </row>
    <row r="3068" spans="1:6">
      <c r="A3068" s="1">
        <v>9130498</v>
      </c>
      <c r="B3068">
        <f t="shared" ca="1" si="228"/>
        <v>0.39806569028679573</v>
      </c>
      <c r="C3068" s="1">
        <f t="shared" ca="1" si="232"/>
        <v>266</v>
      </c>
      <c r="D3068" s="1">
        <f t="shared" ca="1" si="229"/>
        <v>85</v>
      </c>
      <c r="E3068" s="2">
        <f t="shared" ca="1" si="230"/>
        <v>43166</v>
      </c>
      <c r="F3068" s="6">
        <f t="shared" ca="1" si="231"/>
        <v>30.036739513886292</v>
      </c>
    </row>
    <row r="3069" spans="1:6">
      <c r="A3069" s="1">
        <v>9130501</v>
      </c>
      <c r="B3069">
        <f t="shared" ref="B3069:B3132" ca="1" si="233">RAND()</f>
        <v>0.64000904558709826</v>
      </c>
      <c r="C3069" s="1">
        <f t="shared" ca="1" si="232"/>
        <v>21</v>
      </c>
      <c r="D3069" s="1">
        <f t="shared" ref="D3069:D3132" ca="1" si="234">VLOOKUP(SMALL($B$2:$B$601,C3069),$B$2:$C$601,2,FALSE)</f>
        <v>566</v>
      </c>
      <c r="E3069" s="2">
        <f t="shared" ca="1" si="230"/>
        <v>43480</v>
      </c>
      <c r="F3069" s="6">
        <f t="shared" ca="1" si="231"/>
        <v>17.590716056116086</v>
      </c>
    </row>
    <row r="3070" spans="1:6">
      <c r="A3070" s="1">
        <v>9130504</v>
      </c>
      <c r="B3070">
        <f t="shared" ca="1" si="233"/>
        <v>8.9217453804457669E-4</v>
      </c>
      <c r="C3070" s="1">
        <f t="shared" ca="1" si="232"/>
        <v>3</v>
      </c>
      <c r="D3070" s="1">
        <f t="shared" ca="1" si="234"/>
        <v>263</v>
      </c>
      <c r="E3070" s="2">
        <f t="shared" ca="1" si="230"/>
        <v>43442</v>
      </c>
      <c r="F3070" s="6">
        <f t="shared" ca="1" si="231"/>
        <v>104.07190750877979</v>
      </c>
    </row>
    <row r="3071" spans="1:6">
      <c r="A3071" s="1">
        <v>9130507</v>
      </c>
      <c r="B3071">
        <f t="shared" ca="1" si="233"/>
        <v>0.13816689203193089</v>
      </c>
      <c r="C3071" s="1">
        <f t="shared" ca="1" si="232"/>
        <v>13</v>
      </c>
      <c r="D3071" s="1">
        <f t="shared" ca="1" si="234"/>
        <v>80</v>
      </c>
      <c r="E3071" s="2">
        <f t="shared" ca="1" si="230"/>
        <v>43266</v>
      </c>
      <c r="F3071" s="6">
        <f t="shared" ca="1" si="231"/>
        <v>9.8418774435857195</v>
      </c>
    </row>
    <row r="3072" spans="1:6">
      <c r="A3072" s="1">
        <v>9130510</v>
      </c>
      <c r="B3072">
        <f t="shared" ca="1" si="233"/>
        <v>0.75343891646032179</v>
      </c>
      <c r="C3072" s="1">
        <f t="shared" ca="1" si="232"/>
        <v>2</v>
      </c>
      <c r="D3072" s="1">
        <f t="shared" ca="1" si="234"/>
        <v>30</v>
      </c>
      <c r="E3072" s="2">
        <f t="shared" ca="1" si="230"/>
        <v>42821</v>
      </c>
      <c r="F3072" s="6">
        <f t="shared" ca="1" si="231"/>
        <v>43.011170247061678</v>
      </c>
    </row>
    <row r="3073" spans="1:6">
      <c r="A3073" s="1">
        <v>9130513</v>
      </c>
      <c r="B3073">
        <f t="shared" ca="1" si="233"/>
        <v>0.75678029180721218</v>
      </c>
      <c r="C3073" s="1">
        <f t="shared" ca="1" si="232"/>
        <v>76</v>
      </c>
      <c r="D3073" s="1">
        <f t="shared" ca="1" si="234"/>
        <v>293</v>
      </c>
      <c r="E3073" s="2">
        <f t="shared" ca="1" si="230"/>
        <v>43299</v>
      </c>
      <c r="F3073" s="6">
        <f t="shared" ca="1" si="231"/>
        <v>29.987331088702259</v>
      </c>
    </row>
    <row r="3074" spans="1:6">
      <c r="A3074" s="1">
        <v>9130516</v>
      </c>
      <c r="B3074">
        <f t="shared" ca="1" si="233"/>
        <v>0.99760751734922526</v>
      </c>
      <c r="C3074" s="1">
        <f t="shared" ca="1" si="232"/>
        <v>152</v>
      </c>
      <c r="D3074" s="1">
        <f t="shared" ca="1" si="234"/>
        <v>17</v>
      </c>
      <c r="E3074" s="2">
        <f t="shared" ca="1" si="230"/>
        <v>43272</v>
      </c>
      <c r="F3074" s="6">
        <f t="shared" ca="1" si="231"/>
        <v>38.420928369209648</v>
      </c>
    </row>
    <row r="3075" spans="1:6">
      <c r="A3075" s="1">
        <v>9130519</v>
      </c>
      <c r="B3075">
        <f t="shared" ca="1" si="233"/>
        <v>0.46167202538036189</v>
      </c>
      <c r="C3075" s="1">
        <f t="shared" ca="1" si="232"/>
        <v>4</v>
      </c>
      <c r="D3075" s="1">
        <f t="shared" ca="1" si="234"/>
        <v>493</v>
      </c>
      <c r="E3075" s="2">
        <f t="shared" ref="E3075:E3138" ca="1" si="235">RANDBETWEEN("1/1/17","2/1/19")</f>
        <v>43143</v>
      </c>
      <c r="F3075" s="6">
        <f t="shared" ref="F3075:F3138" ca="1" si="236">_xlfn.GAMMA.INV(RAND(),$J$6,$J$7)*100+3</f>
        <v>3.3341184864426969</v>
      </c>
    </row>
    <row r="3076" spans="1:6">
      <c r="A3076" s="1">
        <v>9130522</v>
      </c>
      <c r="B3076">
        <f t="shared" ca="1" si="233"/>
        <v>0.63762309652067939</v>
      </c>
      <c r="C3076" s="1">
        <f t="shared" ca="1" si="232"/>
        <v>7</v>
      </c>
      <c r="D3076" s="1">
        <f t="shared" ca="1" si="234"/>
        <v>138</v>
      </c>
      <c r="E3076" s="2">
        <f t="shared" ca="1" si="235"/>
        <v>43008</v>
      </c>
      <c r="F3076" s="6">
        <f t="shared" ca="1" si="236"/>
        <v>33.547359604728314</v>
      </c>
    </row>
    <row r="3077" spans="1:6">
      <c r="A3077" s="1">
        <v>9130525</v>
      </c>
      <c r="B3077">
        <f t="shared" ca="1" si="233"/>
        <v>0.98986264135047763</v>
      </c>
      <c r="C3077" s="1">
        <f t="shared" ca="1" si="232"/>
        <v>83</v>
      </c>
      <c r="D3077" s="1">
        <f t="shared" ca="1" si="234"/>
        <v>47</v>
      </c>
      <c r="E3077" s="2">
        <f t="shared" ca="1" si="235"/>
        <v>42913</v>
      </c>
      <c r="F3077" s="6">
        <f t="shared" ca="1" si="236"/>
        <v>54.85542761430424</v>
      </c>
    </row>
    <row r="3078" spans="1:6">
      <c r="A3078" s="1">
        <v>9130528</v>
      </c>
      <c r="B3078">
        <f t="shared" ca="1" si="233"/>
        <v>0.73705981415390198</v>
      </c>
      <c r="C3078" s="1">
        <f t="shared" ca="1" si="232"/>
        <v>53</v>
      </c>
      <c r="D3078" s="1">
        <f t="shared" ca="1" si="234"/>
        <v>155</v>
      </c>
      <c r="E3078" s="2">
        <f t="shared" ca="1" si="235"/>
        <v>43404</v>
      </c>
      <c r="F3078" s="6">
        <f t="shared" ca="1" si="236"/>
        <v>10.963201943118328</v>
      </c>
    </row>
    <row r="3079" spans="1:6">
      <c r="A3079" s="1">
        <v>9130531</v>
      </c>
      <c r="B3079">
        <f t="shared" ca="1" si="233"/>
        <v>7.2219194759499006E-2</v>
      </c>
      <c r="C3079" s="1">
        <f t="shared" ca="1" si="232"/>
        <v>8</v>
      </c>
      <c r="D3079" s="1">
        <f t="shared" ca="1" si="234"/>
        <v>456</v>
      </c>
      <c r="E3079" s="2">
        <f t="shared" ca="1" si="235"/>
        <v>42982</v>
      </c>
      <c r="F3079" s="6">
        <f t="shared" ca="1" si="236"/>
        <v>27.175144109013736</v>
      </c>
    </row>
    <row r="3080" spans="1:6">
      <c r="A3080" s="1">
        <v>9130534</v>
      </c>
      <c r="B3080">
        <f t="shared" ca="1" si="233"/>
        <v>0.1646606309109141</v>
      </c>
      <c r="C3080" s="1">
        <f t="shared" ca="1" si="232"/>
        <v>5</v>
      </c>
      <c r="D3080" s="1">
        <f t="shared" ca="1" si="234"/>
        <v>363</v>
      </c>
      <c r="E3080" s="2">
        <f t="shared" ca="1" si="235"/>
        <v>43453</v>
      </c>
      <c r="F3080" s="6">
        <f t="shared" ca="1" si="236"/>
        <v>293.67273448370202</v>
      </c>
    </row>
    <row r="3081" spans="1:6">
      <c r="A3081" s="1">
        <v>9130537</v>
      </c>
      <c r="B3081">
        <f t="shared" ca="1" si="233"/>
        <v>0.35397063701759723</v>
      </c>
      <c r="C3081" s="1">
        <f t="shared" ca="1" si="232"/>
        <v>3</v>
      </c>
      <c r="D3081" s="1">
        <f t="shared" ca="1" si="234"/>
        <v>263</v>
      </c>
      <c r="E3081" s="2">
        <f t="shared" ca="1" si="235"/>
        <v>43016</v>
      </c>
      <c r="F3081" s="6">
        <f t="shared" ca="1" si="236"/>
        <v>88.358854606973154</v>
      </c>
    </row>
    <row r="3082" spans="1:6">
      <c r="A3082" s="1">
        <v>9130540</v>
      </c>
      <c r="B3082">
        <f t="shared" ca="1" si="233"/>
        <v>9.9278747103143772E-2</v>
      </c>
      <c r="C3082" s="1">
        <f t="shared" ca="1" si="232"/>
        <v>6</v>
      </c>
      <c r="D3082" s="1">
        <f t="shared" ca="1" si="234"/>
        <v>208</v>
      </c>
      <c r="E3082" s="2">
        <f t="shared" ca="1" si="235"/>
        <v>43182</v>
      </c>
      <c r="F3082" s="6">
        <f t="shared" ca="1" si="236"/>
        <v>26.71804918136068</v>
      </c>
    </row>
    <row r="3083" spans="1:6">
      <c r="A3083" s="1">
        <v>9130543</v>
      </c>
      <c r="B3083">
        <f t="shared" ca="1" si="233"/>
        <v>0.36430247321647447</v>
      </c>
      <c r="C3083" s="1">
        <f t="shared" ca="1" si="232"/>
        <v>3</v>
      </c>
      <c r="D3083" s="1">
        <f t="shared" ca="1" si="234"/>
        <v>263</v>
      </c>
      <c r="E3083" s="2">
        <f t="shared" ca="1" si="235"/>
        <v>43449</v>
      </c>
      <c r="F3083" s="6">
        <f t="shared" ca="1" si="236"/>
        <v>37.061410242970034</v>
      </c>
    </row>
    <row r="3084" spans="1:6">
      <c r="A3084" s="1">
        <v>9130546</v>
      </c>
      <c r="B3084">
        <f t="shared" ca="1" si="233"/>
        <v>0.46013158438992607</v>
      </c>
      <c r="C3084" s="1">
        <f t="shared" ca="1" si="232"/>
        <v>1</v>
      </c>
      <c r="D3084" s="1">
        <f t="shared" ca="1" si="234"/>
        <v>474</v>
      </c>
      <c r="E3084" s="2">
        <f t="shared" ca="1" si="235"/>
        <v>43239</v>
      </c>
      <c r="F3084" s="6">
        <f t="shared" ca="1" si="236"/>
        <v>3.1572557249185822</v>
      </c>
    </row>
    <row r="3085" spans="1:6">
      <c r="A3085" s="1">
        <v>9130549</v>
      </c>
      <c r="B3085">
        <f t="shared" ca="1" si="233"/>
        <v>4.9020036686919122E-2</v>
      </c>
      <c r="C3085" s="1">
        <f t="shared" ca="1" si="232"/>
        <v>342</v>
      </c>
      <c r="D3085" s="1">
        <f t="shared" ca="1" si="234"/>
        <v>297</v>
      </c>
      <c r="E3085" s="2">
        <f t="shared" ca="1" si="235"/>
        <v>43000</v>
      </c>
      <c r="F3085" s="6">
        <f t="shared" ca="1" si="236"/>
        <v>3.0404334349154811</v>
      </c>
    </row>
    <row r="3086" spans="1:6">
      <c r="A3086" s="1">
        <v>9130552</v>
      </c>
      <c r="B3086">
        <f t="shared" ca="1" si="233"/>
        <v>0.4948327173130066</v>
      </c>
      <c r="C3086" s="1">
        <f t="shared" ca="1" si="232"/>
        <v>82</v>
      </c>
      <c r="D3086" s="1">
        <f t="shared" ca="1" si="234"/>
        <v>143</v>
      </c>
      <c r="E3086" s="2">
        <f t="shared" ca="1" si="235"/>
        <v>42825</v>
      </c>
      <c r="F3086" s="6">
        <f t="shared" ca="1" si="236"/>
        <v>40.504290884451223</v>
      </c>
    </row>
    <row r="3087" spans="1:6">
      <c r="A3087" s="1">
        <v>9130555</v>
      </c>
      <c r="B3087">
        <f t="shared" ca="1" si="233"/>
        <v>0.54647659155376294</v>
      </c>
      <c r="C3087" s="1">
        <f t="shared" ca="1" si="232"/>
        <v>66</v>
      </c>
      <c r="D3087" s="1">
        <f t="shared" ca="1" si="234"/>
        <v>128</v>
      </c>
      <c r="E3087" s="2">
        <f t="shared" ca="1" si="235"/>
        <v>43281</v>
      </c>
      <c r="F3087" s="6">
        <f t="shared" ca="1" si="236"/>
        <v>18.344168054396611</v>
      </c>
    </row>
    <row r="3088" spans="1:6">
      <c r="A3088" s="1">
        <v>9130558</v>
      </c>
      <c r="B3088">
        <f t="shared" ca="1" si="233"/>
        <v>0.18889000363101915</v>
      </c>
      <c r="C3088" s="1">
        <f t="shared" ca="1" si="232"/>
        <v>125</v>
      </c>
      <c r="D3088" s="1">
        <f t="shared" ca="1" si="234"/>
        <v>83</v>
      </c>
      <c r="E3088" s="2">
        <f t="shared" ca="1" si="235"/>
        <v>43491</v>
      </c>
      <c r="F3088" s="6">
        <f t="shared" ca="1" si="236"/>
        <v>106.54266237826381</v>
      </c>
    </row>
    <row r="3089" spans="1:6">
      <c r="A3089" s="1">
        <v>9130561</v>
      </c>
      <c r="B3089">
        <f t="shared" ca="1" si="233"/>
        <v>0.64905594340235628</v>
      </c>
      <c r="C3089" s="1">
        <f t="shared" ca="1" si="232"/>
        <v>37</v>
      </c>
      <c r="D3089" s="1">
        <f t="shared" ca="1" si="234"/>
        <v>517</v>
      </c>
      <c r="E3089" s="2">
        <f t="shared" ca="1" si="235"/>
        <v>43207</v>
      </c>
      <c r="F3089" s="6">
        <f t="shared" ca="1" si="236"/>
        <v>4.5539426189013525</v>
      </c>
    </row>
    <row r="3090" spans="1:6">
      <c r="A3090" s="1">
        <v>9130564</v>
      </c>
      <c r="B3090">
        <f t="shared" ca="1" si="233"/>
        <v>0.69321406753523718</v>
      </c>
      <c r="C3090" s="1">
        <f t="shared" ca="1" si="232"/>
        <v>13</v>
      </c>
      <c r="D3090" s="1">
        <f t="shared" ca="1" si="234"/>
        <v>80</v>
      </c>
      <c r="E3090" s="2">
        <f t="shared" ca="1" si="235"/>
        <v>43328</v>
      </c>
      <c r="F3090" s="6">
        <f t="shared" ca="1" si="236"/>
        <v>3.3803521763849291</v>
      </c>
    </row>
    <row r="3091" spans="1:6">
      <c r="A3091" s="1">
        <v>9130567</v>
      </c>
      <c r="B3091">
        <f t="shared" ca="1" si="233"/>
        <v>0.54933377343397782</v>
      </c>
      <c r="C3091" s="1">
        <f t="shared" ca="1" si="232"/>
        <v>62</v>
      </c>
      <c r="D3091" s="1">
        <f t="shared" ca="1" si="234"/>
        <v>235</v>
      </c>
      <c r="E3091" s="2">
        <f t="shared" ca="1" si="235"/>
        <v>42813</v>
      </c>
      <c r="F3091" s="6">
        <f t="shared" ca="1" si="236"/>
        <v>303.77663694662238</v>
      </c>
    </row>
    <row r="3092" spans="1:6">
      <c r="A3092" s="1">
        <v>9130570</v>
      </c>
      <c r="B3092">
        <f t="shared" ca="1" si="233"/>
        <v>0.38411748525141554</v>
      </c>
      <c r="C3092" s="1">
        <f t="shared" ca="1" si="232"/>
        <v>37</v>
      </c>
      <c r="D3092" s="1">
        <f t="shared" ca="1" si="234"/>
        <v>517</v>
      </c>
      <c r="E3092" s="2">
        <f t="shared" ca="1" si="235"/>
        <v>43486</v>
      </c>
      <c r="F3092" s="6">
        <f t="shared" ca="1" si="236"/>
        <v>38.580272755427366</v>
      </c>
    </row>
    <row r="3093" spans="1:6">
      <c r="A3093" s="1">
        <v>9130573</v>
      </c>
      <c r="B3093">
        <f t="shared" ca="1" si="233"/>
        <v>0.74186917185321188</v>
      </c>
      <c r="C3093" s="1">
        <f t="shared" ca="1" si="232"/>
        <v>42</v>
      </c>
      <c r="D3093" s="1">
        <f t="shared" ca="1" si="234"/>
        <v>36</v>
      </c>
      <c r="E3093" s="2">
        <f t="shared" ca="1" si="235"/>
        <v>42927</v>
      </c>
      <c r="F3093" s="6">
        <f t="shared" ca="1" si="236"/>
        <v>21.439675001828942</v>
      </c>
    </row>
    <row r="3094" spans="1:6">
      <c r="A3094" s="1">
        <v>9130576</v>
      </c>
      <c r="B3094">
        <f t="shared" ca="1" si="233"/>
        <v>0.94750063153594433</v>
      </c>
      <c r="C3094" s="1">
        <f t="shared" ca="1" si="232"/>
        <v>28</v>
      </c>
      <c r="D3094" s="1">
        <f t="shared" ca="1" si="234"/>
        <v>401</v>
      </c>
      <c r="E3094" s="2">
        <f t="shared" ca="1" si="235"/>
        <v>42741</v>
      </c>
      <c r="F3094" s="6">
        <f t="shared" ca="1" si="236"/>
        <v>6.0940393661932282</v>
      </c>
    </row>
    <row r="3095" spans="1:6">
      <c r="A3095" s="1">
        <v>9130579</v>
      </c>
      <c r="B3095">
        <f t="shared" ca="1" si="233"/>
        <v>0.28221289343916789</v>
      </c>
      <c r="C3095" s="1">
        <f t="shared" ca="1" si="232"/>
        <v>157</v>
      </c>
      <c r="D3095" s="1">
        <f t="shared" ca="1" si="234"/>
        <v>308</v>
      </c>
      <c r="E3095" s="2">
        <f t="shared" ca="1" si="235"/>
        <v>42972</v>
      </c>
      <c r="F3095" s="6">
        <f t="shared" ca="1" si="236"/>
        <v>153.6152697613775</v>
      </c>
    </row>
    <row r="3096" spans="1:6">
      <c r="A3096" s="1">
        <v>9130582</v>
      </c>
      <c r="B3096">
        <f t="shared" ca="1" si="233"/>
        <v>0.59863051788992094</v>
      </c>
      <c r="C3096" s="1">
        <f t="shared" ca="1" si="232"/>
        <v>4</v>
      </c>
      <c r="D3096" s="1">
        <f t="shared" ca="1" si="234"/>
        <v>493</v>
      </c>
      <c r="E3096" s="2">
        <f t="shared" ca="1" si="235"/>
        <v>43182</v>
      </c>
      <c r="F3096" s="6">
        <f t="shared" ca="1" si="236"/>
        <v>41.682911816911101</v>
      </c>
    </row>
    <row r="3097" spans="1:6">
      <c r="A3097" s="1">
        <v>9130585</v>
      </c>
      <c r="B3097">
        <f t="shared" ca="1" si="233"/>
        <v>0.20977573594351373</v>
      </c>
      <c r="C3097" s="1">
        <f t="shared" ca="1" si="232"/>
        <v>4</v>
      </c>
      <c r="D3097" s="1">
        <f t="shared" ca="1" si="234"/>
        <v>493</v>
      </c>
      <c r="E3097" s="2">
        <f t="shared" ca="1" si="235"/>
        <v>43033</v>
      </c>
      <c r="F3097" s="6">
        <f t="shared" ca="1" si="236"/>
        <v>37.850443814524368</v>
      </c>
    </row>
    <row r="3098" spans="1:6">
      <c r="A3098" s="1">
        <v>9130588</v>
      </c>
      <c r="B3098">
        <f t="shared" ca="1" si="233"/>
        <v>0.89623975492662356</v>
      </c>
      <c r="C3098" s="1">
        <f t="shared" ca="1" si="232"/>
        <v>34</v>
      </c>
      <c r="D3098" s="1">
        <f t="shared" ca="1" si="234"/>
        <v>503</v>
      </c>
      <c r="E3098" s="2">
        <f t="shared" ca="1" si="235"/>
        <v>42789</v>
      </c>
      <c r="F3098" s="6">
        <f t="shared" ca="1" si="236"/>
        <v>5.3990761927905098</v>
      </c>
    </row>
    <row r="3099" spans="1:6">
      <c r="A3099" s="1">
        <v>9130591</v>
      </c>
      <c r="B3099">
        <f t="shared" ca="1" si="233"/>
        <v>0.94714609149411255</v>
      </c>
      <c r="C3099" s="1">
        <f t="shared" ref="C3099:C3162" ca="1" si="237">ROUND(_xlfn.GAMMA.INV(RAND(),$J$11,$J$12)*100,0)+1</f>
        <v>3</v>
      </c>
      <c r="D3099" s="1">
        <f t="shared" ca="1" si="234"/>
        <v>263</v>
      </c>
      <c r="E3099" s="2">
        <f t="shared" ca="1" si="235"/>
        <v>43184</v>
      </c>
      <c r="F3099" s="6">
        <f t="shared" ca="1" si="236"/>
        <v>24.508624714477246</v>
      </c>
    </row>
    <row r="3100" spans="1:6">
      <c r="A3100" s="1">
        <v>9130594</v>
      </c>
      <c r="B3100">
        <f t="shared" ca="1" si="233"/>
        <v>0.80512486444757303</v>
      </c>
      <c r="C3100" s="1">
        <f t="shared" ca="1" si="237"/>
        <v>2</v>
      </c>
      <c r="D3100" s="1">
        <f t="shared" ca="1" si="234"/>
        <v>30</v>
      </c>
      <c r="E3100" s="2">
        <f t="shared" ca="1" si="235"/>
        <v>42997</v>
      </c>
      <c r="F3100" s="6">
        <f t="shared" ca="1" si="236"/>
        <v>33.591747102233924</v>
      </c>
    </row>
    <row r="3101" spans="1:6">
      <c r="A3101" s="1">
        <v>9130597</v>
      </c>
      <c r="B3101">
        <f t="shared" ca="1" si="233"/>
        <v>0.73058123808133146</v>
      </c>
      <c r="C3101" s="1">
        <f t="shared" ca="1" si="237"/>
        <v>199</v>
      </c>
      <c r="D3101" s="1">
        <f t="shared" ca="1" si="234"/>
        <v>221</v>
      </c>
      <c r="E3101" s="2">
        <f t="shared" ca="1" si="235"/>
        <v>42916</v>
      </c>
      <c r="F3101" s="6">
        <f t="shared" ca="1" si="236"/>
        <v>7.2474337699899438</v>
      </c>
    </row>
    <row r="3102" spans="1:6">
      <c r="A3102" s="1">
        <v>9130600</v>
      </c>
      <c r="B3102">
        <f t="shared" ca="1" si="233"/>
        <v>0.1821020052234168</v>
      </c>
      <c r="C3102" s="1">
        <f t="shared" ca="1" si="237"/>
        <v>80</v>
      </c>
      <c r="D3102" s="1">
        <f t="shared" ca="1" si="234"/>
        <v>163</v>
      </c>
      <c r="E3102" s="2">
        <f t="shared" ca="1" si="235"/>
        <v>42839</v>
      </c>
      <c r="F3102" s="6">
        <f t="shared" ca="1" si="236"/>
        <v>3.9973324526254594</v>
      </c>
    </row>
    <row r="3103" spans="1:6">
      <c r="A3103" s="1">
        <v>9130603</v>
      </c>
      <c r="B3103">
        <f t="shared" ca="1" si="233"/>
        <v>0.439152625932275</v>
      </c>
      <c r="C3103" s="1">
        <f t="shared" ca="1" si="237"/>
        <v>86</v>
      </c>
      <c r="D3103" s="1">
        <f t="shared" ca="1" si="234"/>
        <v>526</v>
      </c>
      <c r="E3103" s="2">
        <f t="shared" ca="1" si="235"/>
        <v>43350</v>
      </c>
      <c r="F3103" s="6">
        <f t="shared" ca="1" si="236"/>
        <v>13.418556819622573</v>
      </c>
    </row>
    <row r="3104" spans="1:6">
      <c r="A3104" s="1">
        <v>9130606</v>
      </c>
      <c r="B3104">
        <f t="shared" ca="1" si="233"/>
        <v>8.0200329187647856E-2</v>
      </c>
      <c r="C3104" s="1">
        <f t="shared" ca="1" si="237"/>
        <v>314</v>
      </c>
      <c r="D3104" s="1">
        <f t="shared" ca="1" si="234"/>
        <v>439</v>
      </c>
      <c r="E3104" s="2">
        <f t="shared" ca="1" si="235"/>
        <v>42881</v>
      </c>
      <c r="F3104" s="6">
        <f t="shared" ca="1" si="236"/>
        <v>3.9996334488946941</v>
      </c>
    </row>
    <row r="3105" spans="1:6">
      <c r="A3105" s="1">
        <v>9130609</v>
      </c>
      <c r="B3105">
        <f t="shared" ca="1" si="233"/>
        <v>0.85926649825341106</v>
      </c>
      <c r="C3105" s="1">
        <f t="shared" ca="1" si="237"/>
        <v>15</v>
      </c>
      <c r="D3105" s="1">
        <f t="shared" ca="1" si="234"/>
        <v>284</v>
      </c>
      <c r="E3105" s="2">
        <f t="shared" ca="1" si="235"/>
        <v>42890</v>
      </c>
      <c r="F3105" s="6">
        <f t="shared" ca="1" si="236"/>
        <v>85.97275374752472</v>
      </c>
    </row>
    <row r="3106" spans="1:6">
      <c r="A3106" s="1">
        <v>9130612</v>
      </c>
      <c r="B3106">
        <f t="shared" ca="1" si="233"/>
        <v>0.99356103068309654</v>
      </c>
      <c r="C3106" s="1">
        <f t="shared" ca="1" si="237"/>
        <v>60</v>
      </c>
      <c r="D3106" s="1">
        <f t="shared" ca="1" si="234"/>
        <v>422</v>
      </c>
      <c r="E3106" s="2">
        <f t="shared" ca="1" si="235"/>
        <v>42899</v>
      </c>
      <c r="F3106" s="6">
        <f t="shared" ca="1" si="236"/>
        <v>12.039391725430491</v>
      </c>
    </row>
    <row r="3107" spans="1:6">
      <c r="A3107" s="1">
        <v>9130615</v>
      </c>
      <c r="B3107">
        <f t="shared" ca="1" si="233"/>
        <v>0.8657960351990307</v>
      </c>
      <c r="C3107" s="1">
        <f t="shared" ca="1" si="237"/>
        <v>49</v>
      </c>
      <c r="D3107" s="1">
        <f t="shared" ca="1" si="234"/>
        <v>26</v>
      </c>
      <c r="E3107" s="2">
        <f t="shared" ca="1" si="235"/>
        <v>43163</v>
      </c>
      <c r="F3107" s="6">
        <f t="shared" ca="1" si="236"/>
        <v>407.85061502557363</v>
      </c>
    </row>
    <row r="3108" spans="1:6">
      <c r="A3108" s="1">
        <v>9130618</v>
      </c>
      <c r="B3108">
        <f t="shared" ca="1" si="233"/>
        <v>0.72862313502676435</v>
      </c>
      <c r="C3108" s="1">
        <f t="shared" ca="1" si="237"/>
        <v>346</v>
      </c>
      <c r="D3108" s="1">
        <f t="shared" ca="1" si="234"/>
        <v>420</v>
      </c>
      <c r="E3108" s="2">
        <f t="shared" ca="1" si="235"/>
        <v>43489</v>
      </c>
      <c r="F3108" s="6">
        <f t="shared" ca="1" si="236"/>
        <v>5.1756043794667015</v>
      </c>
    </row>
    <row r="3109" spans="1:6">
      <c r="A3109" s="1">
        <v>9130621</v>
      </c>
      <c r="B3109">
        <f t="shared" ca="1" si="233"/>
        <v>0.28590102600390199</v>
      </c>
      <c r="C3109" s="1">
        <f t="shared" ca="1" si="237"/>
        <v>1</v>
      </c>
      <c r="D3109" s="1">
        <f t="shared" ca="1" si="234"/>
        <v>474</v>
      </c>
      <c r="E3109" s="2">
        <f t="shared" ca="1" si="235"/>
        <v>43372</v>
      </c>
      <c r="F3109" s="6">
        <f t="shared" ca="1" si="236"/>
        <v>126.11323081860111</v>
      </c>
    </row>
    <row r="3110" spans="1:6">
      <c r="A3110" s="1">
        <v>9130624</v>
      </c>
      <c r="B3110">
        <f t="shared" ca="1" si="233"/>
        <v>0.2912733415982055</v>
      </c>
      <c r="C3110" s="1">
        <f t="shared" ca="1" si="237"/>
        <v>83</v>
      </c>
      <c r="D3110" s="1">
        <f t="shared" ca="1" si="234"/>
        <v>47</v>
      </c>
      <c r="E3110" s="2">
        <f t="shared" ca="1" si="235"/>
        <v>43433</v>
      </c>
      <c r="F3110" s="6">
        <f t="shared" ca="1" si="236"/>
        <v>4.7529364332600839</v>
      </c>
    </row>
    <row r="3111" spans="1:6">
      <c r="A3111" s="1">
        <v>9130627</v>
      </c>
      <c r="B3111">
        <f t="shared" ca="1" si="233"/>
        <v>0.24666537815227985</v>
      </c>
      <c r="C3111" s="1">
        <f t="shared" ca="1" si="237"/>
        <v>42</v>
      </c>
      <c r="D3111" s="1">
        <f t="shared" ca="1" si="234"/>
        <v>36</v>
      </c>
      <c r="E3111" s="2">
        <f t="shared" ca="1" si="235"/>
        <v>43026</v>
      </c>
      <c r="F3111" s="6">
        <f t="shared" ca="1" si="236"/>
        <v>22.349543316166685</v>
      </c>
    </row>
    <row r="3112" spans="1:6">
      <c r="A3112" s="1">
        <v>9130630</v>
      </c>
      <c r="B3112">
        <f t="shared" ca="1" si="233"/>
        <v>0.13857813557924503</v>
      </c>
      <c r="C3112" s="1">
        <f t="shared" ca="1" si="237"/>
        <v>33</v>
      </c>
      <c r="D3112" s="1">
        <f t="shared" ca="1" si="234"/>
        <v>501</v>
      </c>
      <c r="E3112" s="2">
        <f t="shared" ca="1" si="235"/>
        <v>42833</v>
      </c>
      <c r="F3112" s="6">
        <f t="shared" ca="1" si="236"/>
        <v>29.377275107905856</v>
      </c>
    </row>
    <row r="3113" spans="1:6">
      <c r="A3113" s="1">
        <v>9130633</v>
      </c>
      <c r="B3113">
        <f t="shared" ca="1" si="233"/>
        <v>0.77171398802444846</v>
      </c>
      <c r="C3113" s="1">
        <f t="shared" ca="1" si="237"/>
        <v>11</v>
      </c>
      <c r="D3113" s="1">
        <f t="shared" ca="1" si="234"/>
        <v>437</v>
      </c>
      <c r="E3113" s="2">
        <f t="shared" ca="1" si="235"/>
        <v>43477</v>
      </c>
      <c r="F3113" s="6">
        <f t="shared" ca="1" si="236"/>
        <v>184.43685575229469</v>
      </c>
    </row>
    <row r="3114" spans="1:6">
      <c r="A3114" s="1">
        <v>9130636</v>
      </c>
      <c r="B3114">
        <f t="shared" ca="1" si="233"/>
        <v>0.49139957239590626</v>
      </c>
      <c r="C3114" s="1">
        <f t="shared" ca="1" si="237"/>
        <v>18</v>
      </c>
      <c r="D3114" s="1">
        <f t="shared" ca="1" si="234"/>
        <v>511</v>
      </c>
      <c r="E3114" s="2">
        <f t="shared" ca="1" si="235"/>
        <v>42787</v>
      </c>
      <c r="F3114" s="6">
        <f t="shared" ca="1" si="236"/>
        <v>79.304801114373888</v>
      </c>
    </row>
    <row r="3115" spans="1:6">
      <c r="A3115" s="1">
        <v>9130639</v>
      </c>
      <c r="B3115">
        <f t="shared" ca="1" si="233"/>
        <v>0.62099797156545489</v>
      </c>
      <c r="C3115" s="1">
        <f t="shared" ca="1" si="237"/>
        <v>1</v>
      </c>
      <c r="D3115" s="1">
        <f t="shared" ca="1" si="234"/>
        <v>474</v>
      </c>
      <c r="E3115" s="2">
        <f t="shared" ca="1" si="235"/>
        <v>43145</v>
      </c>
      <c r="F3115" s="6">
        <f t="shared" ca="1" si="236"/>
        <v>11.132153985727117</v>
      </c>
    </row>
    <row r="3116" spans="1:6">
      <c r="A3116" s="1">
        <v>9130642</v>
      </c>
      <c r="B3116">
        <f t="shared" ca="1" si="233"/>
        <v>0.68622618825348525</v>
      </c>
      <c r="C3116" s="1">
        <f t="shared" ca="1" si="237"/>
        <v>135</v>
      </c>
      <c r="D3116" s="1">
        <f t="shared" ca="1" si="234"/>
        <v>231</v>
      </c>
      <c r="E3116" s="2">
        <f t="shared" ca="1" si="235"/>
        <v>42795</v>
      </c>
      <c r="F3116" s="6">
        <f t="shared" ca="1" si="236"/>
        <v>3.6017781121190957</v>
      </c>
    </row>
    <row r="3117" spans="1:6">
      <c r="A3117" s="1">
        <v>9130645</v>
      </c>
      <c r="B3117">
        <f t="shared" ca="1" si="233"/>
        <v>0.11473145541663388</v>
      </c>
      <c r="C3117" s="1">
        <f t="shared" ca="1" si="237"/>
        <v>113</v>
      </c>
      <c r="D3117" s="1">
        <f t="shared" ca="1" si="234"/>
        <v>330</v>
      </c>
      <c r="E3117" s="2">
        <f t="shared" ca="1" si="235"/>
        <v>43103</v>
      </c>
      <c r="F3117" s="6">
        <f t="shared" ca="1" si="236"/>
        <v>36.617810442994752</v>
      </c>
    </row>
    <row r="3118" spans="1:6">
      <c r="A3118" s="1">
        <v>9130648</v>
      </c>
      <c r="B3118">
        <f t="shared" ca="1" si="233"/>
        <v>5.0090576934847642E-2</v>
      </c>
      <c r="C3118" s="1">
        <f t="shared" ca="1" si="237"/>
        <v>14</v>
      </c>
      <c r="D3118" s="1">
        <f t="shared" ca="1" si="234"/>
        <v>576</v>
      </c>
      <c r="E3118" s="2">
        <f t="shared" ca="1" si="235"/>
        <v>42955</v>
      </c>
      <c r="F3118" s="6">
        <f t="shared" ca="1" si="236"/>
        <v>67.327546401043264</v>
      </c>
    </row>
    <row r="3119" spans="1:6">
      <c r="A3119" s="1">
        <v>9130651</v>
      </c>
      <c r="B3119">
        <f t="shared" ca="1" si="233"/>
        <v>0.32309742474418734</v>
      </c>
      <c r="C3119" s="1">
        <f t="shared" ca="1" si="237"/>
        <v>29</v>
      </c>
      <c r="D3119" s="1">
        <f t="shared" ca="1" si="234"/>
        <v>514</v>
      </c>
      <c r="E3119" s="2">
        <f t="shared" ca="1" si="235"/>
        <v>42745</v>
      </c>
      <c r="F3119" s="6">
        <f t="shared" ca="1" si="236"/>
        <v>16.967727138371238</v>
      </c>
    </row>
    <row r="3120" spans="1:6">
      <c r="A3120" s="1">
        <v>9130654</v>
      </c>
      <c r="B3120">
        <f t="shared" ca="1" si="233"/>
        <v>3.9921836236826103E-2</v>
      </c>
      <c r="C3120" s="1">
        <f t="shared" ca="1" si="237"/>
        <v>82</v>
      </c>
      <c r="D3120" s="1">
        <f t="shared" ca="1" si="234"/>
        <v>143</v>
      </c>
      <c r="E3120" s="2">
        <f t="shared" ca="1" si="235"/>
        <v>42806</v>
      </c>
      <c r="F3120" s="6">
        <f t="shared" ca="1" si="236"/>
        <v>22.95715835925575</v>
      </c>
    </row>
    <row r="3121" spans="1:6">
      <c r="A3121" s="1">
        <v>9130657</v>
      </c>
      <c r="B3121">
        <f t="shared" ca="1" si="233"/>
        <v>0.26685157116740921</v>
      </c>
      <c r="C3121" s="1">
        <f t="shared" ca="1" si="237"/>
        <v>35</v>
      </c>
      <c r="D3121" s="1">
        <f t="shared" ca="1" si="234"/>
        <v>423</v>
      </c>
      <c r="E3121" s="2">
        <f t="shared" ca="1" si="235"/>
        <v>43208</v>
      </c>
      <c r="F3121" s="6">
        <f t="shared" ca="1" si="236"/>
        <v>30.484624068358066</v>
      </c>
    </row>
    <row r="3122" spans="1:6">
      <c r="A3122" s="1">
        <v>9130660</v>
      </c>
      <c r="B3122">
        <f t="shared" ca="1" si="233"/>
        <v>4.1745726898311575E-2</v>
      </c>
      <c r="C3122" s="1">
        <f t="shared" ca="1" si="237"/>
        <v>1</v>
      </c>
      <c r="D3122" s="1">
        <f t="shared" ca="1" si="234"/>
        <v>474</v>
      </c>
      <c r="E3122" s="2">
        <f t="shared" ca="1" si="235"/>
        <v>43310</v>
      </c>
      <c r="F3122" s="6">
        <f t="shared" ca="1" si="236"/>
        <v>27.843668287595406</v>
      </c>
    </row>
    <row r="3123" spans="1:6">
      <c r="A3123" s="1">
        <v>9130663</v>
      </c>
      <c r="B3123">
        <f t="shared" ca="1" si="233"/>
        <v>0.2043568103476634</v>
      </c>
      <c r="C3123" s="1">
        <f t="shared" ca="1" si="237"/>
        <v>16</v>
      </c>
      <c r="D3123" s="1">
        <f t="shared" ca="1" si="234"/>
        <v>465</v>
      </c>
      <c r="E3123" s="2">
        <f t="shared" ca="1" si="235"/>
        <v>43264</v>
      </c>
      <c r="F3123" s="6">
        <f t="shared" ca="1" si="236"/>
        <v>36.216833023726736</v>
      </c>
    </row>
    <row r="3124" spans="1:6">
      <c r="A3124" s="1">
        <v>9130666</v>
      </c>
      <c r="B3124">
        <f t="shared" ca="1" si="233"/>
        <v>0.70091899232405941</v>
      </c>
      <c r="C3124" s="1">
        <f t="shared" ca="1" si="237"/>
        <v>370</v>
      </c>
      <c r="D3124" s="1">
        <f t="shared" ca="1" si="234"/>
        <v>116</v>
      </c>
      <c r="E3124" s="2">
        <f t="shared" ca="1" si="235"/>
        <v>42888</v>
      </c>
      <c r="F3124" s="6">
        <f t="shared" ca="1" si="236"/>
        <v>29.580835185145947</v>
      </c>
    </row>
    <row r="3125" spans="1:6">
      <c r="A3125" s="1">
        <v>9130669</v>
      </c>
      <c r="B3125">
        <f t="shared" ca="1" si="233"/>
        <v>1.9754105065323935E-2</v>
      </c>
      <c r="C3125" s="1">
        <f t="shared" ca="1" si="237"/>
        <v>1</v>
      </c>
      <c r="D3125" s="1">
        <f t="shared" ca="1" si="234"/>
        <v>474</v>
      </c>
      <c r="E3125" s="2">
        <f t="shared" ca="1" si="235"/>
        <v>42836</v>
      </c>
      <c r="F3125" s="6">
        <f t="shared" ca="1" si="236"/>
        <v>5.2188868255738559</v>
      </c>
    </row>
    <row r="3126" spans="1:6">
      <c r="A3126" s="1">
        <v>9130672</v>
      </c>
      <c r="B3126">
        <f t="shared" ca="1" si="233"/>
        <v>6.3649369672926226E-2</v>
      </c>
      <c r="C3126" s="1">
        <f t="shared" ca="1" si="237"/>
        <v>13</v>
      </c>
      <c r="D3126" s="1">
        <f t="shared" ca="1" si="234"/>
        <v>80</v>
      </c>
      <c r="E3126" s="2">
        <f t="shared" ca="1" si="235"/>
        <v>42750</v>
      </c>
      <c r="F3126" s="6">
        <f t="shared" ca="1" si="236"/>
        <v>122.47697683050762</v>
      </c>
    </row>
    <row r="3127" spans="1:6">
      <c r="A3127" s="1">
        <v>9130675</v>
      </c>
      <c r="B3127">
        <f t="shared" ca="1" si="233"/>
        <v>0.40791648113715739</v>
      </c>
      <c r="C3127" s="1">
        <f t="shared" ca="1" si="237"/>
        <v>28</v>
      </c>
      <c r="D3127" s="1">
        <f t="shared" ca="1" si="234"/>
        <v>401</v>
      </c>
      <c r="E3127" s="2">
        <f t="shared" ca="1" si="235"/>
        <v>43018</v>
      </c>
      <c r="F3127" s="6">
        <f t="shared" ca="1" si="236"/>
        <v>108.75996044925418</v>
      </c>
    </row>
    <row r="3128" spans="1:6">
      <c r="A3128" s="1">
        <v>9130678</v>
      </c>
      <c r="B3128">
        <f t="shared" ca="1" si="233"/>
        <v>0.81400430408127367</v>
      </c>
      <c r="C3128" s="1">
        <f t="shared" ca="1" si="237"/>
        <v>4</v>
      </c>
      <c r="D3128" s="1">
        <f t="shared" ca="1" si="234"/>
        <v>493</v>
      </c>
      <c r="E3128" s="2">
        <f t="shared" ca="1" si="235"/>
        <v>43078</v>
      </c>
      <c r="F3128" s="6">
        <f t="shared" ca="1" si="236"/>
        <v>170.46690625193241</v>
      </c>
    </row>
    <row r="3129" spans="1:6">
      <c r="A3129" s="1">
        <v>9130681</v>
      </c>
      <c r="B3129">
        <f t="shared" ca="1" si="233"/>
        <v>0.34368746158508678</v>
      </c>
      <c r="C3129" s="1">
        <f t="shared" ca="1" si="237"/>
        <v>24</v>
      </c>
      <c r="D3129" s="1">
        <f t="shared" ca="1" si="234"/>
        <v>334</v>
      </c>
      <c r="E3129" s="2">
        <f t="shared" ca="1" si="235"/>
        <v>43331</v>
      </c>
      <c r="F3129" s="6">
        <f t="shared" ca="1" si="236"/>
        <v>4.1398331927397019</v>
      </c>
    </row>
    <row r="3130" spans="1:6">
      <c r="A3130" s="1">
        <v>9130684</v>
      </c>
      <c r="B3130">
        <f t="shared" ca="1" si="233"/>
        <v>0.33796670681415208</v>
      </c>
      <c r="C3130" s="1">
        <f t="shared" ca="1" si="237"/>
        <v>14</v>
      </c>
      <c r="D3130" s="1">
        <f t="shared" ca="1" si="234"/>
        <v>576</v>
      </c>
      <c r="E3130" s="2">
        <f t="shared" ca="1" si="235"/>
        <v>42914</v>
      </c>
      <c r="F3130" s="6">
        <f t="shared" ca="1" si="236"/>
        <v>123.94441863585499</v>
      </c>
    </row>
    <row r="3131" spans="1:6">
      <c r="A3131" s="1">
        <v>9130687</v>
      </c>
      <c r="B3131">
        <f t="shared" ca="1" si="233"/>
        <v>8.2662153476099287E-2</v>
      </c>
      <c r="C3131" s="1">
        <f t="shared" ca="1" si="237"/>
        <v>87</v>
      </c>
      <c r="D3131" s="1">
        <f t="shared" ca="1" si="234"/>
        <v>551</v>
      </c>
      <c r="E3131" s="2">
        <f t="shared" ca="1" si="235"/>
        <v>43007</v>
      </c>
      <c r="F3131" s="6">
        <f t="shared" ca="1" si="236"/>
        <v>51.443765453504589</v>
      </c>
    </row>
    <row r="3132" spans="1:6">
      <c r="A3132" s="1">
        <v>9130690</v>
      </c>
      <c r="B3132">
        <f t="shared" ca="1" si="233"/>
        <v>0.28630748252096516</v>
      </c>
      <c r="C3132" s="1">
        <f t="shared" ca="1" si="237"/>
        <v>2</v>
      </c>
      <c r="D3132" s="1">
        <f t="shared" ca="1" si="234"/>
        <v>30</v>
      </c>
      <c r="E3132" s="2">
        <f t="shared" ca="1" si="235"/>
        <v>43036</v>
      </c>
      <c r="F3132" s="6">
        <f t="shared" ca="1" si="236"/>
        <v>8.3152324584305148</v>
      </c>
    </row>
    <row r="3133" spans="1:6">
      <c r="A3133" s="1">
        <v>9130693</v>
      </c>
      <c r="B3133">
        <f t="shared" ref="B3133:B3196" ca="1" si="238">RAND()</f>
        <v>0.86462339108998965</v>
      </c>
      <c r="C3133" s="1">
        <f t="shared" ca="1" si="237"/>
        <v>75</v>
      </c>
      <c r="D3133" s="1">
        <f t="shared" ref="D3133:D3196" ca="1" si="239">VLOOKUP(SMALL($B$2:$B$601,C3133),$B$2:$C$601,2,FALSE)</f>
        <v>599</v>
      </c>
      <c r="E3133" s="2">
        <f t="shared" ca="1" si="235"/>
        <v>43185</v>
      </c>
      <c r="F3133" s="6">
        <f t="shared" ca="1" si="236"/>
        <v>7.1064802062131474</v>
      </c>
    </row>
    <row r="3134" spans="1:6">
      <c r="A3134" s="1">
        <v>9130696</v>
      </c>
      <c r="B3134">
        <f t="shared" ca="1" si="238"/>
        <v>5.0758384721119709E-2</v>
      </c>
      <c r="C3134" s="1">
        <f t="shared" ca="1" si="237"/>
        <v>59</v>
      </c>
      <c r="D3134" s="1">
        <f t="shared" ca="1" si="239"/>
        <v>95</v>
      </c>
      <c r="E3134" s="2">
        <f t="shared" ca="1" si="235"/>
        <v>42871</v>
      </c>
      <c r="F3134" s="6">
        <f t="shared" ca="1" si="236"/>
        <v>26.342867138032421</v>
      </c>
    </row>
    <row r="3135" spans="1:6">
      <c r="A3135" s="1">
        <v>9130699</v>
      </c>
      <c r="B3135">
        <f t="shared" ca="1" si="238"/>
        <v>0.87685001505077342</v>
      </c>
      <c r="C3135" s="1">
        <f t="shared" ca="1" si="237"/>
        <v>20</v>
      </c>
      <c r="D3135" s="1">
        <f t="shared" ca="1" si="239"/>
        <v>444</v>
      </c>
      <c r="E3135" s="2">
        <f t="shared" ca="1" si="235"/>
        <v>42783</v>
      </c>
      <c r="F3135" s="6">
        <f t="shared" ca="1" si="236"/>
        <v>3.5129569171878998</v>
      </c>
    </row>
    <row r="3136" spans="1:6">
      <c r="A3136" s="1">
        <v>9130702</v>
      </c>
      <c r="B3136">
        <f t="shared" ca="1" si="238"/>
        <v>0.12319330671466988</v>
      </c>
      <c r="C3136" s="1">
        <f t="shared" ca="1" si="237"/>
        <v>156</v>
      </c>
      <c r="D3136" s="1">
        <f t="shared" ca="1" si="239"/>
        <v>347</v>
      </c>
      <c r="E3136" s="2">
        <f t="shared" ca="1" si="235"/>
        <v>43100</v>
      </c>
      <c r="F3136" s="6">
        <f t="shared" ca="1" si="236"/>
        <v>113.78815916624656</v>
      </c>
    </row>
    <row r="3137" spans="1:6">
      <c r="A3137" s="1">
        <v>9130705</v>
      </c>
      <c r="B3137">
        <f t="shared" ca="1" si="238"/>
        <v>0.79970263384267171</v>
      </c>
      <c r="C3137" s="1">
        <f t="shared" ca="1" si="237"/>
        <v>6</v>
      </c>
      <c r="D3137" s="1">
        <f t="shared" ca="1" si="239"/>
        <v>208</v>
      </c>
      <c r="E3137" s="2">
        <f t="shared" ca="1" si="235"/>
        <v>43120</v>
      </c>
      <c r="F3137" s="6">
        <f t="shared" ca="1" si="236"/>
        <v>10.931730480998631</v>
      </c>
    </row>
    <row r="3138" spans="1:6">
      <c r="A3138" s="1">
        <v>9130708</v>
      </c>
      <c r="B3138">
        <f t="shared" ca="1" si="238"/>
        <v>6.6911774981530781E-2</v>
      </c>
      <c r="C3138" s="1">
        <f t="shared" ca="1" si="237"/>
        <v>12</v>
      </c>
      <c r="D3138" s="1">
        <f t="shared" ca="1" si="239"/>
        <v>292</v>
      </c>
      <c r="E3138" s="2">
        <f t="shared" ca="1" si="235"/>
        <v>42859</v>
      </c>
      <c r="F3138" s="6">
        <f t="shared" ca="1" si="236"/>
        <v>5.4401693370002873</v>
      </c>
    </row>
    <row r="3139" spans="1:6">
      <c r="A3139" s="1">
        <v>9130711</v>
      </c>
      <c r="B3139">
        <f t="shared" ca="1" si="238"/>
        <v>0.21765769776719956</v>
      </c>
      <c r="C3139" s="1">
        <f t="shared" ca="1" si="237"/>
        <v>34</v>
      </c>
      <c r="D3139" s="1">
        <f t="shared" ca="1" si="239"/>
        <v>503</v>
      </c>
      <c r="E3139" s="2">
        <f t="shared" ref="E3139:E3202" ca="1" si="240">RANDBETWEEN("1/1/17","2/1/19")</f>
        <v>42775</v>
      </c>
      <c r="F3139" s="6">
        <f t="shared" ref="F3139:F3202" ca="1" si="241">_xlfn.GAMMA.INV(RAND(),$J$6,$J$7)*100+3</f>
        <v>14.454106722609541</v>
      </c>
    </row>
    <row r="3140" spans="1:6">
      <c r="A3140" s="1">
        <v>9130714</v>
      </c>
      <c r="B3140">
        <f t="shared" ca="1" si="238"/>
        <v>0.27332244933079231</v>
      </c>
      <c r="C3140" s="1">
        <f t="shared" ca="1" si="237"/>
        <v>173</v>
      </c>
      <c r="D3140" s="1">
        <f t="shared" ca="1" si="239"/>
        <v>523</v>
      </c>
      <c r="E3140" s="2">
        <f t="shared" ca="1" si="240"/>
        <v>43363</v>
      </c>
      <c r="F3140" s="6">
        <f t="shared" ca="1" si="241"/>
        <v>161.00233876268499</v>
      </c>
    </row>
    <row r="3141" spans="1:6">
      <c r="A3141" s="1">
        <v>9130717</v>
      </c>
      <c r="B3141">
        <f t="shared" ca="1" si="238"/>
        <v>0.72360894552315935</v>
      </c>
      <c r="C3141" s="1">
        <f t="shared" ca="1" si="237"/>
        <v>1</v>
      </c>
      <c r="D3141" s="1">
        <f t="shared" ca="1" si="239"/>
        <v>474</v>
      </c>
      <c r="E3141" s="2">
        <f t="shared" ca="1" si="240"/>
        <v>43385</v>
      </c>
      <c r="F3141" s="6">
        <f t="shared" ca="1" si="241"/>
        <v>34.117167576000682</v>
      </c>
    </row>
    <row r="3142" spans="1:6">
      <c r="A3142" s="1">
        <v>9130720</v>
      </c>
      <c r="B3142">
        <f t="shared" ca="1" si="238"/>
        <v>0.51551392759690751</v>
      </c>
      <c r="C3142" s="1">
        <f t="shared" ca="1" si="237"/>
        <v>13</v>
      </c>
      <c r="D3142" s="1">
        <f t="shared" ca="1" si="239"/>
        <v>80</v>
      </c>
      <c r="E3142" s="2">
        <f t="shared" ca="1" si="240"/>
        <v>43084</v>
      </c>
      <c r="F3142" s="6">
        <f t="shared" ca="1" si="241"/>
        <v>87.732138598298718</v>
      </c>
    </row>
    <row r="3143" spans="1:6">
      <c r="A3143" s="1">
        <v>9130723</v>
      </c>
      <c r="B3143">
        <f t="shared" ca="1" si="238"/>
        <v>0.26726258681010162</v>
      </c>
      <c r="C3143" s="1">
        <f t="shared" ca="1" si="237"/>
        <v>3</v>
      </c>
      <c r="D3143" s="1">
        <f t="shared" ca="1" si="239"/>
        <v>263</v>
      </c>
      <c r="E3143" s="2">
        <f t="shared" ca="1" si="240"/>
        <v>43416</v>
      </c>
      <c r="F3143" s="6">
        <f t="shared" ca="1" si="241"/>
        <v>20.544284704244426</v>
      </c>
    </row>
    <row r="3144" spans="1:6">
      <c r="A3144" s="1">
        <v>9130726</v>
      </c>
      <c r="B3144">
        <f t="shared" ca="1" si="238"/>
        <v>0.98567060281556451</v>
      </c>
      <c r="C3144" s="1">
        <f t="shared" ca="1" si="237"/>
        <v>3</v>
      </c>
      <c r="D3144" s="1">
        <f t="shared" ca="1" si="239"/>
        <v>263</v>
      </c>
      <c r="E3144" s="2">
        <f t="shared" ca="1" si="240"/>
        <v>43430</v>
      </c>
      <c r="F3144" s="6">
        <f t="shared" ca="1" si="241"/>
        <v>17.748601257865705</v>
      </c>
    </row>
    <row r="3145" spans="1:6">
      <c r="A3145" s="1">
        <v>9130729</v>
      </c>
      <c r="B3145">
        <f t="shared" ca="1" si="238"/>
        <v>0.75205975135343428</v>
      </c>
      <c r="C3145" s="1">
        <f t="shared" ca="1" si="237"/>
        <v>38</v>
      </c>
      <c r="D3145" s="1">
        <f t="shared" ca="1" si="239"/>
        <v>400</v>
      </c>
      <c r="E3145" s="2">
        <f t="shared" ca="1" si="240"/>
        <v>43238</v>
      </c>
      <c r="F3145" s="6">
        <f t="shared" ca="1" si="241"/>
        <v>7.7830772803913604</v>
      </c>
    </row>
    <row r="3146" spans="1:6">
      <c r="A3146" s="1">
        <v>9130732</v>
      </c>
      <c r="B3146">
        <f t="shared" ca="1" si="238"/>
        <v>0.61268913781281453</v>
      </c>
      <c r="C3146" s="1">
        <f t="shared" ca="1" si="237"/>
        <v>19</v>
      </c>
      <c r="D3146" s="1">
        <f t="shared" ca="1" si="239"/>
        <v>42</v>
      </c>
      <c r="E3146" s="2">
        <f t="shared" ca="1" si="240"/>
        <v>43045</v>
      </c>
      <c r="F3146" s="6">
        <f t="shared" ca="1" si="241"/>
        <v>18.191405352106983</v>
      </c>
    </row>
    <row r="3147" spans="1:6">
      <c r="A3147" s="1">
        <v>9130735</v>
      </c>
      <c r="B3147">
        <f t="shared" ca="1" si="238"/>
        <v>0.9638932778810253</v>
      </c>
      <c r="C3147" s="1">
        <f t="shared" ca="1" si="237"/>
        <v>37</v>
      </c>
      <c r="D3147" s="1">
        <f t="shared" ca="1" si="239"/>
        <v>517</v>
      </c>
      <c r="E3147" s="2">
        <f t="shared" ca="1" si="240"/>
        <v>43213</v>
      </c>
      <c r="F3147" s="6">
        <f t="shared" ca="1" si="241"/>
        <v>27.561523373263071</v>
      </c>
    </row>
    <row r="3148" spans="1:6">
      <c r="A3148" s="1">
        <v>9130738</v>
      </c>
      <c r="B3148">
        <f t="shared" ca="1" si="238"/>
        <v>0.34264278450513064</v>
      </c>
      <c r="C3148" s="1">
        <f t="shared" ca="1" si="237"/>
        <v>82</v>
      </c>
      <c r="D3148" s="1">
        <f t="shared" ca="1" si="239"/>
        <v>143</v>
      </c>
      <c r="E3148" s="2">
        <f t="shared" ca="1" si="240"/>
        <v>43231</v>
      </c>
      <c r="F3148" s="6">
        <f t="shared" ca="1" si="241"/>
        <v>198.90898004491956</v>
      </c>
    </row>
    <row r="3149" spans="1:6">
      <c r="A3149" s="1">
        <v>9130741</v>
      </c>
      <c r="B3149">
        <f t="shared" ca="1" si="238"/>
        <v>0.98464194669091565</v>
      </c>
      <c r="C3149" s="1">
        <f t="shared" ca="1" si="237"/>
        <v>13</v>
      </c>
      <c r="D3149" s="1">
        <f t="shared" ca="1" si="239"/>
        <v>80</v>
      </c>
      <c r="E3149" s="2">
        <f t="shared" ca="1" si="240"/>
        <v>43462</v>
      </c>
      <c r="F3149" s="6">
        <f t="shared" ca="1" si="241"/>
        <v>86.877516531849182</v>
      </c>
    </row>
    <row r="3150" spans="1:6">
      <c r="A3150" s="1">
        <v>9130744</v>
      </c>
      <c r="B3150">
        <f t="shared" ca="1" si="238"/>
        <v>0.83444115461529023</v>
      </c>
      <c r="C3150" s="1">
        <f t="shared" ca="1" si="237"/>
        <v>206</v>
      </c>
      <c r="D3150" s="1">
        <f t="shared" ca="1" si="239"/>
        <v>412</v>
      </c>
      <c r="E3150" s="2">
        <f t="shared" ca="1" si="240"/>
        <v>43412</v>
      </c>
      <c r="F3150" s="6">
        <f t="shared" ca="1" si="241"/>
        <v>39.779181635989524</v>
      </c>
    </row>
    <row r="3151" spans="1:6">
      <c r="A3151" s="1">
        <v>9130747</v>
      </c>
      <c r="B3151">
        <f t="shared" ca="1" si="238"/>
        <v>0.51256169261105677</v>
      </c>
      <c r="C3151" s="1">
        <f t="shared" ca="1" si="237"/>
        <v>45</v>
      </c>
      <c r="D3151" s="1">
        <f t="shared" ca="1" si="239"/>
        <v>482</v>
      </c>
      <c r="E3151" s="2">
        <f t="shared" ca="1" si="240"/>
        <v>43030</v>
      </c>
      <c r="F3151" s="6">
        <f t="shared" ca="1" si="241"/>
        <v>62.495975956166092</v>
      </c>
    </row>
    <row r="3152" spans="1:6">
      <c r="A3152" s="1">
        <v>9130750</v>
      </c>
      <c r="B3152">
        <f t="shared" ca="1" si="238"/>
        <v>0.83213795384464129</v>
      </c>
      <c r="C3152" s="1">
        <f t="shared" ca="1" si="237"/>
        <v>13</v>
      </c>
      <c r="D3152" s="1">
        <f t="shared" ca="1" si="239"/>
        <v>80</v>
      </c>
      <c r="E3152" s="2">
        <f t="shared" ca="1" si="240"/>
        <v>43309</v>
      </c>
      <c r="F3152" s="6">
        <f t="shared" ca="1" si="241"/>
        <v>126.92081369014427</v>
      </c>
    </row>
    <row r="3153" spans="1:6">
      <c r="A3153" s="1">
        <v>9130753</v>
      </c>
      <c r="B3153">
        <f t="shared" ca="1" si="238"/>
        <v>0.91194005078550955</v>
      </c>
      <c r="C3153" s="1">
        <f t="shared" ca="1" si="237"/>
        <v>1</v>
      </c>
      <c r="D3153" s="1">
        <f t="shared" ca="1" si="239"/>
        <v>474</v>
      </c>
      <c r="E3153" s="2">
        <f t="shared" ca="1" si="240"/>
        <v>43474</v>
      </c>
      <c r="F3153" s="6">
        <f t="shared" ca="1" si="241"/>
        <v>13.656001343843529</v>
      </c>
    </row>
    <row r="3154" spans="1:6">
      <c r="A3154" s="1">
        <v>9130756</v>
      </c>
      <c r="B3154">
        <f t="shared" ca="1" si="238"/>
        <v>0.45768990152913636</v>
      </c>
      <c r="C3154" s="1">
        <f t="shared" ca="1" si="237"/>
        <v>64</v>
      </c>
      <c r="D3154" s="1">
        <f t="shared" ca="1" si="239"/>
        <v>1</v>
      </c>
      <c r="E3154" s="2">
        <f t="shared" ca="1" si="240"/>
        <v>42822</v>
      </c>
      <c r="F3154" s="6">
        <f t="shared" ca="1" si="241"/>
        <v>134.81482674492341</v>
      </c>
    </row>
    <row r="3155" spans="1:6">
      <c r="A3155" s="1">
        <v>9130759</v>
      </c>
      <c r="B3155">
        <f t="shared" ca="1" si="238"/>
        <v>0.92792696909037287</v>
      </c>
      <c r="C3155" s="1">
        <f t="shared" ca="1" si="237"/>
        <v>32</v>
      </c>
      <c r="D3155" s="1">
        <f t="shared" ca="1" si="239"/>
        <v>497</v>
      </c>
      <c r="E3155" s="2">
        <f t="shared" ca="1" si="240"/>
        <v>42832</v>
      </c>
      <c r="F3155" s="6">
        <f t="shared" ca="1" si="241"/>
        <v>37.314820277571009</v>
      </c>
    </row>
    <row r="3156" spans="1:6">
      <c r="A3156" s="1">
        <v>9130762</v>
      </c>
      <c r="B3156">
        <f t="shared" ca="1" si="238"/>
        <v>0.82492276832797251</v>
      </c>
      <c r="C3156" s="1">
        <f t="shared" ca="1" si="237"/>
        <v>40</v>
      </c>
      <c r="D3156" s="1">
        <f t="shared" ca="1" si="239"/>
        <v>426</v>
      </c>
      <c r="E3156" s="2">
        <f t="shared" ca="1" si="240"/>
        <v>43379</v>
      </c>
      <c r="F3156" s="6">
        <f t="shared" ca="1" si="241"/>
        <v>10.84987058509056</v>
      </c>
    </row>
    <row r="3157" spans="1:6">
      <c r="A3157" s="1">
        <v>9130765</v>
      </c>
      <c r="B3157">
        <f t="shared" ca="1" si="238"/>
        <v>0.96398228488931581</v>
      </c>
      <c r="C3157" s="1">
        <f t="shared" ca="1" si="237"/>
        <v>67</v>
      </c>
      <c r="D3157" s="1">
        <f t="shared" ca="1" si="239"/>
        <v>259</v>
      </c>
      <c r="E3157" s="2">
        <f t="shared" ca="1" si="240"/>
        <v>43003</v>
      </c>
      <c r="F3157" s="6">
        <f t="shared" ca="1" si="241"/>
        <v>126.93029864791572</v>
      </c>
    </row>
    <row r="3158" spans="1:6">
      <c r="A3158" s="1">
        <v>9130768</v>
      </c>
      <c r="B3158">
        <f t="shared" ca="1" si="238"/>
        <v>0.77554713553325427</v>
      </c>
      <c r="C3158" s="1">
        <f t="shared" ca="1" si="237"/>
        <v>4</v>
      </c>
      <c r="D3158" s="1">
        <f t="shared" ca="1" si="239"/>
        <v>493</v>
      </c>
      <c r="E3158" s="2">
        <f t="shared" ca="1" si="240"/>
        <v>42823</v>
      </c>
      <c r="F3158" s="6">
        <f t="shared" ca="1" si="241"/>
        <v>9.7771794382852111</v>
      </c>
    </row>
    <row r="3159" spans="1:6">
      <c r="A3159" s="1">
        <v>9130771</v>
      </c>
      <c r="B3159">
        <f t="shared" ca="1" si="238"/>
        <v>0.33410549068046325</v>
      </c>
      <c r="C3159" s="1">
        <f t="shared" ca="1" si="237"/>
        <v>40</v>
      </c>
      <c r="D3159" s="1">
        <f t="shared" ca="1" si="239"/>
        <v>426</v>
      </c>
      <c r="E3159" s="2">
        <f t="shared" ca="1" si="240"/>
        <v>43033</v>
      </c>
      <c r="F3159" s="6">
        <f t="shared" ca="1" si="241"/>
        <v>7.3485332440726925</v>
      </c>
    </row>
    <row r="3160" spans="1:6">
      <c r="A3160" s="1">
        <v>9130774</v>
      </c>
      <c r="B3160">
        <f t="shared" ca="1" si="238"/>
        <v>0.12312603236350461</v>
      </c>
      <c r="C3160" s="1">
        <f t="shared" ca="1" si="237"/>
        <v>283</v>
      </c>
      <c r="D3160" s="1">
        <f t="shared" ca="1" si="239"/>
        <v>134</v>
      </c>
      <c r="E3160" s="2">
        <f t="shared" ca="1" si="240"/>
        <v>43494</v>
      </c>
      <c r="F3160" s="6">
        <f t="shared" ca="1" si="241"/>
        <v>3.7897694423517918</v>
      </c>
    </row>
    <row r="3161" spans="1:6">
      <c r="A3161" s="1">
        <v>9130777</v>
      </c>
      <c r="B3161">
        <f t="shared" ca="1" si="238"/>
        <v>0.97065256263060262</v>
      </c>
      <c r="C3161" s="1">
        <f t="shared" ca="1" si="237"/>
        <v>193</v>
      </c>
      <c r="D3161" s="1">
        <f t="shared" ca="1" si="239"/>
        <v>60</v>
      </c>
      <c r="E3161" s="2">
        <f t="shared" ca="1" si="240"/>
        <v>43213</v>
      </c>
      <c r="F3161" s="6">
        <f t="shared" ca="1" si="241"/>
        <v>5.2196610030822779</v>
      </c>
    </row>
    <row r="3162" spans="1:6">
      <c r="A3162" s="1">
        <v>9130780</v>
      </c>
      <c r="B3162">
        <f t="shared" ca="1" si="238"/>
        <v>0.25135030676623127</v>
      </c>
      <c r="C3162" s="1">
        <f t="shared" ca="1" si="237"/>
        <v>40</v>
      </c>
      <c r="D3162" s="1">
        <f t="shared" ca="1" si="239"/>
        <v>426</v>
      </c>
      <c r="E3162" s="2">
        <f t="shared" ca="1" si="240"/>
        <v>43384</v>
      </c>
      <c r="F3162" s="6">
        <f t="shared" ca="1" si="241"/>
        <v>53.765597395914227</v>
      </c>
    </row>
    <row r="3163" spans="1:6">
      <c r="A3163" s="1">
        <v>9130783</v>
      </c>
      <c r="B3163">
        <f t="shared" ca="1" si="238"/>
        <v>0.25899262499235709</v>
      </c>
      <c r="C3163" s="1">
        <f t="shared" ref="C3163:C3226" ca="1" si="242">ROUND(_xlfn.GAMMA.INV(RAND(),$J$11,$J$12)*100,0)+1</f>
        <v>15</v>
      </c>
      <c r="D3163" s="1">
        <f t="shared" ca="1" si="239"/>
        <v>284</v>
      </c>
      <c r="E3163" s="2">
        <f t="shared" ca="1" si="240"/>
        <v>43213</v>
      </c>
      <c r="F3163" s="6">
        <f t="shared" ca="1" si="241"/>
        <v>30.276797176806227</v>
      </c>
    </row>
    <row r="3164" spans="1:6">
      <c r="A3164" s="1">
        <v>9130786</v>
      </c>
      <c r="B3164">
        <f t="shared" ca="1" si="238"/>
        <v>0.9824540873847224</v>
      </c>
      <c r="C3164" s="1">
        <f t="shared" ca="1" si="242"/>
        <v>4</v>
      </c>
      <c r="D3164" s="1">
        <f t="shared" ca="1" si="239"/>
        <v>493</v>
      </c>
      <c r="E3164" s="2">
        <f t="shared" ca="1" si="240"/>
        <v>43187</v>
      </c>
      <c r="F3164" s="6">
        <f t="shared" ca="1" si="241"/>
        <v>10.909831707874911</v>
      </c>
    </row>
    <row r="3165" spans="1:6">
      <c r="A3165" s="1">
        <v>9130789</v>
      </c>
      <c r="B3165">
        <f t="shared" ca="1" si="238"/>
        <v>0.37890421589788192</v>
      </c>
      <c r="C3165" s="1">
        <f t="shared" ca="1" si="242"/>
        <v>6</v>
      </c>
      <c r="D3165" s="1">
        <f t="shared" ca="1" si="239"/>
        <v>208</v>
      </c>
      <c r="E3165" s="2">
        <f t="shared" ca="1" si="240"/>
        <v>43101</v>
      </c>
      <c r="F3165" s="6">
        <f t="shared" ca="1" si="241"/>
        <v>100.17310116857546</v>
      </c>
    </row>
    <row r="3166" spans="1:6">
      <c r="A3166" s="1">
        <v>9130792</v>
      </c>
      <c r="B3166">
        <f t="shared" ca="1" si="238"/>
        <v>0.84911316350456367</v>
      </c>
      <c r="C3166" s="1">
        <f t="shared" ca="1" si="242"/>
        <v>48</v>
      </c>
      <c r="D3166" s="1">
        <f t="shared" ca="1" si="239"/>
        <v>424</v>
      </c>
      <c r="E3166" s="2">
        <f t="shared" ca="1" si="240"/>
        <v>43105</v>
      </c>
      <c r="F3166" s="6">
        <f t="shared" ca="1" si="241"/>
        <v>53.173900517790415</v>
      </c>
    </row>
    <row r="3167" spans="1:6">
      <c r="A3167" s="1">
        <v>9130795</v>
      </c>
      <c r="B3167">
        <f t="shared" ca="1" si="238"/>
        <v>0.77202371812900172</v>
      </c>
      <c r="C3167" s="1">
        <f t="shared" ca="1" si="242"/>
        <v>230</v>
      </c>
      <c r="D3167" s="1">
        <f t="shared" ca="1" si="239"/>
        <v>2</v>
      </c>
      <c r="E3167" s="2">
        <f t="shared" ca="1" si="240"/>
        <v>42866</v>
      </c>
      <c r="F3167" s="6">
        <f t="shared" ca="1" si="241"/>
        <v>5.6086081519887161</v>
      </c>
    </row>
    <row r="3168" spans="1:6">
      <c r="A3168" s="1">
        <v>9130798</v>
      </c>
      <c r="B3168">
        <f t="shared" ca="1" si="238"/>
        <v>0.95566838809832411</v>
      </c>
      <c r="C3168" s="1">
        <f t="shared" ca="1" si="242"/>
        <v>83</v>
      </c>
      <c r="D3168" s="1">
        <f t="shared" ca="1" si="239"/>
        <v>47</v>
      </c>
      <c r="E3168" s="2">
        <f t="shared" ca="1" si="240"/>
        <v>42961</v>
      </c>
      <c r="F3168" s="6">
        <f t="shared" ca="1" si="241"/>
        <v>3.3558536976123032</v>
      </c>
    </row>
    <row r="3169" spans="1:6">
      <c r="A3169" s="1">
        <v>9130801</v>
      </c>
      <c r="B3169">
        <f t="shared" ca="1" si="238"/>
        <v>0.40095692031970331</v>
      </c>
      <c r="C3169" s="1">
        <f t="shared" ca="1" si="242"/>
        <v>2</v>
      </c>
      <c r="D3169" s="1">
        <f t="shared" ca="1" si="239"/>
        <v>30</v>
      </c>
      <c r="E3169" s="2">
        <f t="shared" ca="1" si="240"/>
        <v>43295</v>
      </c>
      <c r="F3169" s="6">
        <f t="shared" ca="1" si="241"/>
        <v>108.78218065003639</v>
      </c>
    </row>
    <row r="3170" spans="1:6">
      <c r="A3170" s="1">
        <v>9130804</v>
      </c>
      <c r="B3170">
        <f t="shared" ca="1" si="238"/>
        <v>0.74868493384318369</v>
      </c>
      <c r="C3170" s="1">
        <f t="shared" ca="1" si="242"/>
        <v>7</v>
      </c>
      <c r="D3170" s="1">
        <f t="shared" ca="1" si="239"/>
        <v>138</v>
      </c>
      <c r="E3170" s="2">
        <f t="shared" ca="1" si="240"/>
        <v>43008</v>
      </c>
      <c r="F3170" s="6">
        <f t="shared" ca="1" si="241"/>
        <v>13.643712188438835</v>
      </c>
    </row>
    <row r="3171" spans="1:6">
      <c r="A3171" s="1">
        <v>9130807</v>
      </c>
      <c r="B3171">
        <f t="shared" ca="1" si="238"/>
        <v>0.5853513381323715</v>
      </c>
      <c r="C3171" s="1">
        <f t="shared" ca="1" si="242"/>
        <v>2</v>
      </c>
      <c r="D3171" s="1">
        <f t="shared" ca="1" si="239"/>
        <v>30</v>
      </c>
      <c r="E3171" s="2">
        <f t="shared" ca="1" si="240"/>
        <v>43409</v>
      </c>
      <c r="F3171" s="6">
        <f t="shared" ca="1" si="241"/>
        <v>32.760778646991319</v>
      </c>
    </row>
    <row r="3172" spans="1:6">
      <c r="A3172" s="1">
        <v>9130810</v>
      </c>
      <c r="B3172">
        <f t="shared" ca="1" si="238"/>
        <v>0.92010491385224635</v>
      </c>
      <c r="C3172" s="1">
        <f t="shared" ca="1" si="242"/>
        <v>17</v>
      </c>
      <c r="D3172" s="1">
        <f t="shared" ca="1" si="239"/>
        <v>165</v>
      </c>
      <c r="E3172" s="2">
        <f t="shared" ca="1" si="240"/>
        <v>43319</v>
      </c>
      <c r="F3172" s="6">
        <f t="shared" ca="1" si="241"/>
        <v>11.893059305523131</v>
      </c>
    </row>
    <row r="3173" spans="1:6">
      <c r="A3173" s="1">
        <v>9130813</v>
      </c>
      <c r="B3173">
        <f t="shared" ca="1" si="238"/>
        <v>0.74544914552968689</v>
      </c>
      <c r="C3173" s="1">
        <f t="shared" ca="1" si="242"/>
        <v>69</v>
      </c>
      <c r="D3173" s="1">
        <f t="shared" ca="1" si="239"/>
        <v>142</v>
      </c>
      <c r="E3173" s="2">
        <f t="shared" ca="1" si="240"/>
        <v>42823</v>
      </c>
      <c r="F3173" s="6">
        <f t="shared" ca="1" si="241"/>
        <v>16.162399774453071</v>
      </c>
    </row>
    <row r="3174" spans="1:6">
      <c r="A3174" s="1">
        <v>9130816</v>
      </c>
      <c r="B3174">
        <f t="shared" ca="1" si="238"/>
        <v>0.73679729153910445</v>
      </c>
      <c r="C3174" s="1">
        <f t="shared" ca="1" si="242"/>
        <v>13</v>
      </c>
      <c r="D3174" s="1">
        <f t="shared" ca="1" si="239"/>
        <v>80</v>
      </c>
      <c r="E3174" s="2">
        <f t="shared" ca="1" si="240"/>
        <v>43383</v>
      </c>
      <c r="F3174" s="6">
        <f t="shared" ca="1" si="241"/>
        <v>269.82337022003327</v>
      </c>
    </row>
    <row r="3175" spans="1:6">
      <c r="A3175" s="1">
        <v>9130819</v>
      </c>
      <c r="B3175">
        <f t="shared" ca="1" si="238"/>
        <v>0.50900090246115182</v>
      </c>
      <c r="C3175" s="1">
        <f t="shared" ca="1" si="242"/>
        <v>43</v>
      </c>
      <c r="D3175" s="1">
        <f t="shared" ca="1" si="239"/>
        <v>73</v>
      </c>
      <c r="E3175" s="2">
        <f t="shared" ca="1" si="240"/>
        <v>43349</v>
      </c>
      <c r="F3175" s="6">
        <f t="shared" ca="1" si="241"/>
        <v>6.660633441962732</v>
      </c>
    </row>
    <row r="3176" spans="1:6">
      <c r="A3176" s="1">
        <v>9130822</v>
      </c>
      <c r="B3176">
        <f t="shared" ca="1" si="238"/>
        <v>0.25023530326001342</v>
      </c>
      <c r="C3176" s="1">
        <f t="shared" ca="1" si="242"/>
        <v>44</v>
      </c>
      <c r="D3176" s="1">
        <f t="shared" ca="1" si="239"/>
        <v>427</v>
      </c>
      <c r="E3176" s="2">
        <f t="shared" ca="1" si="240"/>
        <v>42927</v>
      </c>
      <c r="F3176" s="6">
        <f t="shared" ca="1" si="241"/>
        <v>26.802314176463085</v>
      </c>
    </row>
    <row r="3177" spans="1:6">
      <c r="A3177" s="1">
        <v>9130825</v>
      </c>
      <c r="B3177">
        <f t="shared" ca="1" si="238"/>
        <v>0.66740419579208166</v>
      </c>
      <c r="C3177" s="1">
        <f t="shared" ca="1" si="242"/>
        <v>13</v>
      </c>
      <c r="D3177" s="1">
        <f t="shared" ca="1" si="239"/>
        <v>80</v>
      </c>
      <c r="E3177" s="2">
        <f t="shared" ca="1" si="240"/>
        <v>43439</v>
      </c>
      <c r="F3177" s="6">
        <f t="shared" ca="1" si="241"/>
        <v>54.800594593314983</v>
      </c>
    </row>
    <row r="3178" spans="1:6">
      <c r="A3178" s="1">
        <v>9130828</v>
      </c>
      <c r="B3178">
        <f t="shared" ca="1" si="238"/>
        <v>0.56472938319022759</v>
      </c>
      <c r="C3178" s="1">
        <f t="shared" ca="1" si="242"/>
        <v>75</v>
      </c>
      <c r="D3178" s="1">
        <f t="shared" ca="1" si="239"/>
        <v>599</v>
      </c>
      <c r="E3178" s="2">
        <f t="shared" ca="1" si="240"/>
        <v>43096</v>
      </c>
      <c r="F3178" s="6">
        <f t="shared" ca="1" si="241"/>
        <v>43.167882761178916</v>
      </c>
    </row>
    <row r="3179" spans="1:6">
      <c r="A3179" s="1">
        <v>9130831</v>
      </c>
      <c r="B3179">
        <f t="shared" ca="1" si="238"/>
        <v>0.31470341763442988</v>
      </c>
      <c r="C3179" s="1">
        <f t="shared" ca="1" si="242"/>
        <v>28</v>
      </c>
      <c r="D3179" s="1">
        <f t="shared" ca="1" si="239"/>
        <v>401</v>
      </c>
      <c r="E3179" s="2">
        <f t="shared" ca="1" si="240"/>
        <v>43397</v>
      </c>
      <c r="F3179" s="6">
        <f t="shared" ca="1" si="241"/>
        <v>125.22472853632509</v>
      </c>
    </row>
    <row r="3180" spans="1:6">
      <c r="A3180" s="1">
        <v>9130834</v>
      </c>
      <c r="B3180">
        <f t="shared" ca="1" si="238"/>
        <v>0.53886190820755331</v>
      </c>
      <c r="C3180" s="1">
        <f t="shared" ca="1" si="242"/>
        <v>70</v>
      </c>
      <c r="D3180" s="1">
        <f t="shared" ca="1" si="239"/>
        <v>82</v>
      </c>
      <c r="E3180" s="2">
        <f t="shared" ca="1" si="240"/>
        <v>42906</v>
      </c>
      <c r="F3180" s="6">
        <f t="shared" ca="1" si="241"/>
        <v>26.354208564648893</v>
      </c>
    </row>
    <row r="3181" spans="1:6">
      <c r="A3181" s="1">
        <v>9130837</v>
      </c>
      <c r="B3181">
        <f t="shared" ca="1" si="238"/>
        <v>0.8964778794348166</v>
      </c>
      <c r="C3181" s="1">
        <f t="shared" ca="1" si="242"/>
        <v>59</v>
      </c>
      <c r="D3181" s="1">
        <f t="shared" ca="1" si="239"/>
        <v>95</v>
      </c>
      <c r="E3181" s="2">
        <f t="shared" ca="1" si="240"/>
        <v>43171</v>
      </c>
      <c r="F3181" s="6">
        <f t="shared" ca="1" si="241"/>
        <v>196.76445362871951</v>
      </c>
    </row>
    <row r="3182" spans="1:6">
      <c r="A3182" s="1">
        <v>9130840</v>
      </c>
      <c r="B3182">
        <f t="shared" ca="1" si="238"/>
        <v>0.39567495797035557</v>
      </c>
      <c r="C3182" s="1">
        <f t="shared" ca="1" si="242"/>
        <v>60</v>
      </c>
      <c r="D3182" s="1">
        <f t="shared" ca="1" si="239"/>
        <v>422</v>
      </c>
      <c r="E3182" s="2">
        <f t="shared" ca="1" si="240"/>
        <v>42787</v>
      </c>
      <c r="F3182" s="6">
        <f t="shared" ca="1" si="241"/>
        <v>107.07303301444753</v>
      </c>
    </row>
    <row r="3183" spans="1:6">
      <c r="A3183" s="1">
        <v>9130843</v>
      </c>
      <c r="B3183">
        <f t="shared" ca="1" si="238"/>
        <v>0.15065504495430626</v>
      </c>
      <c r="C3183" s="1">
        <f t="shared" ca="1" si="242"/>
        <v>174</v>
      </c>
      <c r="D3183" s="1">
        <f t="shared" ca="1" si="239"/>
        <v>309</v>
      </c>
      <c r="E3183" s="2">
        <f t="shared" ca="1" si="240"/>
        <v>42939</v>
      </c>
      <c r="F3183" s="6">
        <f t="shared" ca="1" si="241"/>
        <v>40.735659834652182</v>
      </c>
    </row>
    <row r="3184" spans="1:6">
      <c r="A3184" s="1">
        <v>9130846</v>
      </c>
      <c r="B3184">
        <f t="shared" ca="1" si="238"/>
        <v>0.22305386930475668</v>
      </c>
      <c r="C3184" s="1">
        <f t="shared" ca="1" si="242"/>
        <v>5</v>
      </c>
      <c r="D3184" s="1">
        <f t="shared" ca="1" si="239"/>
        <v>363</v>
      </c>
      <c r="E3184" s="2">
        <f t="shared" ca="1" si="240"/>
        <v>43283</v>
      </c>
      <c r="F3184" s="6">
        <f t="shared" ca="1" si="241"/>
        <v>21.93091810221059</v>
      </c>
    </row>
    <row r="3185" spans="1:6">
      <c r="A3185" s="1">
        <v>9130849</v>
      </c>
      <c r="B3185">
        <f t="shared" ca="1" si="238"/>
        <v>0.40508300143137255</v>
      </c>
      <c r="C3185" s="1">
        <f t="shared" ca="1" si="242"/>
        <v>1</v>
      </c>
      <c r="D3185" s="1">
        <f t="shared" ca="1" si="239"/>
        <v>474</v>
      </c>
      <c r="E3185" s="2">
        <f t="shared" ca="1" si="240"/>
        <v>43405</v>
      </c>
      <c r="F3185" s="6">
        <f t="shared" ca="1" si="241"/>
        <v>36.015351665790334</v>
      </c>
    </row>
    <row r="3186" spans="1:6">
      <c r="A3186" s="1">
        <v>9130852</v>
      </c>
      <c r="B3186">
        <f t="shared" ca="1" si="238"/>
        <v>0.88821701399500674</v>
      </c>
      <c r="C3186" s="1">
        <f t="shared" ca="1" si="242"/>
        <v>9</v>
      </c>
      <c r="D3186" s="1">
        <f t="shared" ca="1" si="239"/>
        <v>278</v>
      </c>
      <c r="E3186" s="2">
        <f t="shared" ca="1" si="240"/>
        <v>43080</v>
      </c>
      <c r="F3186" s="6">
        <f t="shared" ca="1" si="241"/>
        <v>19.287431552113624</v>
      </c>
    </row>
    <row r="3187" spans="1:6">
      <c r="A3187" s="1">
        <v>9130855</v>
      </c>
      <c r="B3187">
        <f t="shared" ca="1" si="238"/>
        <v>0.98970800774996381</v>
      </c>
      <c r="C3187" s="1">
        <f t="shared" ca="1" si="242"/>
        <v>42</v>
      </c>
      <c r="D3187" s="1">
        <f t="shared" ca="1" si="239"/>
        <v>36</v>
      </c>
      <c r="E3187" s="2">
        <f t="shared" ca="1" si="240"/>
        <v>42805</v>
      </c>
      <c r="F3187" s="6">
        <f t="shared" ca="1" si="241"/>
        <v>17.780515709168228</v>
      </c>
    </row>
    <row r="3188" spans="1:6">
      <c r="A3188" s="1">
        <v>9130858</v>
      </c>
      <c r="B3188">
        <f t="shared" ca="1" si="238"/>
        <v>0.47838657255660899</v>
      </c>
      <c r="C3188" s="1">
        <f t="shared" ca="1" si="242"/>
        <v>1</v>
      </c>
      <c r="D3188" s="1">
        <f t="shared" ca="1" si="239"/>
        <v>474</v>
      </c>
      <c r="E3188" s="2">
        <f t="shared" ca="1" si="240"/>
        <v>43481</v>
      </c>
      <c r="F3188" s="6">
        <f t="shared" ca="1" si="241"/>
        <v>56.009443909228068</v>
      </c>
    </row>
    <row r="3189" spans="1:6">
      <c r="A3189" s="1">
        <v>9130861</v>
      </c>
      <c r="B3189">
        <f t="shared" ca="1" si="238"/>
        <v>1.2405087726098163E-2</v>
      </c>
      <c r="C3189" s="1">
        <f t="shared" ca="1" si="242"/>
        <v>5</v>
      </c>
      <c r="D3189" s="1">
        <f t="shared" ca="1" si="239"/>
        <v>363</v>
      </c>
      <c r="E3189" s="2">
        <f t="shared" ca="1" si="240"/>
        <v>42758</v>
      </c>
      <c r="F3189" s="6">
        <f t="shared" ca="1" si="241"/>
        <v>37.171372307438787</v>
      </c>
    </row>
    <row r="3190" spans="1:6">
      <c r="A3190" s="1">
        <v>9130864</v>
      </c>
      <c r="B3190">
        <f t="shared" ca="1" si="238"/>
        <v>0.41686863880194203</v>
      </c>
      <c r="C3190" s="1">
        <f t="shared" ca="1" si="242"/>
        <v>7</v>
      </c>
      <c r="D3190" s="1">
        <f t="shared" ca="1" si="239"/>
        <v>138</v>
      </c>
      <c r="E3190" s="2">
        <f t="shared" ca="1" si="240"/>
        <v>43411</v>
      </c>
      <c r="F3190" s="6">
        <f t="shared" ca="1" si="241"/>
        <v>100.31073497320683</v>
      </c>
    </row>
    <row r="3191" spans="1:6">
      <c r="A3191" s="1">
        <v>9130867</v>
      </c>
      <c r="B3191">
        <f t="shared" ca="1" si="238"/>
        <v>0.28844948027913431</v>
      </c>
      <c r="C3191" s="1">
        <f t="shared" ca="1" si="242"/>
        <v>57</v>
      </c>
      <c r="D3191" s="1">
        <f t="shared" ca="1" si="239"/>
        <v>24</v>
      </c>
      <c r="E3191" s="2">
        <f t="shared" ca="1" si="240"/>
        <v>43451</v>
      </c>
      <c r="F3191" s="6">
        <f t="shared" ca="1" si="241"/>
        <v>6.3568402124188896</v>
      </c>
    </row>
    <row r="3192" spans="1:6">
      <c r="A3192" s="1">
        <v>9130870</v>
      </c>
      <c r="B3192">
        <f t="shared" ca="1" si="238"/>
        <v>0.27505228129936588</v>
      </c>
      <c r="C3192" s="1">
        <f t="shared" ca="1" si="242"/>
        <v>57</v>
      </c>
      <c r="D3192" s="1">
        <f t="shared" ca="1" si="239"/>
        <v>24</v>
      </c>
      <c r="E3192" s="2">
        <f t="shared" ca="1" si="240"/>
        <v>43120</v>
      </c>
      <c r="F3192" s="6">
        <f t="shared" ca="1" si="241"/>
        <v>29.426625735173069</v>
      </c>
    </row>
    <row r="3193" spans="1:6">
      <c r="A3193" s="1">
        <v>9130873</v>
      </c>
      <c r="B3193">
        <f t="shared" ca="1" si="238"/>
        <v>0.8539156547897252</v>
      </c>
      <c r="C3193" s="1">
        <f t="shared" ca="1" si="242"/>
        <v>4</v>
      </c>
      <c r="D3193" s="1">
        <f t="shared" ca="1" si="239"/>
        <v>493</v>
      </c>
      <c r="E3193" s="2">
        <f t="shared" ca="1" si="240"/>
        <v>43338</v>
      </c>
      <c r="F3193" s="6">
        <f t="shared" ca="1" si="241"/>
        <v>9.8604386278119946</v>
      </c>
    </row>
    <row r="3194" spans="1:6">
      <c r="A3194" s="1">
        <v>9130876</v>
      </c>
      <c r="B3194">
        <f t="shared" ca="1" si="238"/>
        <v>0.11173168896484043</v>
      </c>
      <c r="C3194" s="1">
        <f t="shared" ca="1" si="242"/>
        <v>410</v>
      </c>
      <c r="D3194" s="1">
        <f t="shared" ca="1" si="239"/>
        <v>290</v>
      </c>
      <c r="E3194" s="2">
        <f t="shared" ca="1" si="240"/>
        <v>42791</v>
      </c>
      <c r="F3194" s="6">
        <f t="shared" ca="1" si="241"/>
        <v>4.1702085353513763</v>
      </c>
    </row>
    <row r="3195" spans="1:6">
      <c r="A3195" s="1">
        <v>9130879</v>
      </c>
      <c r="B3195">
        <f t="shared" ca="1" si="238"/>
        <v>0.11399008441571901</v>
      </c>
      <c r="C3195" s="1">
        <f t="shared" ca="1" si="242"/>
        <v>44</v>
      </c>
      <c r="D3195" s="1">
        <f t="shared" ca="1" si="239"/>
        <v>427</v>
      </c>
      <c r="E3195" s="2">
        <f t="shared" ca="1" si="240"/>
        <v>42935</v>
      </c>
      <c r="F3195" s="6">
        <f t="shared" ca="1" si="241"/>
        <v>5.973607592377129</v>
      </c>
    </row>
    <row r="3196" spans="1:6">
      <c r="A3196" s="1">
        <v>9130882</v>
      </c>
      <c r="B3196">
        <f t="shared" ca="1" si="238"/>
        <v>0.29311966499998998</v>
      </c>
      <c r="C3196" s="1">
        <f t="shared" ca="1" si="242"/>
        <v>11</v>
      </c>
      <c r="D3196" s="1">
        <f t="shared" ca="1" si="239"/>
        <v>437</v>
      </c>
      <c r="E3196" s="2">
        <f t="shared" ca="1" si="240"/>
        <v>43022</v>
      </c>
      <c r="F3196" s="6">
        <f t="shared" ca="1" si="241"/>
        <v>3.1846916924393032</v>
      </c>
    </row>
    <row r="3197" spans="1:6">
      <c r="A3197" s="1">
        <v>9130885</v>
      </c>
      <c r="B3197">
        <f t="shared" ref="B3197:B3260" ca="1" si="243">RAND()</f>
        <v>0.82155908521503584</v>
      </c>
      <c r="C3197" s="1">
        <f t="shared" ca="1" si="242"/>
        <v>48</v>
      </c>
      <c r="D3197" s="1">
        <f t="shared" ref="D3197:D3260" ca="1" si="244">VLOOKUP(SMALL($B$2:$B$601,C3197),$B$2:$C$601,2,FALSE)</f>
        <v>424</v>
      </c>
      <c r="E3197" s="2">
        <f t="shared" ca="1" si="240"/>
        <v>43206</v>
      </c>
      <c r="F3197" s="6">
        <f t="shared" ca="1" si="241"/>
        <v>13.736879465204014</v>
      </c>
    </row>
    <row r="3198" spans="1:6">
      <c r="A3198" s="1">
        <v>9130888</v>
      </c>
      <c r="B3198">
        <f t="shared" ca="1" si="243"/>
        <v>0.63126228353552072</v>
      </c>
      <c r="C3198" s="1">
        <f t="shared" ca="1" si="242"/>
        <v>217</v>
      </c>
      <c r="D3198" s="1">
        <f t="shared" ca="1" si="244"/>
        <v>371</v>
      </c>
      <c r="E3198" s="2">
        <f t="shared" ca="1" si="240"/>
        <v>43297</v>
      </c>
      <c r="F3198" s="6">
        <f t="shared" ca="1" si="241"/>
        <v>60.974783315159016</v>
      </c>
    </row>
    <row r="3199" spans="1:6">
      <c r="A3199" s="1">
        <v>9130891</v>
      </c>
      <c r="B3199">
        <f t="shared" ca="1" si="243"/>
        <v>0.84174089612001712</v>
      </c>
      <c r="C3199" s="1">
        <f t="shared" ca="1" si="242"/>
        <v>49</v>
      </c>
      <c r="D3199" s="1">
        <f t="shared" ca="1" si="244"/>
        <v>26</v>
      </c>
      <c r="E3199" s="2">
        <f t="shared" ca="1" si="240"/>
        <v>43279</v>
      </c>
      <c r="F3199" s="6">
        <f t="shared" ca="1" si="241"/>
        <v>14.118157691458672</v>
      </c>
    </row>
    <row r="3200" spans="1:6">
      <c r="A3200" s="1">
        <v>9130894</v>
      </c>
      <c r="B3200">
        <f t="shared" ca="1" si="243"/>
        <v>0.41586654042789573</v>
      </c>
      <c r="C3200" s="1">
        <f t="shared" ca="1" si="242"/>
        <v>3</v>
      </c>
      <c r="D3200" s="1">
        <f t="shared" ca="1" si="244"/>
        <v>263</v>
      </c>
      <c r="E3200" s="2">
        <f t="shared" ca="1" si="240"/>
        <v>42908</v>
      </c>
      <c r="F3200" s="6">
        <f t="shared" ca="1" si="241"/>
        <v>4.6535427058734848</v>
      </c>
    </row>
    <row r="3201" spans="1:6">
      <c r="A3201" s="1">
        <v>9130897</v>
      </c>
      <c r="B3201">
        <f t="shared" ca="1" si="243"/>
        <v>0.85839754126267465</v>
      </c>
      <c r="C3201" s="1">
        <f t="shared" ca="1" si="242"/>
        <v>11</v>
      </c>
      <c r="D3201" s="1">
        <f t="shared" ca="1" si="244"/>
        <v>437</v>
      </c>
      <c r="E3201" s="2">
        <f t="shared" ca="1" si="240"/>
        <v>42807</v>
      </c>
      <c r="F3201" s="6">
        <f t="shared" ca="1" si="241"/>
        <v>16.190719288553474</v>
      </c>
    </row>
    <row r="3202" spans="1:6">
      <c r="A3202" s="1">
        <v>9130900</v>
      </c>
      <c r="B3202">
        <f t="shared" ca="1" si="243"/>
        <v>0.4262364827238786</v>
      </c>
      <c r="C3202" s="1">
        <f t="shared" ca="1" si="242"/>
        <v>45</v>
      </c>
      <c r="D3202" s="1">
        <f t="shared" ca="1" si="244"/>
        <v>482</v>
      </c>
      <c r="E3202" s="2">
        <f t="shared" ca="1" si="240"/>
        <v>43212</v>
      </c>
      <c r="F3202" s="6">
        <f t="shared" ca="1" si="241"/>
        <v>17.289098132524202</v>
      </c>
    </row>
    <row r="3203" spans="1:6">
      <c r="A3203" s="1">
        <v>9130903</v>
      </c>
      <c r="B3203">
        <f t="shared" ca="1" si="243"/>
        <v>0.26532101705745126</v>
      </c>
      <c r="C3203" s="1">
        <f t="shared" ca="1" si="242"/>
        <v>54</v>
      </c>
      <c r="D3203" s="1">
        <f t="shared" ca="1" si="244"/>
        <v>168</v>
      </c>
      <c r="E3203" s="2">
        <f t="shared" ref="E3203:E3266" ca="1" si="245">RANDBETWEEN("1/1/17","2/1/19")</f>
        <v>42786</v>
      </c>
      <c r="F3203" s="6">
        <f t="shared" ref="F3203:F3266" ca="1" si="246">_xlfn.GAMMA.INV(RAND(),$J$6,$J$7)*100+3</f>
        <v>11.279818094127188</v>
      </c>
    </row>
    <row r="3204" spans="1:6">
      <c r="A3204" s="1">
        <v>9130906</v>
      </c>
      <c r="B3204">
        <f t="shared" ca="1" si="243"/>
        <v>0.85882362295283943</v>
      </c>
      <c r="C3204" s="1">
        <f t="shared" ca="1" si="242"/>
        <v>10</v>
      </c>
      <c r="D3204" s="1">
        <f t="shared" ca="1" si="244"/>
        <v>236</v>
      </c>
      <c r="E3204" s="2">
        <f t="shared" ca="1" si="245"/>
        <v>42872</v>
      </c>
      <c r="F3204" s="6">
        <f t="shared" ca="1" si="246"/>
        <v>20.441256875766673</v>
      </c>
    </row>
    <row r="3205" spans="1:6">
      <c r="A3205" s="1">
        <v>9130909</v>
      </c>
      <c r="B3205">
        <f t="shared" ca="1" si="243"/>
        <v>0.11544313261906336</v>
      </c>
      <c r="C3205" s="1">
        <f t="shared" ca="1" si="242"/>
        <v>7</v>
      </c>
      <c r="D3205" s="1">
        <f t="shared" ca="1" si="244"/>
        <v>138</v>
      </c>
      <c r="E3205" s="2">
        <f t="shared" ca="1" si="245"/>
        <v>43114</v>
      </c>
      <c r="F3205" s="6">
        <f t="shared" ca="1" si="246"/>
        <v>70.045752302022734</v>
      </c>
    </row>
    <row r="3206" spans="1:6">
      <c r="A3206" s="1">
        <v>9130912</v>
      </c>
      <c r="B3206">
        <f t="shared" ca="1" si="243"/>
        <v>0.32921975444597762</v>
      </c>
      <c r="C3206" s="1">
        <f t="shared" ca="1" si="242"/>
        <v>7</v>
      </c>
      <c r="D3206" s="1">
        <f t="shared" ca="1" si="244"/>
        <v>138</v>
      </c>
      <c r="E3206" s="2">
        <f t="shared" ca="1" si="245"/>
        <v>42940</v>
      </c>
      <c r="F3206" s="6">
        <f t="shared" ca="1" si="246"/>
        <v>10.136277580967079</v>
      </c>
    </row>
    <row r="3207" spans="1:6">
      <c r="A3207" s="1">
        <v>9130915</v>
      </c>
      <c r="B3207">
        <f t="shared" ca="1" si="243"/>
        <v>0.6487384130295335</v>
      </c>
      <c r="C3207" s="1">
        <f t="shared" ca="1" si="242"/>
        <v>5</v>
      </c>
      <c r="D3207" s="1">
        <f t="shared" ca="1" si="244"/>
        <v>363</v>
      </c>
      <c r="E3207" s="2">
        <f t="shared" ca="1" si="245"/>
        <v>43214</v>
      </c>
      <c r="F3207" s="6">
        <f t="shared" ca="1" si="246"/>
        <v>148.46396591779967</v>
      </c>
    </row>
    <row r="3208" spans="1:6">
      <c r="A3208" s="1">
        <v>9130918</v>
      </c>
      <c r="B3208">
        <f t="shared" ca="1" si="243"/>
        <v>0.84793756953137389</v>
      </c>
      <c r="C3208" s="1">
        <f t="shared" ca="1" si="242"/>
        <v>39</v>
      </c>
      <c r="D3208" s="1">
        <f t="shared" ca="1" si="244"/>
        <v>402</v>
      </c>
      <c r="E3208" s="2">
        <f t="shared" ca="1" si="245"/>
        <v>43189</v>
      </c>
      <c r="F3208" s="6">
        <f t="shared" ca="1" si="246"/>
        <v>5.7789846041628623</v>
      </c>
    </row>
    <row r="3209" spans="1:6">
      <c r="A3209" s="1">
        <v>9130921</v>
      </c>
      <c r="B3209">
        <f t="shared" ca="1" si="243"/>
        <v>0.45068550717261324</v>
      </c>
      <c r="C3209" s="1">
        <f t="shared" ca="1" si="242"/>
        <v>117</v>
      </c>
      <c r="D3209" s="1">
        <f t="shared" ca="1" si="244"/>
        <v>600</v>
      </c>
      <c r="E3209" s="2">
        <f t="shared" ca="1" si="245"/>
        <v>43103</v>
      </c>
      <c r="F3209" s="6">
        <f t="shared" ca="1" si="246"/>
        <v>17.347076126219886</v>
      </c>
    </row>
    <row r="3210" spans="1:6">
      <c r="A3210" s="1">
        <v>9130924</v>
      </c>
      <c r="B3210">
        <f t="shared" ca="1" si="243"/>
        <v>0.16399257111270371</v>
      </c>
      <c r="C3210" s="1">
        <f t="shared" ca="1" si="242"/>
        <v>1</v>
      </c>
      <c r="D3210" s="1">
        <f t="shared" ca="1" si="244"/>
        <v>474</v>
      </c>
      <c r="E3210" s="2">
        <f t="shared" ca="1" si="245"/>
        <v>43237</v>
      </c>
      <c r="F3210" s="6">
        <f t="shared" ca="1" si="246"/>
        <v>3.0332534754226157</v>
      </c>
    </row>
    <row r="3211" spans="1:6">
      <c r="A3211" s="1">
        <v>9130927</v>
      </c>
      <c r="B3211">
        <f t="shared" ca="1" si="243"/>
        <v>0.56510903392023359</v>
      </c>
      <c r="C3211" s="1">
        <f t="shared" ca="1" si="242"/>
        <v>25</v>
      </c>
      <c r="D3211" s="1">
        <f t="shared" ca="1" si="244"/>
        <v>257</v>
      </c>
      <c r="E3211" s="2">
        <f t="shared" ca="1" si="245"/>
        <v>42813</v>
      </c>
      <c r="F3211" s="6">
        <f t="shared" ca="1" si="246"/>
        <v>72.448076786477799</v>
      </c>
    </row>
    <row r="3212" spans="1:6">
      <c r="A3212" s="1">
        <v>9130930</v>
      </c>
      <c r="B3212">
        <f t="shared" ca="1" si="243"/>
        <v>0.60815454942236491</v>
      </c>
      <c r="C3212" s="1">
        <f t="shared" ca="1" si="242"/>
        <v>1</v>
      </c>
      <c r="D3212" s="1">
        <f t="shared" ca="1" si="244"/>
        <v>474</v>
      </c>
      <c r="E3212" s="2">
        <f t="shared" ca="1" si="245"/>
        <v>43471</v>
      </c>
      <c r="F3212" s="6">
        <f t="shared" ca="1" si="246"/>
        <v>16.957555709612624</v>
      </c>
    </row>
    <row r="3213" spans="1:6">
      <c r="A3213" s="1">
        <v>9130933</v>
      </c>
      <c r="B3213">
        <f t="shared" ca="1" si="243"/>
        <v>0.75854882408786195</v>
      </c>
      <c r="C3213" s="1">
        <f t="shared" ca="1" si="242"/>
        <v>10</v>
      </c>
      <c r="D3213" s="1">
        <f t="shared" ca="1" si="244"/>
        <v>236</v>
      </c>
      <c r="E3213" s="2">
        <f t="shared" ca="1" si="245"/>
        <v>43438</v>
      </c>
      <c r="F3213" s="6">
        <f t="shared" ca="1" si="246"/>
        <v>3.1478287856827971</v>
      </c>
    </row>
    <row r="3214" spans="1:6">
      <c r="A3214" s="1">
        <v>9130936</v>
      </c>
      <c r="B3214">
        <f t="shared" ca="1" si="243"/>
        <v>0.27170473965766628</v>
      </c>
      <c r="C3214" s="1">
        <f t="shared" ca="1" si="242"/>
        <v>10</v>
      </c>
      <c r="D3214" s="1">
        <f t="shared" ca="1" si="244"/>
        <v>236</v>
      </c>
      <c r="E3214" s="2">
        <f t="shared" ca="1" si="245"/>
        <v>42740</v>
      </c>
      <c r="F3214" s="6">
        <f t="shared" ca="1" si="246"/>
        <v>34.151266487491696</v>
      </c>
    </row>
    <row r="3215" spans="1:6">
      <c r="A3215" s="1">
        <v>9130939</v>
      </c>
      <c r="B3215">
        <f t="shared" ca="1" si="243"/>
        <v>0.20792245029030632</v>
      </c>
      <c r="C3215" s="1">
        <f t="shared" ca="1" si="242"/>
        <v>18</v>
      </c>
      <c r="D3215" s="1">
        <f t="shared" ca="1" si="244"/>
        <v>511</v>
      </c>
      <c r="E3215" s="2">
        <f t="shared" ca="1" si="245"/>
        <v>43179</v>
      </c>
      <c r="F3215" s="6">
        <f t="shared" ca="1" si="246"/>
        <v>48.541838559207598</v>
      </c>
    </row>
    <row r="3216" spans="1:6">
      <c r="A3216" s="1">
        <v>9130942</v>
      </c>
      <c r="B3216">
        <f t="shared" ca="1" si="243"/>
        <v>0.68015954174124149</v>
      </c>
      <c r="C3216" s="1">
        <f t="shared" ca="1" si="242"/>
        <v>23</v>
      </c>
      <c r="D3216" s="1">
        <f t="shared" ca="1" si="244"/>
        <v>516</v>
      </c>
      <c r="E3216" s="2">
        <f t="shared" ca="1" si="245"/>
        <v>43051</v>
      </c>
      <c r="F3216" s="6">
        <f t="shared" ca="1" si="246"/>
        <v>195.65058881507639</v>
      </c>
    </row>
    <row r="3217" spans="1:6">
      <c r="A3217" s="1">
        <v>9130945</v>
      </c>
      <c r="B3217">
        <f t="shared" ca="1" si="243"/>
        <v>0.72039437459993383</v>
      </c>
      <c r="C3217" s="1">
        <f t="shared" ca="1" si="242"/>
        <v>22</v>
      </c>
      <c r="D3217" s="1">
        <f t="shared" ca="1" si="244"/>
        <v>413</v>
      </c>
      <c r="E3217" s="2">
        <f t="shared" ca="1" si="245"/>
        <v>43082</v>
      </c>
      <c r="F3217" s="6">
        <f t="shared" ca="1" si="246"/>
        <v>7.7700674746448506</v>
      </c>
    </row>
    <row r="3218" spans="1:6">
      <c r="A3218" s="1">
        <v>9130948</v>
      </c>
      <c r="B3218">
        <f t="shared" ca="1" si="243"/>
        <v>0.96975125850788824</v>
      </c>
      <c r="C3218" s="1">
        <f t="shared" ca="1" si="242"/>
        <v>56</v>
      </c>
      <c r="D3218" s="1">
        <f t="shared" ca="1" si="244"/>
        <v>57</v>
      </c>
      <c r="E3218" s="2">
        <f t="shared" ca="1" si="245"/>
        <v>43069</v>
      </c>
      <c r="F3218" s="6">
        <f t="shared" ca="1" si="246"/>
        <v>74.311817382409075</v>
      </c>
    </row>
    <row r="3219" spans="1:6">
      <c r="A3219" s="1">
        <v>9130951</v>
      </c>
      <c r="B3219">
        <f t="shared" ca="1" si="243"/>
        <v>0.62246227309092017</v>
      </c>
      <c r="C3219" s="1">
        <f t="shared" ca="1" si="242"/>
        <v>62</v>
      </c>
      <c r="D3219" s="1">
        <f t="shared" ca="1" si="244"/>
        <v>235</v>
      </c>
      <c r="E3219" s="2">
        <f t="shared" ca="1" si="245"/>
        <v>43410</v>
      </c>
      <c r="F3219" s="6">
        <f t="shared" ca="1" si="246"/>
        <v>9.7155440721489921</v>
      </c>
    </row>
    <row r="3220" spans="1:6">
      <c r="A3220" s="1">
        <v>9130954</v>
      </c>
      <c r="B3220">
        <f t="shared" ca="1" si="243"/>
        <v>0.29308854684212993</v>
      </c>
      <c r="C3220" s="1">
        <f t="shared" ca="1" si="242"/>
        <v>6</v>
      </c>
      <c r="D3220" s="1">
        <f t="shared" ca="1" si="244"/>
        <v>208</v>
      </c>
      <c r="E3220" s="2">
        <f t="shared" ca="1" si="245"/>
        <v>42761</v>
      </c>
      <c r="F3220" s="6">
        <f t="shared" ca="1" si="246"/>
        <v>50.039882088386555</v>
      </c>
    </row>
    <row r="3221" spans="1:6">
      <c r="A3221" s="1">
        <v>9130957</v>
      </c>
      <c r="B3221">
        <f t="shared" ca="1" si="243"/>
        <v>0.68746334972885714</v>
      </c>
      <c r="C3221" s="1">
        <f t="shared" ca="1" si="242"/>
        <v>54</v>
      </c>
      <c r="D3221" s="1">
        <f t="shared" ca="1" si="244"/>
        <v>168</v>
      </c>
      <c r="E3221" s="2">
        <f t="shared" ca="1" si="245"/>
        <v>43053</v>
      </c>
      <c r="F3221" s="6">
        <f t="shared" ca="1" si="246"/>
        <v>71.599877179602757</v>
      </c>
    </row>
    <row r="3222" spans="1:6">
      <c r="A3222" s="1">
        <v>9130960</v>
      </c>
      <c r="B3222">
        <f t="shared" ca="1" si="243"/>
        <v>6.3640305822847409E-3</v>
      </c>
      <c r="C3222" s="1">
        <f t="shared" ca="1" si="242"/>
        <v>2</v>
      </c>
      <c r="D3222" s="1">
        <f t="shared" ca="1" si="244"/>
        <v>30</v>
      </c>
      <c r="E3222" s="2">
        <f t="shared" ca="1" si="245"/>
        <v>43169</v>
      </c>
      <c r="F3222" s="6">
        <f t="shared" ca="1" si="246"/>
        <v>255.85797507622064</v>
      </c>
    </row>
    <row r="3223" spans="1:6">
      <c r="A3223" s="1">
        <v>9130963</v>
      </c>
      <c r="B3223">
        <f t="shared" ca="1" si="243"/>
        <v>0.4721715626755163</v>
      </c>
      <c r="C3223" s="1">
        <f t="shared" ca="1" si="242"/>
        <v>4</v>
      </c>
      <c r="D3223" s="1">
        <f t="shared" ca="1" si="244"/>
        <v>493</v>
      </c>
      <c r="E3223" s="2">
        <f t="shared" ca="1" si="245"/>
        <v>42740</v>
      </c>
      <c r="F3223" s="6">
        <f t="shared" ca="1" si="246"/>
        <v>5.4778168126831748</v>
      </c>
    </row>
    <row r="3224" spans="1:6">
      <c r="A3224" s="1">
        <v>9130966</v>
      </c>
      <c r="B3224">
        <f t="shared" ca="1" si="243"/>
        <v>0.2686350274015713</v>
      </c>
      <c r="C3224" s="1">
        <f t="shared" ca="1" si="242"/>
        <v>1</v>
      </c>
      <c r="D3224" s="1">
        <f t="shared" ca="1" si="244"/>
        <v>474</v>
      </c>
      <c r="E3224" s="2">
        <f t="shared" ca="1" si="245"/>
        <v>42848</v>
      </c>
      <c r="F3224" s="6">
        <f t="shared" ca="1" si="246"/>
        <v>57.451722519159574</v>
      </c>
    </row>
    <row r="3225" spans="1:6">
      <c r="A3225" s="1">
        <v>9130969</v>
      </c>
      <c r="B3225">
        <f t="shared" ca="1" si="243"/>
        <v>0.26347699240005173</v>
      </c>
      <c r="C3225" s="1">
        <f t="shared" ca="1" si="242"/>
        <v>11</v>
      </c>
      <c r="D3225" s="1">
        <f t="shared" ca="1" si="244"/>
        <v>437</v>
      </c>
      <c r="E3225" s="2">
        <f t="shared" ca="1" si="245"/>
        <v>42917</v>
      </c>
      <c r="F3225" s="6">
        <f t="shared" ca="1" si="246"/>
        <v>6.1079203825847896</v>
      </c>
    </row>
    <row r="3226" spans="1:6">
      <c r="A3226" s="1">
        <v>9130972</v>
      </c>
      <c r="B3226">
        <f t="shared" ca="1" si="243"/>
        <v>0.2140965749896514</v>
      </c>
      <c r="C3226" s="1">
        <f t="shared" ca="1" si="242"/>
        <v>75</v>
      </c>
      <c r="D3226" s="1">
        <f t="shared" ca="1" si="244"/>
        <v>599</v>
      </c>
      <c r="E3226" s="2">
        <f t="shared" ca="1" si="245"/>
        <v>43117</v>
      </c>
      <c r="F3226" s="6">
        <f t="shared" ca="1" si="246"/>
        <v>15.664996823628508</v>
      </c>
    </row>
    <row r="3227" spans="1:6">
      <c r="A3227" s="1">
        <v>9130975</v>
      </c>
      <c r="B3227">
        <f t="shared" ca="1" si="243"/>
        <v>0.1095326413509472</v>
      </c>
      <c r="C3227" s="1">
        <f t="shared" ref="C3227:C3290" ca="1" si="247">ROUND(_xlfn.GAMMA.INV(RAND(),$J$11,$J$12)*100,0)+1</f>
        <v>21</v>
      </c>
      <c r="D3227" s="1">
        <f t="shared" ca="1" si="244"/>
        <v>566</v>
      </c>
      <c r="E3227" s="2">
        <f t="shared" ca="1" si="245"/>
        <v>42992</v>
      </c>
      <c r="F3227" s="6">
        <f t="shared" ca="1" si="246"/>
        <v>314.93567917172243</v>
      </c>
    </row>
    <row r="3228" spans="1:6">
      <c r="A3228" s="1">
        <v>9130978</v>
      </c>
      <c r="B3228">
        <f t="shared" ca="1" si="243"/>
        <v>0.34559534158472993</v>
      </c>
      <c r="C3228" s="1">
        <f t="shared" ca="1" si="247"/>
        <v>10</v>
      </c>
      <c r="D3228" s="1">
        <f t="shared" ca="1" si="244"/>
        <v>236</v>
      </c>
      <c r="E3228" s="2">
        <f t="shared" ca="1" si="245"/>
        <v>43253</v>
      </c>
      <c r="F3228" s="6">
        <f t="shared" ca="1" si="246"/>
        <v>24.082173763012801</v>
      </c>
    </row>
    <row r="3229" spans="1:6">
      <c r="A3229" s="1">
        <v>9130981</v>
      </c>
      <c r="B3229">
        <f t="shared" ca="1" si="243"/>
        <v>0.24782617458152478</v>
      </c>
      <c r="C3229" s="1">
        <f t="shared" ca="1" si="247"/>
        <v>244</v>
      </c>
      <c r="D3229" s="1">
        <f t="shared" ca="1" si="244"/>
        <v>264</v>
      </c>
      <c r="E3229" s="2">
        <f t="shared" ca="1" si="245"/>
        <v>43357</v>
      </c>
      <c r="F3229" s="6">
        <f t="shared" ca="1" si="246"/>
        <v>55.703748965677264</v>
      </c>
    </row>
    <row r="3230" spans="1:6">
      <c r="A3230" s="1">
        <v>9130984</v>
      </c>
      <c r="B3230">
        <f t="shared" ca="1" si="243"/>
        <v>7.8258958553424351E-3</v>
      </c>
      <c r="C3230" s="1">
        <f t="shared" ca="1" si="247"/>
        <v>26</v>
      </c>
      <c r="D3230" s="1">
        <f t="shared" ca="1" si="244"/>
        <v>88</v>
      </c>
      <c r="E3230" s="2">
        <f t="shared" ca="1" si="245"/>
        <v>43448</v>
      </c>
      <c r="F3230" s="6">
        <f t="shared" ca="1" si="246"/>
        <v>3.1968961316852109</v>
      </c>
    </row>
    <row r="3231" spans="1:6">
      <c r="A3231" s="1">
        <v>9130987</v>
      </c>
      <c r="B3231">
        <f t="shared" ca="1" si="243"/>
        <v>0.34044570988480582</v>
      </c>
      <c r="C3231" s="1">
        <f t="shared" ca="1" si="247"/>
        <v>79</v>
      </c>
      <c r="D3231" s="1">
        <f t="shared" ca="1" si="244"/>
        <v>547</v>
      </c>
      <c r="E3231" s="2">
        <f t="shared" ca="1" si="245"/>
        <v>43211</v>
      </c>
      <c r="F3231" s="6">
        <f t="shared" ca="1" si="246"/>
        <v>59.233651837942048</v>
      </c>
    </row>
    <row r="3232" spans="1:6">
      <c r="A3232" s="1">
        <v>9130990</v>
      </c>
      <c r="B3232">
        <f t="shared" ca="1" si="243"/>
        <v>0.81545174401375986</v>
      </c>
      <c r="C3232" s="1">
        <f t="shared" ca="1" si="247"/>
        <v>3</v>
      </c>
      <c r="D3232" s="1">
        <f t="shared" ca="1" si="244"/>
        <v>263</v>
      </c>
      <c r="E3232" s="2">
        <f t="shared" ca="1" si="245"/>
        <v>42998</v>
      </c>
      <c r="F3232" s="6">
        <f t="shared" ca="1" si="246"/>
        <v>4.6399287387772006</v>
      </c>
    </row>
    <row r="3233" spans="1:6">
      <c r="A3233" s="1">
        <v>9130993</v>
      </c>
      <c r="B3233">
        <f t="shared" ca="1" si="243"/>
        <v>9.3883246433684953E-2</v>
      </c>
      <c r="C3233" s="1">
        <f t="shared" ca="1" si="247"/>
        <v>21</v>
      </c>
      <c r="D3233" s="1">
        <f t="shared" ca="1" si="244"/>
        <v>566</v>
      </c>
      <c r="E3233" s="2">
        <f t="shared" ca="1" si="245"/>
        <v>43453</v>
      </c>
      <c r="F3233" s="6">
        <f t="shared" ca="1" si="246"/>
        <v>67.939771970947987</v>
      </c>
    </row>
    <row r="3234" spans="1:6">
      <c r="A3234" s="1">
        <v>9130996</v>
      </c>
      <c r="B3234">
        <f t="shared" ca="1" si="243"/>
        <v>0.79094987460059329</v>
      </c>
      <c r="C3234" s="1">
        <f t="shared" ca="1" si="247"/>
        <v>56</v>
      </c>
      <c r="D3234" s="1">
        <f t="shared" ca="1" si="244"/>
        <v>57</v>
      </c>
      <c r="E3234" s="2">
        <f t="shared" ca="1" si="245"/>
        <v>42847</v>
      </c>
      <c r="F3234" s="6">
        <f t="shared" ca="1" si="246"/>
        <v>3.0007928522849663</v>
      </c>
    </row>
    <row r="3235" spans="1:6">
      <c r="A3235" s="1">
        <v>9130999</v>
      </c>
      <c r="B3235">
        <f t="shared" ca="1" si="243"/>
        <v>0.97274537031642894</v>
      </c>
      <c r="C3235" s="1">
        <f t="shared" ca="1" si="247"/>
        <v>2</v>
      </c>
      <c r="D3235" s="1">
        <f t="shared" ca="1" si="244"/>
        <v>30</v>
      </c>
      <c r="E3235" s="2">
        <f t="shared" ca="1" si="245"/>
        <v>43209</v>
      </c>
      <c r="F3235" s="6">
        <f t="shared" ca="1" si="246"/>
        <v>18.729332822109242</v>
      </c>
    </row>
    <row r="3236" spans="1:6">
      <c r="A3236" s="1">
        <v>9131002</v>
      </c>
      <c r="B3236">
        <f t="shared" ca="1" si="243"/>
        <v>0.37836216559063396</v>
      </c>
      <c r="C3236" s="1">
        <f t="shared" ca="1" si="247"/>
        <v>42</v>
      </c>
      <c r="D3236" s="1">
        <f t="shared" ca="1" si="244"/>
        <v>36</v>
      </c>
      <c r="E3236" s="2">
        <f t="shared" ca="1" si="245"/>
        <v>43315</v>
      </c>
      <c r="F3236" s="6">
        <f t="shared" ca="1" si="246"/>
        <v>10.209244027250236</v>
      </c>
    </row>
    <row r="3237" spans="1:6">
      <c r="A3237" s="1">
        <v>9131005</v>
      </c>
      <c r="B3237">
        <f t="shared" ca="1" si="243"/>
        <v>0.57549729645182079</v>
      </c>
      <c r="C3237" s="1">
        <f t="shared" ca="1" si="247"/>
        <v>45</v>
      </c>
      <c r="D3237" s="1">
        <f t="shared" ca="1" si="244"/>
        <v>482</v>
      </c>
      <c r="E3237" s="2">
        <f t="shared" ca="1" si="245"/>
        <v>43492</v>
      </c>
      <c r="F3237" s="6">
        <f t="shared" ca="1" si="246"/>
        <v>30.782779193879424</v>
      </c>
    </row>
    <row r="3238" spans="1:6">
      <c r="A3238" s="1">
        <v>9131008</v>
      </c>
      <c r="B3238">
        <f t="shared" ca="1" si="243"/>
        <v>0.88644947228256565</v>
      </c>
      <c r="C3238" s="1">
        <f t="shared" ca="1" si="247"/>
        <v>2</v>
      </c>
      <c r="D3238" s="1">
        <f t="shared" ca="1" si="244"/>
        <v>30</v>
      </c>
      <c r="E3238" s="2">
        <f t="shared" ca="1" si="245"/>
        <v>43110</v>
      </c>
      <c r="F3238" s="6">
        <f t="shared" ca="1" si="246"/>
        <v>47.559462104127</v>
      </c>
    </row>
    <row r="3239" spans="1:6">
      <c r="A3239" s="1">
        <v>9131011</v>
      </c>
      <c r="B3239">
        <f t="shared" ca="1" si="243"/>
        <v>0.18995838933624165</v>
      </c>
      <c r="C3239" s="1">
        <f t="shared" ca="1" si="247"/>
        <v>17</v>
      </c>
      <c r="D3239" s="1">
        <f t="shared" ca="1" si="244"/>
        <v>165</v>
      </c>
      <c r="E3239" s="2">
        <f t="shared" ca="1" si="245"/>
        <v>43018</v>
      </c>
      <c r="F3239" s="6">
        <f t="shared" ca="1" si="246"/>
        <v>4.9589359802319866</v>
      </c>
    </row>
    <row r="3240" spans="1:6">
      <c r="A3240" s="1">
        <v>9131014</v>
      </c>
      <c r="B3240">
        <f t="shared" ca="1" si="243"/>
        <v>0.67228446516300366</v>
      </c>
      <c r="C3240" s="1">
        <f t="shared" ca="1" si="247"/>
        <v>147</v>
      </c>
      <c r="D3240" s="1">
        <f t="shared" ca="1" si="244"/>
        <v>54</v>
      </c>
      <c r="E3240" s="2">
        <f t="shared" ca="1" si="245"/>
        <v>42818</v>
      </c>
      <c r="F3240" s="6">
        <f t="shared" ca="1" si="246"/>
        <v>12.885162820528107</v>
      </c>
    </row>
    <row r="3241" spans="1:6">
      <c r="A3241" s="1">
        <v>9131017</v>
      </c>
      <c r="B3241">
        <f t="shared" ca="1" si="243"/>
        <v>0.7292895825817608</v>
      </c>
      <c r="C3241" s="1">
        <f t="shared" ca="1" si="247"/>
        <v>55</v>
      </c>
      <c r="D3241" s="1">
        <f t="shared" ca="1" si="244"/>
        <v>220</v>
      </c>
      <c r="E3241" s="2">
        <f t="shared" ca="1" si="245"/>
        <v>42860</v>
      </c>
      <c r="F3241" s="6">
        <f t="shared" ca="1" si="246"/>
        <v>12.332842791912322</v>
      </c>
    </row>
    <row r="3242" spans="1:6">
      <c r="A3242" s="1">
        <v>9131020</v>
      </c>
      <c r="B3242">
        <f t="shared" ca="1" si="243"/>
        <v>0.28964312382690549</v>
      </c>
      <c r="C3242" s="1">
        <f t="shared" ca="1" si="247"/>
        <v>4</v>
      </c>
      <c r="D3242" s="1">
        <f t="shared" ca="1" si="244"/>
        <v>493</v>
      </c>
      <c r="E3242" s="2">
        <f t="shared" ca="1" si="245"/>
        <v>43132</v>
      </c>
      <c r="F3242" s="6">
        <f t="shared" ca="1" si="246"/>
        <v>4.0659344956697279</v>
      </c>
    </row>
    <row r="3243" spans="1:6">
      <c r="A3243" s="1">
        <v>9131023</v>
      </c>
      <c r="B3243">
        <f t="shared" ca="1" si="243"/>
        <v>0.2118298597580851</v>
      </c>
      <c r="C3243" s="1">
        <f t="shared" ca="1" si="247"/>
        <v>168</v>
      </c>
      <c r="D3243" s="1">
        <f t="shared" ca="1" si="244"/>
        <v>125</v>
      </c>
      <c r="E3243" s="2">
        <f t="shared" ca="1" si="245"/>
        <v>43461</v>
      </c>
      <c r="F3243" s="6">
        <f t="shared" ca="1" si="246"/>
        <v>3.0046687908873144</v>
      </c>
    </row>
    <row r="3244" spans="1:6">
      <c r="A3244" s="1">
        <v>9131026</v>
      </c>
      <c r="B3244">
        <f t="shared" ca="1" si="243"/>
        <v>0.50152528732437973</v>
      </c>
      <c r="C3244" s="1">
        <f t="shared" ca="1" si="247"/>
        <v>8</v>
      </c>
      <c r="D3244" s="1">
        <f t="shared" ca="1" si="244"/>
        <v>456</v>
      </c>
      <c r="E3244" s="2">
        <f t="shared" ca="1" si="245"/>
        <v>43283</v>
      </c>
      <c r="F3244" s="6">
        <f t="shared" ca="1" si="246"/>
        <v>9.6556535977141511</v>
      </c>
    </row>
    <row r="3245" spans="1:6">
      <c r="A3245" s="1">
        <v>9131029</v>
      </c>
      <c r="B3245">
        <f t="shared" ca="1" si="243"/>
        <v>0.67743699960104331</v>
      </c>
      <c r="C3245" s="1">
        <f t="shared" ca="1" si="247"/>
        <v>54</v>
      </c>
      <c r="D3245" s="1">
        <f t="shared" ca="1" si="244"/>
        <v>168</v>
      </c>
      <c r="E3245" s="2">
        <f t="shared" ca="1" si="245"/>
        <v>42829</v>
      </c>
      <c r="F3245" s="6">
        <f t="shared" ca="1" si="246"/>
        <v>18.968781588982665</v>
      </c>
    </row>
    <row r="3246" spans="1:6">
      <c r="A3246" s="1">
        <v>9131032</v>
      </c>
      <c r="B3246">
        <f t="shared" ca="1" si="243"/>
        <v>0.95316581889425489</v>
      </c>
      <c r="C3246" s="1">
        <f t="shared" ca="1" si="247"/>
        <v>21</v>
      </c>
      <c r="D3246" s="1">
        <f t="shared" ca="1" si="244"/>
        <v>566</v>
      </c>
      <c r="E3246" s="2">
        <f t="shared" ca="1" si="245"/>
        <v>43378</v>
      </c>
      <c r="F3246" s="6">
        <f t="shared" ca="1" si="246"/>
        <v>3.1368928992711402</v>
      </c>
    </row>
    <row r="3247" spans="1:6">
      <c r="A3247" s="1">
        <v>9131035</v>
      </c>
      <c r="B3247">
        <f t="shared" ca="1" si="243"/>
        <v>9.1468779637414732E-3</v>
      </c>
      <c r="C3247" s="1">
        <f t="shared" ca="1" si="247"/>
        <v>1</v>
      </c>
      <c r="D3247" s="1">
        <f t="shared" ca="1" si="244"/>
        <v>474</v>
      </c>
      <c r="E3247" s="2">
        <f t="shared" ca="1" si="245"/>
        <v>43096</v>
      </c>
      <c r="F3247" s="6">
        <f t="shared" ca="1" si="246"/>
        <v>39.596577276755177</v>
      </c>
    </row>
    <row r="3248" spans="1:6">
      <c r="A3248" s="1">
        <v>9131038</v>
      </c>
      <c r="B3248">
        <f t="shared" ca="1" si="243"/>
        <v>0.77483273425731569</v>
      </c>
      <c r="C3248" s="1">
        <f t="shared" ca="1" si="247"/>
        <v>58</v>
      </c>
      <c r="D3248" s="1">
        <f t="shared" ca="1" si="244"/>
        <v>19</v>
      </c>
      <c r="E3248" s="2">
        <f t="shared" ca="1" si="245"/>
        <v>43490</v>
      </c>
      <c r="F3248" s="6">
        <f t="shared" ca="1" si="246"/>
        <v>8.1540298303368459</v>
      </c>
    </row>
    <row r="3249" spans="1:6">
      <c r="A3249" s="1">
        <v>9131041</v>
      </c>
      <c r="B3249">
        <f t="shared" ca="1" si="243"/>
        <v>0.41650553251608191</v>
      </c>
      <c r="C3249" s="1">
        <f t="shared" ca="1" si="247"/>
        <v>16</v>
      </c>
      <c r="D3249" s="1">
        <f t="shared" ca="1" si="244"/>
        <v>465</v>
      </c>
      <c r="E3249" s="2">
        <f t="shared" ca="1" si="245"/>
        <v>43209</v>
      </c>
      <c r="F3249" s="6">
        <f t="shared" ca="1" si="246"/>
        <v>24.055107015842594</v>
      </c>
    </row>
    <row r="3250" spans="1:6">
      <c r="A3250" s="1">
        <v>9131044</v>
      </c>
      <c r="B3250">
        <f t="shared" ca="1" si="243"/>
        <v>8.73509555879739E-2</v>
      </c>
      <c r="C3250" s="1">
        <f t="shared" ca="1" si="247"/>
        <v>76</v>
      </c>
      <c r="D3250" s="1">
        <f t="shared" ca="1" si="244"/>
        <v>293</v>
      </c>
      <c r="E3250" s="2">
        <f t="shared" ca="1" si="245"/>
        <v>43208</v>
      </c>
      <c r="F3250" s="6">
        <f t="shared" ca="1" si="246"/>
        <v>7.400349231304741</v>
      </c>
    </row>
    <row r="3251" spans="1:6">
      <c r="A3251" s="1">
        <v>9131047</v>
      </c>
      <c r="B3251">
        <f t="shared" ca="1" si="243"/>
        <v>6.7434300054369123E-2</v>
      </c>
      <c r="C3251" s="1">
        <f t="shared" ca="1" si="247"/>
        <v>29</v>
      </c>
      <c r="D3251" s="1">
        <f t="shared" ca="1" si="244"/>
        <v>514</v>
      </c>
      <c r="E3251" s="2">
        <f t="shared" ca="1" si="245"/>
        <v>43234</v>
      </c>
      <c r="F3251" s="6">
        <f t="shared" ca="1" si="246"/>
        <v>502.71580143027819</v>
      </c>
    </row>
    <row r="3252" spans="1:6">
      <c r="A3252" s="1">
        <v>9131050</v>
      </c>
      <c r="B3252">
        <f t="shared" ca="1" si="243"/>
        <v>0.66061589226819795</v>
      </c>
      <c r="C3252" s="1">
        <f t="shared" ca="1" si="247"/>
        <v>20</v>
      </c>
      <c r="D3252" s="1">
        <f t="shared" ca="1" si="244"/>
        <v>444</v>
      </c>
      <c r="E3252" s="2">
        <f t="shared" ca="1" si="245"/>
        <v>42768</v>
      </c>
      <c r="F3252" s="6">
        <f t="shared" ca="1" si="246"/>
        <v>53.538435391748372</v>
      </c>
    </row>
    <row r="3253" spans="1:6">
      <c r="A3253" s="1">
        <v>9131053</v>
      </c>
      <c r="B3253">
        <f t="shared" ca="1" si="243"/>
        <v>0.23010727660260655</v>
      </c>
      <c r="C3253" s="1">
        <f t="shared" ca="1" si="247"/>
        <v>25</v>
      </c>
      <c r="D3253" s="1">
        <f t="shared" ca="1" si="244"/>
        <v>257</v>
      </c>
      <c r="E3253" s="2">
        <f t="shared" ca="1" si="245"/>
        <v>43111</v>
      </c>
      <c r="F3253" s="6">
        <f t="shared" ca="1" si="246"/>
        <v>124.91940741359755</v>
      </c>
    </row>
    <row r="3254" spans="1:6">
      <c r="A3254" s="1">
        <v>9131056</v>
      </c>
      <c r="B3254">
        <f t="shared" ca="1" si="243"/>
        <v>0.98501946324028145</v>
      </c>
      <c r="C3254" s="1">
        <f t="shared" ca="1" si="247"/>
        <v>8</v>
      </c>
      <c r="D3254" s="1">
        <f t="shared" ca="1" si="244"/>
        <v>456</v>
      </c>
      <c r="E3254" s="2">
        <f t="shared" ca="1" si="245"/>
        <v>43304</v>
      </c>
      <c r="F3254" s="6">
        <f t="shared" ca="1" si="246"/>
        <v>28.265341609100457</v>
      </c>
    </row>
    <row r="3255" spans="1:6">
      <c r="A3255" s="1">
        <v>9131059</v>
      </c>
      <c r="B3255">
        <f t="shared" ca="1" si="243"/>
        <v>0.66514147488279918</v>
      </c>
      <c r="C3255" s="1">
        <f t="shared" ca="1" si="247"/>
        <v>112</v>
      </c>
      <c r="D3255" s="1">
        <f t="shared" ca="1" si="244"/>
        <v>582</v>
      </c>
      <c r="E3255" s="2">
        <f t="shared" ca="1" si="245"/>
        <v>43094</v>
      </c>
      <c r="F3255" s="6">
        <f t="shared" ca="1" si="246"/>
        <v>55.730218195100555</v>
      </c>
    </row>
    <row r="3256" spans="1:6">
      <c r="A3256" s="1">
        <v>9131062</v>
      </c>
      <c r="B3256">
        <f t="shared" ca="1" si="243"/>
        <v>0.78220456899703228</v>
      </c>
      <c r="C3256" s="1">
        <f t="shared" ca="1" si="247"/>
        <v>498</v>
      </c>
      <c r="D3256" s="1">
        <f t="shared" ca="1" si="244"/>
        <v>589</v>
      </c>
      <c r="E3256" s="2">
        <f t="shared" ca="1" si="245"/>
        <v>42860</v>
      </c>
      <c r="F3256" s="6">
        <f t="shared" ca="1" si="246"/>
        <v>6.0162717184812262</v>
      </c>
    </row>
    <row r="3257" spans="1:6">
      <c r="A3257" s="1">
        <v>9131065</v>
      </c>
      <c r="B3257">
        <f t="shared" ca="1" si="243"/>
        <v>0.19154316208639766</v>
      </c>
      <c r="C3257" s="1">
        <f t="shared" ca="1" si="247"/>
        <v>1</v>
      </c>
      <c r="D3257" s="1">
        <f t="shared" ca="1" si="244"/>
        <v>474</v>
      </c>
      <c r="E3257" s="2">
        <f t="shared" ca="1" si="245"/>
        <v>43031</v>
      </c>
      <c r="F3257" s="6">
        <f t="shared" ca="1" si="246"/>
        <v>8.6288043474183489</v>
      </c>
    </row>
    <row r="3258" spans="1:6">
      <c r="A3258" s="1">
        <v>9131068</v>
      </c>
      <c r="B3258">
        <f t="shared" ca="1" si="243"/>
        <v>0.8595998095338675</v>
      </c>
      <c r="C3258" s="1">
        <f t="shared" ca="1" si="247"/>
        <v>1</v>
      </c>
      <c r="D3258" s="1">
        <f t="shared" ca="1" si="244"/>
        <v>474</v>
      </c>
      <c r="E3258" s="2">
        <f t="shared" ca="1" si="245"/>
        <v>43435</v>
      </c>
      <c r="F3258" s="6">
        <f t="shared" ca="1" si="246"/>
        <v>206.46876359813456</v>
      </c>
    </row>
    <row r="3259" spans="1:6">
      <c r="A3259" s="1">
        <v>9131071</v>
      </c>
      <c r="B3259">
        <f t="shared" ca="1" si="243"/>
        <v>0.5545535164045734</v>
      </c>
      <c r="C3259" s="1">
        <f t="shared" ca="1" si="247"/>
        <v>458</v>
      </c>
      <c r="D3259" s="1">
        <f t="shared" ca="1" si="244"/>
        <v>476</v>
      </c>
      <c r="E3259" s="2">
        <f t="shared" ca="1" si="245"/>
        <v>43280</v>
      </c>
      <c r="F3259" s="6">
        <f t="shared" ca="1" si="246"/>
        <v>5.584171887289072</v>
      </c>
    </row>
    <row r="3260" spans="1:6">
      <c r="A3260" s="1">
        <v>9131074</v>
      </c>
      <c r="B3260">
        <f t="shared" ca="1" si="243"/>
        <v>0.66840471860555872</v>
      </c>
      <c r="C3260" s="1">
        <f t="shared" ca="1" si="247"/>
        <v>6</v>
      </c>
      <c r="D3260" s="1">
        <f t="shared" ca="1" si="244"/>
        <v>208</v>
      </c>
      <c r="E3260" s="2">
        <f t="shared" ca="1" si="245"/>
        <v>42987</v>
      </c>
      <c r="F3260" s="6">
        <f t="shared" ca="1" si="246"/>
        <v>18.260149629206726</v>
      </c>
    </row>
    <row r="3261" spans="1:6">
      <c r="A3261" s="1">
        <v>9131077</v>
      </c>
      <c r="B3261">
        <f t="shared" ref="B3261:B3324" ca="1" si="248">RAND()</f>
        <v>0.42001801986567666</v>
      </c>
      <c r="C3261" s="1">
        <f t="shared" ca="1" si="247"/>
        <v>2</v>
      </c>
      <c r="D3261" s="1">
        <f t="shared" ref="D3261:D3324" ca="1" si="249">VLOOKUP(SMALL($B$2:$B$601,C3261),$B$2:$C$601,2,FALSE)</f>
        <v>30</v>
      </c>
      <c r="E3261" s="2">
        <f t="shared" ca="1" si="245"/>
        <v>42768</v>
      </c>
      <c r="F3261" s="6">
        <f t="shared" ca="1" si="246"/>
        <v>19.864939478203887</v>
      </c>
    </row>
    <row r="3262" spans="1:6">
      <c r="A3262" s="1">
        <v>9131080</v>
      </c>
      <c r="B3262">
        <f t="shared" ca="1" si="248"/>
        <v>0.22925847354005657</v>
      </c>
      <c r="C3262" s="1">
        <f t="shared" ca="1" si="247"/>
        <v>1</v>
      </c>
      <c r="D3262" s="1">
        <f t="shared" ca="1" si="249"/>
        <v>474</v>
      </c>
      <c r="E3262" s="2">
        <f t="shared" ca="1" si="245"/>
        <v>42973</v>
      </c>
      <c r="F3262" s="6">
        <f t="shared" ca="1" si="246"/>
        <v>169.16215009497478</v>
      </c>
    </row>
    <row r="3263" spans="1:6">
      <c r="A3263" s="1">
        <v>9131083</v>
      </c>
      <c r="B3263">
        <f t="shared" ca="1" si="248"/>
        <v>0.83786659675704256</v>
      </c>
      <c r="C3263" s="1">
        <f t="shared" ca="1" si="247"/>
        <v>92</v>
      </c>
      <c r="D3263" s="1">
        <f t="shared" ca="1" si="249"/>
        <v>458</v>
      </c>
      <c r="E3263" s="2">
        <f t="shared" ca="1" si="245"/>
        <v>42825</v>
      </c>
      <c r="F3263" s="6">
        <f t="shared" ca="1" si="246"/>
        <v>52.794942706387786</v>
      </c>
    </row>
    <row r="3264" spans="1:6">
      <c r="A3264" s="1">
        <v>9131086</v>
      </c>
      <c r="B3264">
        <f t="shared" ca="1" si="248"/>
        <v>0.47968318819829936</v>
      </c>
      <c r="C3264" s="1">
        <f t="shared" ca="1" si="247"/>
        <v>1</v>
      </c>
      <c r="D3264" s="1">
        <f t="shared" ca="1" si="249"/>
        <v>474</v>
      </c>
      <c r="E3264" s="2">
        <f t="shared" ca="1" si="245"/>
        <v>43146</v>
      </c>
      <c r="F3264" s="6">
        <f t="shared" ca="1" si="246"/>
        <v>48.987967093465123</v>
      </c>
    </row>
    <row r="3265" spans="1:6">
      <c r="A3265" s="1">
        <v>9131089</v>
      </c>
      <c r="B3265">
        <f t="shared" ca="1" si="248"/>
        <v>0.37104715996670479</v>
      </c>
      <c r="C3265" s="1">
        <f t="shared" ca="1" si="247"/>
        <v>17</v>
      </c>
      <c r="D3265" s="1">
        <f t="shared" ca="1" si="249"/>
        <v>165</v>
      </c>
      <c r="E3265" s="2">
        <f t="shared" ca="1" si="245"/>
        <v>43073</v>
      </c>
      <c r="F3265" s="6">
        <f t="shared" ca="1" si="246"/>
        <v>6.234293009580349</v>
      </c>
    </row>
    <row r="3266" spans="1:6">
      <c r="A3266" s="1">
        <v>9131092</v>
      </c>
      <c r="B3266">
        <f t="shared" ca="1" si="248"/>
        <v>0.43720656819390147</v>
      </c>
      <c r="C3266" s="1">
        <f t="shared" ca="1" si="247"/>
        <v>79</v>
      </c>
      <c r="D3266" s="1">
        <f t="shared" ca="1" si="249"/>
        <v>547</v>
      </c>
      <c r="E3266" s="2">
        <f t="shared" ca="1" si="245"/>
        <v>43083</v>
      </c>
      <c r="F3266" s="6">
        <f t="shared" ca="1" si="246"/>
        <v>35.66202773401848</v>
      </c>
    </row>
    <row r="3267" spans="1:6">
      <c r="A3267" s="1">
        <v>9131095</v>
      </c>
      <c r="B3267">
        <f t="shared" ca="1" si="248"/>
        <v>0.44249246518630092</v>
      </c>
      <c r="C3267" s="1">
        <f t="shared" ca="1" si="247"/>
        <v>10</v>
      </c>
      <c r="D3267" s="1">
        <f t="shared" ca="1" si="249"/>
        <v>236</v>
      </c>
      <c r="E3267" s="2">
        <f t="shared" ref="E3267:E3330" ca="1" si="250">RANDBETWEEN("1/1/17","2/1/19")</f>
        <v>43140</v>
      </c>
      <c r="F3267" s="6">
        <f t="shared" ref="F3267:F3330" ca="1" si="251">_xlfn.GAMMA.INV(RAND(),$J$6,$J$7)*100+3</f>
        <v>306.15198930046114</v>
      </c>
    </row>
    <row r="3268" spans="1:6">
      <c r="A3268" s="1">
        <v>9131098</v>
      </c>
      <c r="B3268">
        <f t="shared" ca="1" si="248"/>
        <v>0.87871220454466581</v>
      </c>
      <c r="C3268" s="1">
        <f t="shared" ca="1" si="247"/>
        <v>3</v>
      </c>
      <c r="D3268" s="1">
        <f t="shared" ca="1" si="249"/>
        <v>263</v>
      </c>
      <c r="E3268" s="2">
        <f t="shared" ca="1" si="250"/>
        <v>43252</v>
      </c>
      <c r="F3268" s="6">
        <f t="shared" ca="1" si="251"/>
        <v>5.8234657051766776</v>
      </c>
    </row>
    <row r="3269" spans="1:6">
      <c r="A3269" s="1">
        <v>9131101</v>
      </c>
      <c r="B3269">
        <f t="shared" ca="1" si="248"/>
        <v>0.96763763065850306</v>
      </c>
      <c r="C3269" s="1">
        <f t="shared" ca="1" si="247"/>
        <v>15</v>
      </c>
      <c r="D3269" s="1">
        <f t="shared" ca="1" si="249"/>
        <v>284</v>
      </c>
      <c r="E3269" s="2">
        <f t="shared" ca="1" si="250"/>
        <v>43274</v>
      </c>
      <c r="F3269" s="6">
        <f t="shared" ca="1" si="251"/>
        <v>40.121499202863959</v>
      </c>
    </row>
    <row r="3270" spans="1:6">
      <c r="A3270" s="1">
        <v>9131104</v>
      </c>
      <c r="B3270">
        <f t="shared" ca="1" si="248"/>
        <v>0.85940529062084214</v>
      </c>
      <c r="C3270" s="1">
        <f t="shared" ca="1" si="247"/>
        <v>1</v>
      </c>
      <c r="D3270" s="1">
        <f t="shared" ca="1" si="249"/>
        <v>474</v>
      </c>
      <c r="E3270" s="2">
        <f t="shared" ca="1" si="250"/>
        <v>43075</v>
      </c>
      <c r="F3270" s="6">
        <f t="shared" ca="1" si="251"/>
        <v>3.0175953937560762</v>
      </c>
    </row>
    <row r="3271" spans="1:6">
      <c r="A3271" s="1">
        <v>9131107</v>
      </c>
      <c r="B3271">
        <f t="shared" ca="1" si="248"/>
        <v>0.32695866022771902</v>
      </c>
      <c r="C3271" s="1">
        <f t="shared" ca="1" si="247"/>
        <v>73</v>
      </c>
      <c r="D3271" s="1">
        <f t="shared" ca="1" si="249"/>
        <v>591</v>
      </c>
      <c r="E3271" s="2">
        <f t="shared" ca="1" si="250"/>
        <v>43258</v>
      </c>
      <c r="F3271" s="6">
        <f t="shared" ca="1" si="251"/>
        <v>29.849967015481131</v>
      </c>
    </row>
    <row r="3272" spans="1:6">
      <c r="A3272" s="1">
        <v>9131110</v>
      </c>
      <c r="B3272">
        <f t="shared" ca="1" si="248"/>
        <v>0.41310384362760577</v>
      </c>
      <c r="C3272" s="1">
        <f t="shared" ca="1" si="247"/>
        <v>29</v>
      </c>
      <c r="D3272" s="1">
        <f t="shared" ca="1" si="249"/>
        <v>514</v>
      </c>
      <c r="E3272" s="2">
        <f t="shared" ca="1" si="250"/>
        <v>42814</v>
      </c>
      <c r="F3272" s="6">
        <f t="shared" ca="1" si="251"/>
        <v>36.32867840748245</v>
      </c>
    </row>
    <row r="3273" spans="1:6">
      <c r="A3273" s="1">
        <v>9131113</v>
      </c>
      <c r="B3273">
        <f t="shared" ca="1" si="248"/>
        <v>0.62840810499513144</v>
      </c>
      <c r="C3273" s="1">
        <f t="shared" ca="1" si="247"/>
        <v>26</v>
      </c>
      <c r="D3273" s="1">
        <f t="shared" ca="1" si="249"/>
        <v>88</v>
      </c>
      <c r="E3273" s="2">
        <f t="shared" ca="1" si="250"/>
        <v>42865</v>
      </c>
      <c r="F3273" s="6">
        <f t="shared" ca="1" si="251"/>
        <v>28.395961625053875</v>
      </c>
    </row>
    <row r="3274" spans="1:6">
      <c r="A3274" s="1">
        <v>9131116</v>
      </c>
      <c r="B3274">
        <f t="shared" ca="1" si="248"/>
        <v>0.30850272442224003</v>
      </c>
      <c r="C3274" s="1">
        <f t="shared" ca="1" si="247"/>
        <v>5</v>
      </c>
      <c r="D3274" s="1">
        <f t="shared" ca="1" si="249"/>
        <v>363</v>
      </c>
      <c r="E3274" s="2">
        <f t="shared" ca="1" si="250"/>
        <v>43437</v>
      </c>
      <c r="F3274" s="6">
        <f t="shared" ca="1" si="251"/>
        <v>34.234351842973396</v>
      </c>
    </row>
    <row r="3275" spans="1:6">
      <c r="A3275" s="1">
        <v>9131119</v>
      </c>
      <c r="B3275">
        <f t="shared" ca="1" si="248"/>
        <v>3.48776380038196E-2</v>
      </c>
      <c r="C3275" s="1">
        <f t="shared" ca="1" si="247"/>
        <v>88</v>
      </c>
      <c r="D3275" s="1">
        <f t="shared" ca="1" si="249"/>
        <v>253</v>
      </c>
      <c r="E3275" s="2">
        <f t="shared" ca="1" si="250"/>
        <v>42911</v>
      </c>
      <c r="F3275" s="6">
        <f t="shared" ca="1" si="251"/>
        <v>43.121927296350599</v>
      </c>
    </row>
    <row r="3276" spans="1:6">
      <c r="A3276" s="1">
        <v>9131122</v>
      </c>
      <c r="B3276">
        <f t="shared" ca="1" si="248"/>
        <v>0.77824251875322148</v>
      </c>
      <c r="C3276" s="1">
        <f t="shared" ca="1" si="247"/>
        <v>42</v>
      </c>
      <c r="D3276" s="1">
        <f t="shared" ca="1" si="249"/>
        <v>36</v>
      </c>
      <c r="E3276" s="2">
        <f t="shared" ca="1" si="250"/>
        <v>43486</v>
      </c>
      <c r="F3276" s="6">
        <f t="shared" ca="1" si="251"/>
        <v>94.371242625185872</v>
      </c>
    </row>
    <row r="3277" spans="1:6">
      <c r="A3277" s="1">
        <v>9131125</v>
      </c>
      <c r="B3277">
        <f t="shared" ca="1" si="248"/>
        <v>0.51350834379176535</v>
      </c>
      <c r="C3277" s="1">
        <f t="shared" ca="1" si="247"/>
        <v>203</v>
      </c>
      <c r="D3277" s="1">
        <f t="shared" ca="1" si="249"/>
        <v>223</v>
      </c>
      <c r="E3277" s="2">
        <f t="shared" ca="1" si="250"/>
        <v>43295</v>
      </c>
      <c r="F3277" s="6">
        <f t="shared" ca="1" si="251"/>
        <v>102.60348710348866</v>
      </c>
    </row>
    <row r="3278" spans="1:6">
      <c r="A3278" s="1">
        <v>9131128</v>
      </c>
      <c r="B3278">
        <f t="shared" ca="1" si="248"/>
        <v>1.0147408843526384E-2</v>
      </c>
      <c r="C3278" s="1">
        <f t="shared" ca="1" si="247"/>
        <v>24</v>
      </c>
      <c r="D3278" s="1">
        <f t="shared" ca="1" si="249"/>
        <v>334</v>
      </c>
      <c r="E3278" s="2">
        <f t="shared" ca="1" si="250"/>
        <v>43439</v>
      </c>
      <c r="F3278" s="6">
        <f t="shared" ca="1" si="251"/>
        <v>3.4841372128194483</v>
      </c>
    </row>
    <row r="3279" spans="1:6">
      <c r="A3279" s="1">
        <v>9131131</v>
      </c>
      <c r="B3279">
        <f t="shared" ca="1" si="248"/>
        <v>0.97141050074292601</v>
      </c>
      <c r="C3279" s="1">
        <f t="shared" ca="1" si="247"/>
        <v>93</v>
      </c>
      <c r="D3279" s="1">
        <f t="shared" ca="1" si="249"/>
        <v>518</v>
      </c>
      <c r="E3279" s="2">
        <f t="shared" ca="1" si="250"/>
        <v>42809</v>
      </c>
      <c r="F3279" s="6">
        <f t="shared" ca="1" si="251"/>
        <v>39.864674475694819</v>
      </c>
    </row>
    <row r="3280" spans="1:6">
      <c r="A3280" s="1">
        <v>9131134</v>
      </c>
      <c r="B3280">
        <f t="shared" ca="1" si="248"/>
        <v>0.76248180032898294</v>
      </c>
      <c r="C3280" s="1">
        <f t="shared" ca="1" si="247"/>
        <v>43</v>
      </c>
      <c r="D3280" s="1">
        <f t="shared" ca="1" si="249"/>
        <v>73</v>
      </c>
      <c r="E3280" s="2">
        <f t="shared" ca="1" si="250"/>
        <v>42845</v>
      </c>
      <c r="F3280" s="6">
        <f t="shared" ca="1" si="251"/>
        <v>118.56371437202151</v>
      </c>
    </row>
    <row r="3281" spans="1:6">
      <c r="A3281" s="1">
        <v>9131137</v>
      </c>
      <c r="B3281">
        <f t="shared" ca="1" si="248"/>
        <v>0.62982156107133047</v>
      </c>
      <c r="C3281" s="1">
        <f t="shared" ca="1" si="247"/>
        <v>1</v>
      </c>
      <c r="D3281" s="1">
        <f t="shared" ca="1" si="249"/>
        <v>474</v>
      </c>
      <c r="E3281" s="2">
        <f t="shared" ca="1" si="250"/>
        <v>43383</v>
      </c>
      <c r="F3281" s="6">
        <f t="shared" ca="1" si="251"/>
        <v>5.7717277669517113</v>
      </c>
    </row>
    <row r="3282" spans="1:6">
      <c r="A3282" s="1">
        <v>9131140</v>
      </c>
      <c r="B3282">
        <f t="shared" ca="1" si="248"/>
        <v>0.33821196297271006</v>
      </c>
      <c r="C3282" s="1">
        <f t="shared" ca="1" si="247"/>
        <v>44</v>
      </c>
      <c r="D3282" s="1">
        <f t="shared" ca="1" si="249"/>
        <v>427</v>
      </c>
      <c r="E3282" s="2">
        <f t="shared" ca="1" si="250"/>
        <v>43492</v>
      </c>
      <c r="F3282" s="6">
        <f t="shared" ca="1" si="251"/>
        <v>27.178828699403777</v>
      </c>
    </row>
    <row r="3283" spans="1:6">
      <c r="A3283" s="1">
        <v>9131143</v>
      </c>
      <c r="B3283">
        <f t="shared" ca="1" si="248"/>
        <v>0.85830118758640295</v>
      </c>
      <c r="C3283" s="1">
        <f t="shared" ca="1" si="247"/>
        <v>165</v>
      </c>
      <c r="D3283" s="1">
        <f t="shared" ca="1" si="249"/>
        <v>354</v>
      </c>
      <c r="E3283" s="2">
        <f t="shared" ca="1" si="250"/>
        <v>43307</v>
      </c>
      <c r="F3283" s="6">
        <f t="shared" ca="1" si="251"/>
        <v>3.0037631766015496</v>
      </c>
    </row>
    <row r="3284" spans="1:6">
      <c r="A3284" s="1">
        <v>9131146</v>
      </c>
      <c r="B3284">
        <f t="shared" ca="1" si="248"/>
        <v>7.1194379993273049E-2</v>
      </c>
      <c r="C3284" s="1">
        <f t="shared" ca="1" si="247"/>
        <v>1</v>
      </c>
      <c r="D3284" s="1">
        <f t="shared" ca="1" si="249"/>
        <v>474</v>
      </c>
      <c r="E3284" s="2">
        <f t="shared" ca="1" si="250"/>
        <v>42972</v>
      </c>
      <c r="F3284" s="6">
        <f t="shared" ca="1" si="251"/>
        <v>65.775812856547702</v>
      </c>
    </row>
    <row r="3285" spans="1:6">
      <c r="A3285" s="1">
        <v>9131149</v>
      </c>
      <c r="B3285">
        <f t="shared" ca="1" si="248"/>
        <v>0.82196687202823338</v>
      </c>
      <c r="C3285" s="1">
        <f t="shared" ca="1" si="247"/>
        <v>140</v>
      </c>
      <c r="D3285" s="1">
        <f t="shared" ca="1" si="249"/>
        <v>195</v>
      </c>
      <c r="E3285" s="2">
        <f t="shared" ca="1" si="250"/>
        <v>42939</v>
      </c>
      <c r="F3285" s="6">
        <f t="shared" ca="1" si="251"/>
        <v>15.748542183491466</v>
      </c>
    </row>
    <row r="3286" spans="1:6">
      <c r="A3286" s="1">
        <v>9131152</v>
      </c>
      <c r="B3286">
        <f t="shared" ca="1" si="248"/>
        <v>0.68757499449429327</v>
      </c>
      <c r="C3286" s="1">
        <f t="shared" ca="1" si="247"/>
        <v>6</v>
      </c>
      <c r="D3286" s="1">
        <f t="shared" ca="1" si="249"/>
        <v>208</v>
      </c>
      <c r="E3286" s="2">
        <f t="shared" ca="1" si="250"/>
        <v>42916</v>
      </c>
      <c r="F3286" s="6">
        <f t="shared" ca="1" si="251"/>
        <v>3.0013643617615591</v>
      </c>
    </row>
    <row r="3287" spans="1:6">
      <c r="A3287" s="1">
        <v>9131155</v>
      </c>
      <c r="B3287">
        <f t="shared" ca="1" si="248"/>
        <v>0.31355513662687162</v>
      </c>
      <c r="C3287" s="1">
        <f t="shared" ca="1" si="247"/>
        <v>1</v>
      </c>
      <c r="D3287" s="1">
        <f t="shared" ca="1" si="249"/>
        <v>474</v>
      </c>
      <c r="E3287" s="2">
        <f t="shared" ca="1" si="250"/>
        <v>43104</v>
      </c>
      <c r="F3287" s="6">
        <f t="shared" ca="1" si="251"/>
        <v>65.298089653935349</v>
      </c>
    </row>
    <row r="3288" spans="1:6">
      <c r="A3288" s="1">
        <v>9131158</v>
      </c>
      <c r="B3288">
        <f t="shared" ca="1" si="248"/>
        <v>0.26940800719888502</v>
      </c>
      <c r="C3288" s="1">
        <f t="shared" ca="1" si="247"/>
        <v>368</v>
      </c>
      <c r="D3288" s="1">
        <f t="shared" ca="1" si="249"/>
        <v>131</v>
      </c>
      <c r="E3288" s="2">
        <f t="shared" ca="1" si="250"/>
        <v>42774</v>
      </c>
      <c r="F3288" s="6">
        <f t="shared" ca="1" si="251"/>
        <v>8.5291764243008767</v>
      </c>
    </row>
    <row r="3289" spans="1:6">
      <c r="A3289" s="1">
        <v>9131161</v>
      </c>
      <c r="B3289">
        <f t="shared" ca="1" si="248"/>
        <v>0.81642425609705838</v>
      </c>
      <c r="C3289" s="1">
        <f t="shared" ca="1" si="247"/>
        <v>96</v>
      </c>
      <c r="D3289" s="1">
        <f t="shared" ca="1" si="249"/>
        <v>486</v>
      </c>
      <c r="E3289" s="2">
        <f t="shared" ca="1" si="250"/>
        <v>42805</v>
      </c>
      <c r="F3289" s="6">
        <f t="shared" ca="1" si="251"/>
        <v>16.081826984364611</v>
      </c>
    </row>
    <row r="3290" spans="1:6">
      <c r="A3290" s="1">
        <v>9131164</v>
      </c>
      <c r="B3290">
        <f t="shared" ca="1" si="248"/>
        <v>0.25324156872173842</v>
      </c>
      <c r="C3290" s="1">
        <f t="shared" ca="1" si="247"/>
        <v>20</v>
      </c>
      <c r="D3290" s="1">
        <f t="shared" ca="1" si="249"/>
        <v>444</v>
      </c>
      <c r="E3290" s="2">
        <f t="shared" ca="1" si="250"/>
        <v>43419</v>
      </c>
      <c r="F3290" s="6">
        <f t="shared" ca="1" si="251"/>
        <v>43.385996096493834</v>
      </c>
    </row>
    <row r="3291" spans="1:6">
      <c r="A3291" s="1">
        <v>9131167</v>
      </c>
      <c r="B3291">
        <f t="shared" ca="1" si="248"/>
        <v>2.4920899366392413E-2</v>
      </c>
      <c r="C3291" s="1">
        <f t="shared" ref="C3291:C3354" ca="1" si="252">ROUND(_xlfn.GAMMA.INV(RAND(),$J$11,$J$12)*100,0)+1</f>
        <v>20</v>
      </c>
      <c r="D3291" s="1">
        <f t="shared" ca="1" si="249"/>
        <v>444</v>
      </c>
      <c r="E3291" s="2">
        <f t="shared" ca="1" si="250"/>
        <v>43234</v>
      </c>
      <c r="F3291" s="6">
        <f t="shared" ca="1" si="251"/>
        <v>35.401021043871232</v>
      </c>
    </row>
    <row r="3292" spans="1:6">
      <c r="A3292" s="1">
        <v>9131170</v>
      </c>
      <c r="B3292">
        <f t="shared" ca="1" si="248"/>
        <v>0.66964803178422028</v>
      </c>
      <c r="C3292" s="1">
        <f t="shared" ca="1" si="252"/>
        <v>133</v>
      </c>
      <c r="D3292" s="1">
        <f t="shared" ca="1" si="249"/>
        <v>124</v>
      </c>
      <c r="E3292" s="2">
        <f t="shared" ca="1" si="250"/>
        <v>42753</v>
      </c>
      <c r="F3292" s="6">
        <f t="shared" ca="1" si="251"/>
        <v>21.391938375885584</v>
      </c>
    </row>
    <row r="3293" spans="1:6">
      <c r="A3293" s="1">
        <v>9131173</v>
      </c>
      <c r="B3293">
        <f t="shared" ca="1" si="248"/>
        <v>0.79898296105657518</v>
      </c>
      <c r="C3293" s="1">
        <f t="shared" ca="1" si="252"/>
        <v>6</v>
      </c>
      <c r="D3293" s="1">
        <f t="shared" ca="1" si="249"/>
        <v>208</v>
      </c>
      <c r="E3293" s="2">
        <f t="shared" ca="1" si="250"/>
        <v>43311</v>
      </c>
      <c r="F3293" s="6">
        <f t="shared" ca="1" si="251"/>
        <v>3.9913308435432917</v>
      </c>
    </row>
    <row r="3294" spans="1:6">
      <c r="A3294" s="1">
        <v>9131176</v>
      </c>
      <c r="B3294">
        <f t="shared" ca="1" si="248"/>
        <v>0.55655524470464801</v>
      </c>
      <c r="C3294" s="1">
        <f t="shared" ca="1" si="252"/>
        <v>50</v>
      </c>
      <c r="D3294" s="1">
        <f t="shared" ca="1" si="249"/>
        <v>415</v>
      </c>
      <c r="E3294" s="2">
        <f t="shared" ca="1" si="250"/>
        <v>42742</v>
      </c>
      <c r="F3294" s="6">
        <f t="shared" ca="1" si="251"/>
        <v>80.580099275249339</v>
      </c>
    </row>
    <row r="3295" spans="1:6">
      <c r="A3295" s="1">
        <v>9131179</v>
      </c>
      <c r="B3295">
        <f t="shared" ca="1" si="248"/>
        <v>8.0806786794664909E-2</v>
      </c>
      <c r="C3295" s="1">
        <f t="shared" ca="1" si="252"/>
        <v>125</v>
      </c>
      <c r="D3295" s="1">
        <f t="shared" ca="1" si="249"/>
        <v>83</v>
      </c>
      <c r="E3295" s="2">
        <f t="shared" ca="1" si="250"/>
        <v>43429</v>
      </c>
      <c r="F3295" s="6">
        <f t="shared" ca="1" si="251"/>
        <v>266.90637784618605</v>
      </c>
    </row>
    <row r="3296" spans="1:6">
      <c r="A3296" s="1">
        <v>9131182</v>
      </c>
      <c r="B3296">
        <f t="shared" ca="1" si="248"/>
        <v>0.84629133185741001</v>
      </c>
      <c r="C3296" s="1">
        <f t="shared" ca="1" si="252"/>
        <v>75</v>
      </c>
      <c r="D3296" s="1">
        <f t="shared" ca="1" si="249"/>
        <v>599</v>
      </c>
      <c r="E3296" s="2">
        <f t="shared" ca="1" si="250"/>
        <v>43294</v>
      </c>
      <c r="F3296" s="6">
        <f t="shared" ca="1" si="251"/>
        <v>22.984933664305615</v>
      </c>
    </row>
    <row r="3297" spans="1:6">
      <c r="A3297" s="1">
        <v>9131185</v>
      </c>
      <c r="B3297">
        <f t="shared" ca="1" si="248"/>
        <v>0.39316643891361669</v>
      </c>
      <c r="C3297" s="1">
        <f t="shared" ca="1" si="252"/>
        <v>19</v>
      </c>
      <c r="D3297" s="1">
        <f t="shared" ca="1" si="249"/>
        <v>42</v>
      </c>
      <c r="E3297" s="2">
        <f t="shared" ca="1" si="250"/>
        <v>42801</v>
      </c>
      <c r="F3297" s="6">
        <f t="shared" ca="1" si="251"/>
        <v>22.546223432843739</v>
      </c>
    </row>
    <row r="3298" spans="1:6">
      <c r="A3298" s="1">
        <v>9131188</v>
      </c>
      <c r="B3298">
        <f t="shared" ca="1" si="248"/>
        <v>5.8290382564785692E-2</v>
      </c>
      <c r="C3298" s="1">
        <f t="shared" ca="1" si="252"/>
        <v>28</v>
      </c>
      <c r="D3298" s="1">
        <f t="shared" ca="1" si="249"/>
        <v>401</v>
      </c>
      <c r="E3298" s="2">
        <f t="shared" ca="1" si="250"/>
        <v>43035</v>
      </c>
      <c r="F3298" s="6">
        <f t="shared" ca="1" si="251"/>
        <v>29.208857167306665</v>
      </c>
    </row>
    <row r="3299" spans="1:6">
      <c r="A3299" s="1">
        <v>9131191</v>
      </c>
      <c r="B3299">
        <f t="shared" ca="1" si="248"/>
        <v>0.40791122517721867</v>
      </c>
      <c r="C3299" s="1">
        <f t="shared" ca="1" si="252"/>
        <v>53</v>
      </c>
      <c r="D3299" s="1">
        <f t="shared" ca="1" si="249"/>
        <v>155</v>
      </c>
      <c r="E3299" s="2">
        <f t="shared" ca="1" si="250"/>
        <v>43437</v>
      </c>
      <c r="F3299" s="6">
        <f t="shared" ca="1" si="251"/>
        <v>8.9366933244160656</v>
      </c>
    </row>
    <row r="3300" spans="1:6">
      <c r="A3300" s="1">
        <v>9131194</v>
      </c>
      <c r="B3300">
        <f t="shared" ca="1" si="248"/>
        <v>0.46861888980533739</v>
      </c>
      <c r="C3300" s="1">
        <f t="shared" ca="1" si="252"/>
        <v>37</v>
      </c>
      <c r="D3300" s="1">
        <f t="shared" ca="1" si="249"/>
        <v>517</v>
      </c>
      <c r="E3300" s="2">
        <f t="shared" ca="1" si="250"/>
        <v>43068</v>
      </c>
      <c r="F3300" s="6">
        <f t="shared" ca="1" si="251"/>
        <v>5.3680372813837494</v>
      </c>
    </row>
    <row r="3301" spans="1:6">
      <c r="A3301" s="1">
        <v>9131197</v>
      </c>
      <c r="B3301">
        <f t="shared" ca="1" si="248"/>
        <v>0.55285347807659146</v>
      </c>
      <c r="C3301" s="1">
        <f t="shared" ca="1" si="252"/>
        <v>14</v>
      </c>
      <c r="D3301" s="1">
        <f t="shared" ca="1" si="249"/>
        <v>576</v>
      </c>
      <c r="E3301" s="2">
        <f t="shared" ca="1" si="250"/>
        <v>42872</v>
      </c>
      <c r="F3301" s="6">
        <f t="shared" ca="1" si="251"/>
        <v>10.464592433817151</v>
      </c>
    </row>
    <row r="3302" spans="1:6">
      <c r="A3302" s="1">
        <v>9131200</v>
      </c>
      <c r="B3302">
        <f t="shared" ca="1" si="248"/>
        <v>0.76525927030565155</v>
      </c>
      <c r="C3302" s="1">
        <f t="shared" ca="1" si="252"/>
        <v>76</v>
      </c>
      <c r="D3302" s="1">
        <f t="shared" ca="1" si="249"/>
        <v>293</v>
      </c>
      <c r="E3302" s="2">
        <f t="shared" ca="1" si="250"/>
        <v>42889</v>
      </c>
      <c r="F3302" s="6">
        <f t="shared" ca="1" si="251"/>
        <v>12.907306747158138</v>
      </c>
    </row>
    <row r="3303" spans="1:6">
      <c r="A3303" s="1">
        <v>9131203</v>
      </c>
      <c r="B3303">
        <f t="shared" ca="1" si="248"/>
        <v>6.3582802949973538E-2</v>
      </c>
      <c r="C3303" s="1">
        <f t="shared" ca="1" si="252"/>
        <v>155</v>
      </c>
      <c r="D3303" s="1">
        <f t="shared" ca="1" si="249"/>
        <v>12</v>
      </c>
      <c r="E3303" s="2">
        <f t="shared" ca="1" si="250"/>
        <v>42886</v>
      </c>
      <c r="F3303" s="6">
        <f t="shared" ca="1" si="251"/>
        <v>24.836226340119481</v>
      </c>
    </row>
    <row r="3304" spans="1:6">
      <c r="A3304" s="1">
        <v>9131206</v>
      </c>
      <c r="B3304">
        <f t="shared" ca="1" si="248"/>
        <v>0.4446094043265636</v>
      </c>
      <c r="C3304" s="1">
        <f t="shared" ca="1" si="252"/>
        <v>44</v>
      </c>
      <c r="D3304" s="1">
        <f t="shared" ca="1" si="249"/>
        <v>427</v>
      </c>
      <c r="E3304" s="2">
        <f t="shared" ca="1" si="250"/>
        <v>43226</v>
      </c>
      <c r="F3304" s="6">
        <f t="shared" ca="1" si="251"/>
        <v>13.104487978758137</v>
      </c>
    </row>
    <row r="3305" spans="1:6">
      <c r="A3305" s="1">
        <v>9131209</v>
      </c>
      <c r="B3305">
        <f t="shared" ca="1" si="248"/>
        <v>0.32165203320540126</v>
      </c>
      <c r="C3305" s="1">
        <f t="shared" ca="1" si="252"/>
        <v>1</v>
      </c>
      <c r="D3305" s="1">
        <f t="shared" ca="1" si="249"/>
        <v>474</v>
      </c>
      <c r="E3305" s="2">
        <f t="shared" ca="1" si="250"/>
        <v>42765</v>
      </c>
      <c r="F3305" s="6">
        <f t="shared" ca="1" si="251"/>
        <v>57.578976776176347</v>
      </c>
    </row>
    <row r="3306" spans="1:6">
      <c r="A3306" s="1">
        <v>9131212</v>
      </c>
      <c r="B3306">
        <f t="shared" ca="1" si="248"/>
        <v>5.117635012595867E-2</v>
      </c>
      <c r="C3306" s="1">
        <f t="shared" ca="1" si="252"/>
        <v>128</v>
      </c>
      <c r="D3306" s="1">
        <f t="shared" ca="1" si="249"/>
        <v>317</v>
      </c>
      <c r="E3306" s="2">
        <f t="shared" ca="1" si="250"/>
        <v>43022</v>
      </c>
      <c r="F3306" s="6">
        <f t="shared" ca="1" si="251"/>
        <v>27.774930502092719</v>
      </c>
    </row>
    <row r="3307" spans="1:6">
      <c r="A3307" s="1">
        <v>9131215</v>
      </c>
      <c r="B3307">
        <f t="shared" ca="1" si="248"/>
        <v>0.14207390119505336</v>
      </c>
      <c r="C3307" s="1">
        <f t="shared" ca="1" si="252"/>
        <v>21</v>
      </c>
      <c r="D3307" s="1">
        <f t="shared" ca="1" si="249"/>
        <v>566</v>
      </c>
      <c r="E3307" s="2">
        <f t="shared" ca="1" si="250"/>
        <v>43269</v>
      </c>
      <c r="F3307" s="6">
        <f t="shared" ca="1" si="251"/>
        <v>23.812349225045487</v>
      </c>
    </row>
    <row r="3308" spans="1:6">
      <c r="A3308" s="1">
        <v>9131218</v>
      </c>
      <c r="B3308">
        <f t="shared" ca="1" si="248"/>
        <v>0.65688374157722296</v>
      </c>
      <c r="C3308" s="1">
        <f t="shared" ca="1" si="252"/>
        <v>2</v>
      </c>
      <c r="D3308" s="1">
        <f t="shared" ca="1" si="249"/>
        <v>30</v>
      </c>
      <c r="E3308" s="2">
        <f t="shared" ca="1" si="250"/>
        <v>42992</v>
      </c>
      <c r="F3308" s="6">
        <f t="shared" ca="1" si="251"/>
        <v>3.0042681994177731</v>
      </c>
    </row>
    <row r="3309" spans="1:6">
      <c r="A3309" s="1">
        <v>9131221</v>
      </c>
      <c r="B3309">
        <f t="shared" ca="1" si="248"/>
        <v>0.89463178085652961</v>
      </c>
      <c r="C3309" s="1">
        <f t="shared" ca="1" si="252"/>
        <v>1</v>
      </c>
      <c r="D3309" s="1">
        <f t="shared" ca="1" si="249"/>
        <v>474</v>
      </c>
      <c r="E3309" s="2">
        <f t="shared" ca="1" si="250"/>
        <v>43479</v>
      </c>
      <c r="F3309" s="6">
        <f t="shared" ca="1" si="251"/>
        <v>168.80364707486555</v>
      </c>
    </row>
    <row r="3310" spans="1:6">
      <c r="A3310" s="1">
        <v>9131224</v>
      </c>
      <c r="B3310">
        <f t="shared" ca="1" si="248"/>
        <v>0.11780493855251573</v>
      </c>
      <c r="C3310" s="1">
        <f t="shared" ca="1" si="252"/>
        <v>16</v>
      </c>
      <c r="D3310" s="1">
        <f t="shared" ca="1" si="249"/>
        <v>465</v>
      </c>
      <c r="E3310" s="2">
        <f t="shared" ca="1" si="250"/>
        <v>42973</v>
      </c>
      <c r="F3310" s="6">
        <f t="shared" ca="1" si="251"/>
        <v>48.227358386709319</v>
      </c>
    </row>
    <row r="3311" spans="1:6">
      <c r="A3311" s="1">
        <v>9131227</v>
      </c>
      <c r="B3311">
        <f t="shared" ca="1" si="248"/>
        <v>0.89304050650529898</v>
      </c>
      <c r="C3311" s="1">
        <f t="shared" ca="1" si="252"/>
        <v>35</v>
      </c>
      <c r="D3311" s="1">
        <f t="shared" ca="1" si="249"/>
        <v>423</v>
      </c>
      <c r="E3311" s="2">
        <f t="shared" ca="1" si="250"/>
        <v>42891</v>
      </c>
      <c r="F3311" s="6">
        <f t="shared" ca="1" si="251"/>
        <v>25.961177098832845</v>
      </c>
    </row>
    <row r="3312" spans="1:6">
      <c r="A3312" s="1">
        <v>9131230</v>
      </c>
      <c r="B3312">
        <f t="shared" ca="1" si="248"/>
        <v>8.3986281406004504E-2</v>
      </c>
      <c r="C3312" s="1">
        <f t="shared" ca="1" si="252"/>
        <v>22</v>
      </c>
      <c r="D3312" s="1">
        <f t="shared" ca="1" si="249"/>
        <v>413</v>
      </c>
      <c r="E3312" s="2">
        <f t="shared" ca="1" si="250"/>
        <v>43155</v>
      </c>
      <c r="F3312" s="6">
        <f t="shared" ca="1" si="251"/>
        <v>8.2741714463047558</v>
      </c>
    </row>
    <row r="3313" spans="1:6">
      <c r="A3313" s="1">
        <v>9131233</v>
      </c>
      <c r="B3313">
        <f t="shared" ca="1" si="248"/>
        <v>0.87081560812458514</v>
      </c>
      <c r="C3313" s="1">
        <f t="shared" ca="1" si="252"/>
        <v>101</v>
      </c>
      <c r="D3313" s="1">
        <f t="shared" ca="1" si="249"/>
        <v>166</v>
      </c>
      <c r="E3313" s="2">
        <f t="shared" ca="1" si="250"/>
        <v>43251</v>
      </c>
      <c r="F3313" s="6">
        <f t="shared" ca="1" si="251"/>
        <v>11.773181317107495</v>
      </c>
    </row>
    <row r="3314" spans="1:6">
      <c r="A3314" s="1">
        <v>9131236</v>
      </c>
      <c r="B3314">
        <f t="shared" ca="1" si="248"/>
        <v>0.32693651558802006</v>
      </c>
      <c r="C3314" s="1">
        <f t="shared" ca="1" si="252"/>
        <v>26</v>
      </c>
      <c r="D3314" s="1">
        <f t="shared" ca="1" si="249"/>
        <v>88</v>
      </c>
      <c r="E3314" s="2">
        <f t="shared" ca="1" si="250"/>
        <v>43116</v>
      </c>
      <c r="F3314" s="6">
        <f t="shared" ca="1" si="251"/>
        <v>137.71562894647943</v>
      </c>
    </row>
    <row r="3315" spans="1:6">
      <c r="A3315" s="1">
        <v>9131239</v>
      </c>
      <c r="B3315">
        <f t="shared" ca="1" si="248"/>
        <v>0.82984477231578724</v>
      </c>
      <c r="C3315" s="1">
        <f t="shared" ca="1" si="252"/>
        <v>5</v>
      </c>
      <c r="D3315" s="1">
        <f t="shared" ca="1" si="249"/>
        <v>363</v>
      </c>
      <c r="E3315" s="2">
        <f t="shared" ca="1" si="250"/>
        <v>43014</v>
      </c>
      <c r="F3315" s="6">
        <f t="shared" ca="1" si="251"/>
        <v>3.6566616234818676</v>
      </c>
    </row>
    <row r="3316" spans="1:6">
      <c r="A3316" s="1">
        <v>9131242</v>
      </c>
      <c r="B3316">
        <f t="shared" ca="1" si="248"/>
        <v>9.9247389926472196E-2</v>
      </c>
      <c r="C3316" s="1">
        <f t="shared" ca="1" si="252"/>
        <v>76</v>
      </c>
      <c r="D3316" s="1">
        <f t="shared" ca="1" si="249"/>
        <v>293</v>
      </c>
      <c r="E3316" s="2">
        <f t="shared" ca="1" si="250"/>
        <v>42841</v>
      </c>
      <c r="F3316" s="6">
        <f t="shared" ca="1" si="251"/>
        <v>3.0940178419153015</v>
      </c>
    </row>
    <row r="3317" spans="1:6">
      <c r="A3317" s="1">
        <v>9131245</v>
      </c>
      <c r="B3317">
        <f t="shared" ca="1" si="248"/>
        <v>0.78330675241717163</v>
      </c>
      <c r="C3317" s="1">
        <f t="shared" ca="1" si="252"/>
        <v>7</v>
      </c>
      <c r="D3317" s="1">
        <f t="shared" ca="1" si="249"/>
        <v>138</v>
      </c>
      <c r="E3317" s="2">
        <f t="shared" ca="1" si="250"/>
        <v>43103</v>
      </c>
      <c r="F3317" s="6">
        <f t="shared" ca="1" si="251"/>
        <v>4.501806238678169</v>
      </c>
    </row>
    <row r="3318" spans="1:6">
      <c r="A3318" s="1">
        <v>9131248</v>
      </c>
      <c r="B3318">
        <f t="shared" ca="1" si="248"/>
        <v>0.25750202786961041</v>
      </c>
      <c r="C3318" s="1">
        <f t="shared" ca="1" si="252"/>
        <v>16</v>
      </c>
      <c r="D3318" s="1">
        <f t="shared" ca="1" si="249"/>
        <v>465</v>
      </c>
      <c r="E3318" s="2">
        <f t="shared" ca="1" si="250"/>
        <v>43073</v>
      </c>
      <c r="F3318" s="6">
        <f t="shared" ca="1" si="251"/>
        <v>3.0279423362299109</v>
      </c>
    </row>
    <row r="3319" spans="1:6">
      <c r="A3319" s="1">
        <v>9131251</v>
      </c>
      <c r="B3319">
        <f t="shared" ca="1" si="248"/>
        <v>0.71291876525393649</v>
      </c>
      <c r="C3319" s="1">
        <f t="shared" ca="1" si="252"/>
        <v>8</v>
      </c>
      <c r="D3319" s="1">
        <f t="shared" ca="1" si="249"/>
        <v>456</v>
      </c>
      <c r="E3319" s="2">
        <f t="shared" ca="1" si="250"/>
        <v>43240</v>
      </c>
      <c r="F3319" s="6">
        <f t="shared" ca="1" si="251"/>
        <v>212.36864819058013</v>
      </c>
    </row>
    <row r="3320" spans="1:6">
      <c r="A3320" s="1">
        <v>9131254</v>
      </c>
      <c r="B3320">
        <f t="shared" ca="1" si="248"/>
        <v>0.67853162125043276</v>
      </c>
      <c r="C3320" s="1">
        <f t="shared" ca="1" si="252"/>
        <v>115</v>
      </c>
      <c r="D3320" s="1">
        <f t="shared" ca="1" si="249"/>
        <v>508</v>
      </c>
      <c r="E3320" s="2">
        <f t="shared" ca="1" si="250"/>
        <v>43488</v>
      </c>
      <c r="F3320" s="6">
        <f t="shared" ca="1" si="251"/>
        <v>13.467515562510052</v>
      </c>
    </row>
    <row r="3321" spans="1:6">
      <c r="A3321" s="1">
        <v>9131257</v>
      </c>
      <c r="B3321">
        <f t="shared" ca="1" si="248"/>
        <v>0.55287144484586337</v>
      </c>
      <c r="C3321" s="1">
        <f t="shared" ca="1" si="252"/>
        <v>1</v>
      </c>
      <c r="D3321" s="1">
        <f t="shared" ca="1" si="249"/>
        <v>474</v>
      </c>
      <c r="E3321" s="2">
        <f t="shared" ca="1" si="250"/>
        <v>43315</v>
      </c>
      <c r="F3321" s="6">
        <f t="shared" ca="1" si="251"/>
        <v>14.010031987146277</v>
      </c>
    </row>
    <row r="3322" spans="1:6">
      <c r="A3322" s="1">
        <v>9131260</v>
      </c>
      <c r="B3322">
        <f t="shared" ca="1" si="248"/>
        <v>0.40215201227345188</v>
      </c>
      <c r="C3322" s="1">
        <f t="shared" ca="1" si="252"/>
        <v>75</v>
      </c>
      <c r="D3322" s="1">
        <f t="shared" ca="1" si="249"/>
        <v>599</v>
      </c>
      <c r="E3322" s="2">
        <f t="shared" ca="1" si="250"/>
        <v>42782</v>
      </c>
      <c r="F3322" s="6">
        <f t="shared" ca="1" si="251"/>
        <v>83.685205330489424</v>
      </c>
    </row>
    <row r="3323" spans="1:6">
      <c r="A3323" s="1">
        <v>9131263</v>
      </c>
      <c r="B3323">
        <f t="shared" ca="1" si="248"/>
        <v>0.65827547525907038</v>
      </c>
      <c r="C3323" s="1">
        <f t="shared" ca="1" si="252"/>
        <v>7</v>
      </c>
      <c r="D3323" s="1">
        <f t="shared" ca="1" si="249"/>
        <v>138</v>
      </c>
      <c r="E3323" s="2">
        <f t="shared" ca="1" si="250"/>
        <v>43294</v>
      </c>
      <c r="F3323" s="6">
        <f t="shared" ca="1" si="251"/>
        <v>5.8969192938128234</v>
      </c>
    </row>
    <row r="3324" spans="1:6">
      <c r="A3324" s="1">
        <v>9131266</v>
      </c>
      <c r="B3324">
        <f t="shared" ca="1" si="248"/>
        <v>0.95880476991766983</v>
      </c>
      <c r="C3324" s="1">
        <f t="shared" ca="1" si="252"/>
        <v>3</v>
      </c>
      <c r="D3324" s="1">
        <f t="shared" ca="1" si="249"/>
        <v>263</v>
      </c>
      <c r="E3324" s="2">
        <f t="shared" ca="1" si="250"/>
        <v>43235</v>
      </c>
      <c r="F3324" s="6">
        <f t="shared" ca="1" si="251"/>
        <v>21.169171591292695</v>
      </c>
    </row>
    <row r="3325" spans="1:6">
      <c r="A3325" s="1">
        <v>9131269</v>
      </c>
      <c r="B3325">
        <f t="shared" ref="B3325:B3388" ca="1" si="253">RAND()</f>
        <v>0.61573692113490008</v>
      </c>
      <c r="C3325" s="1">
        <f t="shared" ca="1" si="252"/>
        <v>8</v>
      </c>
      <c r="D3325" s="1">
        <f t="shared" ref="D3325:D3388" ca="1" si="254">VLOOKUP(SMALL($B$2:$B$601,C3325),$B$2:$C$601,2,FALSE)</f>
        <v>456</v>
      </c>
      <c r="E3325" s="2">
        <f t="shared" ca="1" si="250"/>
        <v>43311</v>
      </c>
      <c r="F3325" s="6">
        <f t="shared" ca="1" si="251"/>
        <v>8.1336267993757616</v>
      </c>
    </row>
    <row r="3326" spans="1:6">
      <c r="A3326" s="1">
        <v>9131272</v>
      </c>
      <c r="B3326">
        <f t="shared" ca="1" si="253"/>
        <v>0.47366355228326495</v>
      </c>
      <c r="C3326" s="1">
        <f t="shared" ca="1" si="252"/>
        <v>143</v>
      </c>
      <c r="D3326" s="1">
        <f t="shared" ca="1" si="254"/>
        <v>438</v>
      </c>
      <c r="E3326" s="2">
        <f t="shared" ca="1" si="250"/>
        <v>43049</v>
      </c>
      <c r="F3326" s="6">
        <f t="shared" ca="1" si="251"/>
        <v>184.40941057882694</v>
      </c>
    </row>
    <row r="3327" spans="1:6">
      <c r="A3327" s="1">
        <v>9131275</v>
      </c>
      <c r="B3327">
        <f t="shared" ca="1" si="253"/>
        <v>0.47530630997308909</v>
      </c>
      <c r="C3327" s="1">
        <f t="shared" ca="1" si="252"/>
        <v>2</v>
      </c>
      <c r="D3327" s="1">
        <f t="shared" ca="1" si="254"/>
        <v>30</v>
      </c>
      <c r="E3327" s="2">
        <f t="shared" ca="1" si="250"/>
        <v>42773</v>
      </c>
      <c r="F3327" s="6">
        <f t="shared" ca="1" si="251"/>
        <v>12.366401012392769</v>
      </c>
    </row>
    <row r="3328" spans="1:6">
      <c r="A3328" s="1">
        <v>9131278</v>
      </c>
      <c r="B3328">
        <f t="shared" ca="1" si="253"/>
        <v>0.98656033252048414</v>
      </c>
      <c r="C3328" s="1">
        <f t="shared" ca="1" si="252"/>
        <v>8</v>
      </c>
      <c r="D3328" s="1">
        <f t="shared" ca="1" si="254"/>
        <v>456</v>
      </c>
      <c r="E3328" s="2">
        <f t="shared" ca="1" si="250"/>
        <v>42864</v>
      </c>
      <c r="F3328" s="6">
        <f t="shared" ca="1" si="251"/>
        <v>158.12404502061057</v>
      </c>
    </row>
    <row r="3329" spans="1:6">
      <c r="A3329" s="1">
        <v>9131281</v>
      </c>
      <c r="B3329">
        <f t="shared" ca="1" si="253"/>
        <v>0.3742554053927325</v>
      </c>
      <c r="C3329" s="1">
        <f t="shared" ca="1" si="252"/>
        <v>13</v>
      </c>
      <c r="D3329" s="1">
        <f t="shared" ca="1" si="254"/>
        <v>80</v>
      </c>
      <c r="E3329" s="2">
        <f t="shared" ca="1" si="250"/>
        <v>42951</v>
      </c>
      <c r="F3329" s="6">
        <f t="shared" ca="1" si="251"/>
        <v>13.485658993198298</v>
      </c>
    </row>
    <row r="3330" spans="1:6">
      <c r="A3330" s="1">
        <v>9131284</v>
      </c>
      <c r="B3330">
        <f t="shared" ca="1" si="253"/>
        <v>0.82238538326522836</v>
      </c>
      <c r="C3330" s="1">
        <f t="shared" ca="1" si="252"/>
        <v>60</v>
      </c>
      <c r="D3330" s="1">
        <f t="shared" ca="1" si="254"/>
        <v>422</v>
      </c>
      <c r="E3330" s="2">
        <f t="shared" ca="1" si="250"/>
        <v>42873</v>
      </c>
      <c r="F3330" s="6">
        <f t="shared" ca="1" si="251"/>
        <v>55.183927087755407</v>
      </c>
    </row>
    <row r="3331" spans="1:6">
      <c r="A3331" s="1">
        <v>9131287</v>
      </c>
      <c r="B3331">
        <f t="shared" ca="1" si="253"/>
        <v>0.79202474159095748</v>
      </c>
      <c r="C3331" s="1">
        <f t="shared" ca="1" si="252"/>
        <v>48</v>
      </c>
      <c r="D3331" s="1">
        <f t="shared" ca="1" si="254"/>
        <v>424</v>
      </c>
      <c r="E3331" s="2">
        <f t="shared" ref="E3331:E3394" ca="1" si="255">RANDBETWEEN("1/1/17","2/1/19")</f>
        <v>43208</v>
      </c>
      <c r="F3331" s="6">
        <f t="shared" ref="F3331:F3394" ca="1" si="256">_xlfn.GAMMA.INV(RAND(),$J$6,$J$7)*100+3</f>
        <v>3.5807154083419137</v>
      </c>
    </row>
    <row r="3332" spans="1:6">
      <c r="A3332" s="1">
        <v>9131290</v>
      </c>
      <c r="B3332">
        <f t="shared" ca="1" si="253"/>
        <v>4.5880326781961855E-2</v>
      </c>
      <c r="C3332" s="1">
        <f t="shared" ca="1" si="252"/>
        <v>12</v>
      </c>
      <c r="D3332" s="1">
        <f t="shared" ca="1" si="254"/>
        <v>292</v>
      </c>
      <c r="E3332" s="2">
        <f t="shared" ca="1" si="255"/>
        <v>43044</v>
      </c>
      <c r="F3332" s="6">
        <f t="shared" ca="1" si="256"/>
        <v>45.957842860844259</v>
      </c>
    </row>
    <row r="3333" spans="1:6">
      <c r="A3333" s="1">
        <v>9131293</v>
      </c>
      <c r="B3333">
        <f t="shared" ca="1" si="253"/>
        <v>0.25332273846848596</v>
      </c>
      <c r="C3333" s="1">
        <f t="shared" ca="1" si="252"/>
        <v>102</v>
      </c>
      <c r="D3333" s="1">
        <f t="shared" ca="1" si="254"/>
        <v>366</v>
      </c>
      <c r="E3333" s="2">
        <f t="shared" ca="1" si="255"/>
        <v>42863</v>
      </c>
      <c r="F3333" s="6">
        <f t="shared" ca="1" si="256"/>
        <v>10.893808601625601</v>
      </c>
    </row>
    <row r="3334" spans="1:6">
      <c r="A3334" s="1">
        <v>9131296</v>
      </c>
      <c r="B3334">
        <f t="shared" ca="1" si="253"/>
        <v>0.54050709199638414</v>
      </c>
      <c r="C3334" s="1">
        <f t="shared" ca="1" si="252"/>
        <v>6</v>
      </c>
      <c r="D3334" s="1">
        <f t="shared" ca="1" si="254"/>
        <v>208</v>
      </c>
      <c r="E3334" s="2">
        <f t="shared" ca="1" si="255"/>
        <v>43221</v>
      </c>
      <c r="F3334" s="6">
        <f t="shared" ca="1" si="256"/>
        <v>47.324825290009308</v>
      </c>
    </row>
    <row r="3335" spans="1:6">
      <c r="A3335" s="1">
        <v>9131299</v>
      </c>
      <c r="B3335">
        <f t="shared" ca="1" si="253"/>
        <v>0.18735976035660729</v>
      </c>
      <c r="C3335" s="1">
        <f t="shared" ca="1" si="252"/>
        <v>6</v>
      </c>
      <c r="D3335" s="1">
        <f t="shared" ca="1" si="254"/>
        <v>208</v>
      </c>
      <c r="E3335" s="2">
        <f t="shared" ca="1" si="255"/>
        <v>43272</v>
      </c>
      <c r="F3335" s="6">
        <f t="shared" ca="1" si="256"/>
        <v>30.559542326752361</v>
      </c>
    </row>
    <row r="3336" spans="1:6">
      <c r="A3336" s="1">
        <v>9131302</v>
      </c>
      <c r="B3336">
        <f t="shared" ca="1" si="253"/>
        <v>0.22992170251513822</v>
      </c>
      <c r="C3336" s="1">
        <f t="shared" ca="1" si="252"/>
        <v>33</v>
      </c>
      <c r="D3336" s="1">
        <f t="shared" ca="1" si="254"/>
        <v>501</v>
      </c>
      <c r="E3336" s="2">
        <f t="shared" ca="1" si="255"/>
        <v>42916</v>
      </c>
      <c r="F3336" s="6">
        <f t="shared" ca="1" si="256"/>
        <v>6.589573568335636</v>
      </c>
    </row>
    <row r="3337" spans="1:6">
      <c r="A3337" s="1">
        <v>9131305</v>
      </c>
      <c r="B3337">
        <f t="shared" ca="1" si="253"/>
        <v>0.51490045666970419</v>
      </c>
      <c r="C3337" s="1">
        <f t="shared" ca="1" si="252"/>
        <v>45</v>
      </c>
      <c r="D3337" s="1">
        <f t="shared" ca="1" si="254"/>
        <v>482</v>
      </c>
      <c r="E3337" s="2">
        <f t="shared" ca="1" si="255"/>
        <v>43153</v>
      </c>
      <c r="F3337" s="6">
        <f t="shared" ca="1" si="256"/>
        <v>19.154374930638273</v>
      </c>
    </row>
    <row r="3338" spans="1:6">
      <c r="A3338" s="1">
        <v>9131308</v>
      </c>
      <c r="B3338">
        <f t="shared" ca="1" si="253"/>
        <v>0.55823689913559471</v>
      </c>
      <c r="C3338" s="1">
        <f t="shared" ca="1" si="252"/>
        <v>257</v>
      </c>
      <c r="D3338" s="1">
        <f t="shared" ca="1" si="254"/>
        <v>71</v>
      </c>
      <c r="E3338" s="2">
        <f t="shared" ca="1" si="255"/>
        <v>43214</v>
      </c>
      <c r="F3338" s="6">
        <f t="shared" ca="1" si="256"/>
        <v>10.167265917026445</v>
      </c>
    </row>
    <row r="3339" spans="1:6">
      <c r="A3339" s="1">
        <v>9131311</v>
      </c>
      <c r="B3339">
        <f t="shared" ca="1" si="253"/>
        <v>0.95276169553875345</v>
      </c>
      <c r="C3339" s="1">
        <f t="shared" ca="1" si="252"/>
        <v>77</v>
      </c>
      <c r="D3339" s="1">
        <f t="shared" ca="1" si="254"/>
        <v>552</v>
      </c>
      <c r="E3339" s="2">
        <f t="shared" ca="1" si="255"/>
        <v>43267</v>
      </c>
      <c r="F3339" s="6">
        <f t="shared" ca="1" si="256"/>
        <v>116.76794169098829</v>
      </c>
    </row>
    <row r="3340" spans="1:6">
      <c r="A3340" s="1">
        <v>9131314</v>
      </c>
      <c r="B3340">
        <f t="shared" ca="1" si="253"/>
        <v>0.57697726812780925</v>
      </c>
      <c r="C3340" s="1">
        <f t="shared" ca="1" si="252"/>
        <v>417</v>
      </c>
      <c r="D3340" s="1">
        <f t="shared" ca="1" si="254"/>
        <v>325</v>
      </c>
      <c r="E3340" s="2">
        <f t="shared" ca="1" si="255"/>
        <v>43181</v>
      </c>
      <c r="F3340" s="6">
        <f t="shared" ca="1" si="256"/>
        <v>197.46708357230335</v>
      </c>
    </row>
    <row r="3341" spans="1:6">
      <c r="A3341" s="1">
        <v>9131317</v>
      </c>
      <c r="B3341">
        <f t="shared" ca="1" si="253"/>
        <v>0.73013275924042975</v>
      </c>
      <c r="C3341" s="1">
        <f t="shared" ca="1" si="252"/>
        <v>2</v>
      </c>
      <c r="D3341" s="1">
        <f t="shared" ca="1" si="254"/>
        <v>30</v>
      </c>
      <c r="E3341" s="2">
        <f t="shared" ca="1" si="255"/>
        <v>42775</v>
      </c>
      <c r="F3341" s="6">
        <f t="shared" ca="1" si="256"/>
        <v>11.095991203083786</v>
      </c>
    </row>
    <row r="3342" spans="1:6">
      <c r="A3342" s="1">
        <v>9131320</v>
      </c>
      <c r="B3342">
        <f t="shared" ca="1" si="253"/>
        <v>0.52053326325960603</v>
      </c>
      <c r="C3342" s="1">
        <f t="shared" ca="1" si="252"/>
        <v>75</v>
      </c>
      <c r="D3342" s="1">
        <f t="shared" ca="1" si="254"/>
        <v>599</v>
      </c>
      <c r="E3342" s="2">
        <f t="shared" ca="1" si="255"/>
        <v>43064</v>
      </c>
      <c r="F3342" s="6">
        <f t="shared" ca="1" si="256"/>
        <v>42.876049355784801</v>
      </c>
    </row>
    <row r="3343" spans="1:6">
      <c r="A3343" s="1">
        <v>9131323</v>
      </c>
      <c r="B3343">
        <f t="shared" ca="1" si="253"/>
        <v>0.80262290521372537</v>
      </c>
      <c r="C3343" s="1">
        <f t="shared" ca="1" si="252"/>
        <v>51</v>
      </c>
      <c r="D3343" s="1">
        <f t="shared" ca="1" si="254"/>
        <v>93</v>
      </c>
      <c r="E3343" s="2">
        <f t="shared" ca="1" si="255"/>
        <v>43296</v>
      </c>
      <c r="F3343" s="6">
        <f t="shared" ca="1" si="256"/>
        <v>30.091988354952839</v>
      </c>
    </row>
    <row r="3344" spans="1:6">
      <c r="A3344" s="1">
        <v>9131326</v>
      </c>
      <c r="B3344">
        <f t="shared" ca="1" si="253"/>
        <v>0.36164119871439482</v>
      </c>
      <c r="C3344" s="1">
        <f t="shared" ca="1" si="252"/>
        <v>1</v>
      </c>
      <c r="D3344" s="1">
        <f t="shared" ca="1" si="254"/>
        <v>474</v>
      </c>
      <c r="E3344" s="2">
        <f t="shared" ca="1" si="255"/>
        <v>42978</v>
      </c>
      <c r="F3344" s="6">
        <f t="shared" ca="1" si="256"/>
        <v>11.213084083518719</v>
      </c>
    </row>
    <row r="3345" spans="1:6">
      <c r="A3345" s="1">
        <v>9131329</v>
      </c>
      <c r="B3345">
        <f t="shared" ca="1" si="253"/>
        <v>0.53582967289834438</v>
      </c>
      <c r="C3345" s="1">
        <f t="shared" ca="1" si="252"/>
        <v>3</v>
      </c>
      <c r="D3345" s="1">
        <f t="shared" ca="1" si="254"/>
        <v>263</v>
      </c>
      <c r="E3345" s="2">
        <f t="shared" ca="1" si="255"/>
        <v>43479</v>
      </c>
      <c r="F3345" s="6">
        <f t="shared" ca="1" si="256"/>
        <v>63.8805504771288</v>
      </c>
    </row>
    <row r="3346" spans="1:6">
      <c r="A3346" s="1">
        <v>9131332</v>
      </c>
      <c r="B3346">
        <f t="shared" ca="1" si="253"/>
        <v>0.35645580143332511</v>
      </c>
      <c r="C3346" s="1">
        <f t="shared" ca="1" si="252"/>
        <v>2</v>
      </c>
      <c r="D3346" s="1">
        <f t="shared" ca="1" si="254"/>
        <v>30</v>
      </c>
      <c r="E3346" s="2">
        <f t="shared" ca="1" si="255"/>
        <v>42908</v>
      </c>
      <c r="F3346" s="6">
        <f t="shared" ca="1" si="256"/>
        <v>240.6967939002011</v>
      </c>
    </row>
    <row r="3347" spans="1:6">
      <c r="A3347" s="1">
        <v>9131335</v>
      </c>
      <c r="B3347">
        <f t="shared" ca="1" si="253"/>
        <v>0.512164724072392</v>
      </c>
      <c r="C3347" s="1">
        <f t="shared" ca="1" si="252"/>
        <v>14</v>
      </c>
      <c r="D3347" s="1">
        <f t="shared" ca="1" si="254"/>
        <v>576</v>
      </c>
      <c r="E3347" s="2">
        <f t="shared" ca="1" si="255"/>
        <v>43145</v>
      </c>
      <c r="F3347" s="6">
        <f t="shared" ca="1" si="256"/>
        <v>4.425753211118062</v>
      </c>
    </row>
    <row r="3348" spans="1:6">
      <c r="A3348" s="1">
        <v>9131338</v>
      </c>
      <c r="B3348">
        <f t="shared" ca="1" si="253"/>
        <v>0.99643698462340347</v>
      </c>
      <c r="C3348" s="1">
        <f t="shared" ca="1" si="252"/>
        <v>7</v>
      </c>
      <c r="D3348" s="1">
        <f t="shared" ca="1" si="254"/>
        <v>138</v>
      </c>
      <c r="E3348" s="2">
        <f t="shared" ca="1" si="255"/>
        <v>43000</v>
      </c>
      <c r="F3348" s="6">
        <f t="shared" ca="1" si="256"/>
        <v>42.214441804119232</v>
      </c>
    </row>
    <row r="3349" spans="1:6">
      <c r="A3349" s="1">
        <v>9131341</v>
      </c>
      <c r="B3349">
        <f t="shared" ca="1" si="253"/>
        <v>0.85916760596102715</v>
      </c>
      <c r="C3349" s="1">
        <f t="shared" ca="1" si="252"/>
        <v>14</v>
      </c>
      <c r="D3349" s="1">
        <f t="shared" ca="1" si="254"/>
        <v>576</v>
      </c>
      <c r="E3349" s="2">
        <f t="shared" ca="1" si="255"/>
        <v>42876</v>
      </c>
      <c r="F3349" s="6">
        <f t="shared" ca="1" si="256"/>
        <v>13.552745753092434</v>
      </c>
    </row>
    <row r="3350" spans="1:6">
      <c r="A3350" s="1">
        <v>9131344</v>
      </c>
      <c r="B3350">
        <f t="shared" ca="1" si="253"/>
        <v>0.83852002215389754</v>
      </c>
      <c r="C3350" s="1">
        <f t="shared" ca="1" si="252"/>
        <v>10</v>
      </c>
      <c r="D3350" s="1">
        <f t="shared" ca="1" si="254"/>
        <v>236</v>
      </c>
      <c r="E3350" s="2">
        <f t="shared" ca="1" si="255"/>
        <v>42853</v>
      </c>
      <c r="F3350" s="6">
        <f t="shared" ca="1" si="256"/>
        <v>76.650037530158059</v>
      </c>
    </row>
    <row r="3351" spans="1:6">
      <c r="A3351" s="1">
        <v>9131347</v>
      </c>
      <c r="B3351">
        <f t="shared" ca="1" si="253"/>
        <v>0.48028421422391665</v>
      </c>
      <c r="C3351" s="1">
        <f t="shared" ca="1" si="252"/>
        <v>69</v>
      </c>
      <c r="D3351" s="1">
        <f t="shared" ca="1" si="254"/>
        <v>142</v>
      </c>
      <c r="E3351" s="2">
        <f t="shared" ca="1" si="255"/>
        <v>43212</v>
      </c>
      <c r="F3351" s="6">
        <f t="shared" ca="1" si="256"/>
        <v>56.929430233335381</v>
      </c>
    </row>
    <row r="3352" spans="1:6">
      <c r="A3352" s="1">
        <v>9131350</v>
      </c>
      <c r="B3352">
        <f t="shared" ca="1" si="253"/>
        <v>0.45346252222565331</v>
      </c>
      <c r="C3352" s="1">
        <f t="shared" ca="1" si="252"/>
        <v>1</v>
      </c>
      <c r="D3352" s="1">
        <f t="shared" ca="1" si="254"/>
        <v>474</v>
      </c>
      <c r="E3352" s="2">
        <f t="shared" ca="1" si="255"/>
        <v>43178</v>
      </c>
      <c r="F3352" s="6">
        <f t="shared" ca="1" si="256"/>
        <v>4.3565354027344982</v>
      </c>
    </row>
    <row r="3353" spans="1:6">
      <c r="A3353" s="1">
        <v>9131353</v>
      </c>
      <c r="B3353">
        <f t="shared" ca="1" si="253"/>
        <v>0.69784924132471049</v>
      </c>
      <c r="C3353" s="1">
        <f t="shared" ca="1" si="252"/>
        <v>130</v>
      </c>
      <c r="D3353" s="1">
        <f t="shared" ca="1" si="254"/>
        <v>385</v>
      </c>
      <c r="E3353" s="2">
        <f t="shared" ca="1" si="255"/>
        <v>43468</v>
      </c>
      <c r="F3353" s="6">
        <f t="shared" ca="1" si="256"/>
        <v>52.811572439481601</v>
      </c>
    </row>
    <row r="3354" spans="1:6">
      <c r="A3354" s="1">
        <v>9131356</v>
      </c>
      <c r="B3354">
        <f t="shared" ca="1" si="253"/>
        <v>0.23409937168675143</v>
      </c>
      <c r="C3354" s="1">
        <f t="shared" ca="1" si="252"/>
        <v>3</v>
      </c>
      <c r="D3354" s="1">
        <f t="shared" ca="1" si="254"/>
        <v>263</v>
      </c>
      <c r="E3354" s="2">
        <f t="shared" ca="1" si="255"/>
        <v>43081</v>
      </c>
      <c r="F3354" s="6">
        <f t="shared" ca="1" si="256"/>
        <v>50.764077655662405</v>
      </c>
    </row>
    <row r="3355" spans="1:6">
      <c r="A3355" s="1">
        <v>9131359</v>
      </c>
      <c r="B3355">
        <f t="shared" ca="1" si="253"/>
        <v>0.44485062685546117</v>
      </c>
      <c r="C3355" s="1">
        <f t="shared" ref="C3355:C3418" ca="1" si="257">ROUND(_xlfn.GAMMA.INV(RAND(),$J$11,$J$12)*100,0)+1</f>
        <v>53</v>
      </c>
      <c r="D3355" s="1">
        <f t="shared" ca="1" si="254"/>
        <v>155</v>
      </c>
      <c r="E3355" s="2">
        <f t="shared" ca="1" si="255"/>
        <v>42877</v>
      </c>
      <c r="F3355" s="6">
        <f t="shared" ca="1" si="256"/>
        <v>120.73637987708247</v>
      </c>
    </row>
    <row r="3356" spans="1:6">
      <c r="A3356" s="1">
        <v>9131362</v>
      </c>
      <c r="B3356">
        <f t="shared" ca="1" si="253"/>
        <v>0.90240289076930302</v>
      </c>
      <c r="C3356" s="1">
        <f t="shared" ca="1" si="257"/>
        <v>3</v>
      </c>
      <c r="D3356" s="1">
        <f t="shared" ca="1" si="254"/>
        <v>263</v>
      </c>
      <c r="E3356" s="2">
        <f t="shared" ca="1" si="255"/>
        <v>43468</v>
      </c>
      <c r="F3356" s="6">
        <f t="shared" ca="1" si="256"/>
        <v>11.307964076521618</v>
      </c>
    </row>
    <row r="3357" spans="1:6">
      <c r="A3357" s="1">
        <v>9131365</v>
      </c>
      <c r="B3357">
        <f t="shared" ca="1" si="253"/>
        <v>0.77246478146133013</v>
      </c>
      <c r="C3357" s="1">
        <f t="shared" ca="1" si="257"/>
        <v>19</v>
      </c>
      <c r="D3357" s="1">
        <f t="shared" ca="1" si="254"/>
        <v>42</v>
      </c>
      <c r="E3357" s="2">
        <f t="shared" ca="1" si="255"/>
        <v>42949</v>
      </c>
      <c r="F3357" s="6">
        <f t="shared" ca="1" si="256"/>
        <v>225.38717161466832</v>
      </c>
    </row>
    <row r="3358" spans="1:6">
      <c r="A3358" s="1">
        <v>9131368</v>
      </c>
      <c r="B3358">
        <f t="shared" ca="1" si="253"/>
        <v>0.32952866586899809</v>
      </c>
      <c r="C3358" s="1">
        <f t="shared" ca="1" si="257"/>
        <v>5</v>
      </c>
      <c r="D3358" s="1">
        <f t="shared" ca="1" si="254"/>
        <v>363</v>
      </c>
      <c r="E3358" s="2">
        <f t="shared" ca="1" si="255"/>
        <v>42837</v>
      </c>
      <c r="F3358" s="6">
        <f t="shared" ca="1" si="256"/>
        <v>13.726517339418987</v>
      </c>
    </row>
    <row r="3359" spans="1:6">
      <c r="A3359" s="1">
        <v>9131371</v>
      </c>
      <c r="B3359">
        <f t="shared" ca="1" si="253"/>
        <v>0.10207396759145204</v>
      </c>
      <c r="C3359" s="1">
        <f t="shared" ca="1" si="257"/>
        <v>42</v>
      </c>
      <c r="D3359" s="1">
        <f t="shared" ca="1" si="254"/>
        <v>36</v>
      </c>
      <c r="E3359" s="2">
        <f t="shared" ca="1" si="255"/>
        <v>43288</v>
      </c>
      <c r="F3359" s="6">
        <f t="shared" ca="1" si="256"/>
        <v>3.7914155911445149</v>
      </c>
    </row>
    <row r="3360" spans="1:6">
      <c r="A3360" s="1">
        <v>9131374</v>
      </c>
      <c r="B3360">
        <f t="shared" ca="1" si="253"/>
        <v>5.426248856795457E-2</v>
      </c>
      <c r="C3360" s="1">
        <f t="shared" ca="1" si="257"/>
        <v>184</v>
      </c>
      <c r="D3360" s="1">
        <f t="shared" ca="1" si="254"/>
        <v>580</v>
      </c>
      <c r="E3360" s="2">
        <f t="shared" ca="1" si="255"/>
        <v>43434</v>
      </c>
      <c r="F3360" s="6">
        <f t="shared" ca="1" si="256"/>
        <v>12.960525023238327</v>
      </c>
    </row>
    <row r="3361" spans="1:6">
      <c r="A3361" s="1">
        <v>9131377</v>
      </c>
      <c r="B3361">
        <f t="shared" ca="1" si="253"/>
        <v>0.3796731493290495</v>
      </c>
      <c r="C3361" s="1">
        <f t="shared" ca="1" si="257"/>
        <v>35</v>
      </c>
      <c r="D3361" s="1">
        <f t="shared" ca="1" si="254"/>
        <v>423</v>
      </c>
      <c r="E3361" s="2">
        <f t="shared" ca="1" si="255"/>
        <v>42948</v>
      </c>
      <c r="F3361" s="6">
        <f t="shared" ca="1" si="256"/>
        <v>10.446483999308903</v>
      </c>
    </row>
    <row r="3362" spans="1:6">
      <c r="A3362" s="1">
        <v>9131380</v>
      </c>
      <c r="B3362">
        <f t="shared" ca="1" si="253"/>
        <v>6.6284837723056267E-3</v>
      </c>
      <c r="C3362" s="1">
        <f t="shared" ca="1" si="257"/>
        <v>3</v>
      </c>
      <c r="D3362" s="1">
        <f t="shared" ca="1" si="254"/>
        <v>263</v>
      </c>
      <c r="E3362" s="2">
        <f t="shared" ca="1" si="255"/>
        <v>43299</v>
      </c>
      <c r="F3362" s="6">
        <f t="shared" ca="1" si="256"/>
        <v>9.4543713128793225</v>
      </c>
    </row>
    <row r="3363" spans="1:6">
      <c r="A3363" s="1">
        <v>9131383</v>
      </c>
      <c r="B3363">
        <f t="shared" ca="1" si="253"/>
        <v>0.77146235235016736</v>
      </c>
      <c r="C3363" s="1">
        <f t="shared" ca="1" si="257"/>
        <v>18</v>
      </c>
      <c r="D3363" s="1">
        <f t="shared" ca="1" si="254"/>
        <v>511</v>
      </c>
      <c r="E3363" s="2">
        <f t="shared" ca="1" si="255"/>
        <v>42780</v>
      </c>
      <c r="F3363" s="6">
        <f t="shared" ca="1" si="256"/>
        <v>27.745588880810317</v>
      </c>
    </row>
    <row r="3364" spans="1:6">
      <c r="A3364" s="1">
        <v>9131386</v>
      </c>
      <c r="B3364">
        <f t="shared" ca="1" si="253"/>
        <v>2.8516125778076384E-3</v>
      </c>
      <c r="C3364" s="1">
        <f t="shared" ca="1" si="257"/>
        <v>168</v>
      </c>
      <c r="D3364" s="1">
        <f t="shared" ca="1" si="254"/>
        <v>125</v>
      </c>
      <c r="E3364" s="2">
        <f t="shared" ca="1" si="255"/>
        <v>43158</v>
      </c>
      <c r="F3364" s="6">
        <f t="shared" ca="1" si="256"/>
        <v>3.0189806702835789</v>
      </c>
    </row>
    <row r="3365" spans="1:6">
      <c r="A3365" s="1">
        <v>9131389</v>
      </c>
      <c r="B3365">
        <f t="shared" ca="1" si="253"/>
        <v>0.94570783843858541</v>
      </c>
      <c r="C3365" s="1">
        <f t="shared" ca="1" si="257"/>
        <v>49</v>
      </c>
      <c r="D3365" s="1">
        <f t="shared" ca="1" si="254"/>
        <v>26</v>
      </c>
      <c r="E3365" s="2">
        <f t="shared" ca="1" si="255"/>
        <v>43100</v>
      </c>
      <c r="F3365" s="6">
        <f t="shared" ca="1" si="256"/>
        <v>125.33321419137108</v>
      </c>
    </row>
    <row r="3366" spans="1:6">
      <c r="A3366" s="1">
        <v>9131392</v>
      </c>
      <c r="B3366">
        <f t="shared" ca="1" si="253"/>
        <v>0.99456081017738396</v>
      </c>
      <c r="C3366" s="1">
        <f t="shared" ca="1" si="257"/>
        <v>33</v>
      </c>
      <c r="D3366" s="1">
        <f t="shared" ca="1" si="254"/>
        <v>501</v>
      </c>
      <c r="E3366" s="2">
        <f t="shared" ca="1" si="255"/>
        <v>43358</v>
      </c>
      <c r="F3366" s="6">
        <f t="shared" ca="1" si="256"/>
        <v>135.80025134307988</v>
      </c>
    </row>
    <row r="3367" spans="1:6">
      <c r="A3367" s="1">
        <v>9131395</v>
      </c>
      <c r="B3367">
        <f t="shared" ca="1" si="253"/>
        <v>0.9213268113772578</v>
      </c>
      <c r="C3367" s="1">
        <f t="shared" ca="1" si="257"/>
        <v>91</v>
      </c>
      <c r="D3367" s="1">
        <f t="shared" ca="1" si="254"/>
        <v>396</v>
      </c>
      <c r="E3367" s="2">
        <f t="shared" ca="1" si="255"/>
        <v>42894</v>
      </c>
      <c r="F3367" s="6">
        <f t="shared" ca="1" si="256"/>
        <v>3.0571677228761946</v>
      </c>
    </row>
    <row r="3368" spans="1:6">
      <c r="A3368" s="1">
        <v>9131398</v>
      </c>
      <c r="B3368">
        <f t="shared" ca="1" si="253"/>
        <v>0.21593919412681373</v>
      </c>
      <c r="C3368" s="1">
        <f t="shared" ca="1" si="257"/>
        <v>115</v>
      </c>
      <c r="D3368" s="1">
        <f t="shared" ca="1" si="254"/>
        <v>508</v>
      </c>
      <c r="E3368" s="2">
        <f t="shared" ca="1" si="255"/>
        <v>43326</v>
      </c>
      <c r="F3368" s="6">
        <f t="shared" ca="1" si="256"/>
        <v>23.933257426159617</v>
      </c>
    </row>
    <row r="3369" spans="1:6">
      <c r="A3369" s="1">
        <v>9131401</v>
      </c>
      <c r="B3369">
        <f t="shared" ca="1" si="253"/>
        <v>0.21460942060366417</v>
      </c>
      <c r="C3369" s="1">
        <f t="shared" ca="1" si="257"/>
        <v>4</v>
      </c>
      <c r="D3369" s="1">
        <f t="shared" ca="1" si="254"/>
        <v>493</v>
      </c>
      <c r="E3369" s="2">
        <f t="shared" ca="1" si="255"/>
        <v>42810</v>
      </c>
      <c r="F3369" s="6">
        <f t="shared" ca="1" si="256"/>
        <v>27.331691389684597</v>
      </c>
    </row>
    <row r="3370" spans="1:6">
      <c r="A3370" s="1">
        <v>9131404</v>
      </c>
      <c r="B3370">
        <f t="shared" ca="1" si="253"/>
        <v>9.320266260336707E-2</v>
      </c>
      <c r="C3370" s="1">
        <f t="shared" ca="1" si="257"/>
        <v>77</v>
      </c>
      <c r="D3370" s="1">
        <f t="shared" ca="1" si="254"/>
        <v>552</v>
      </c>
      <c r="E3370" s="2">
        <f t="shared" ca="1" si="255"/>
        <v>43401</v>
      </c>
      <c r="F3370" s="6">
        <f t="shared" ca="1" si="256"/>
        <v>73.945329155632749</v>
      </c>
    </row>
    <row r="3371" spans="1:6">
      <c r="A3371" s="1">
        <v>9131407</v>
      </c>
      <c r="B3371">
        <f t="shared" ca="1" si="253"/>
        <v>0.72819602152265783</v>
      </c>
      <c r="C3371" s="1">
        <f t="shared" ca="1" si="257"/>
        <v>89</v>
      </c>
      <c r="D3371" s="1">
        <f t="shared" ca="1" si="254"/>
        <v>340</v>
      </c>
      <c r="E3371" s="2">
        <f t="shared" ca="1" si="255"/>
        <v>42959</v>
      </c>
      <c r="F3371" s="6">
        <f t="shared" ca="1" si="256"/>
        <v>51.01108195239938</v>
      </c>
    </row>
    <row r="3372" spans="1:6">
      <c r="A3372" s="1">
        <v>9131410</v>
      </c>
      <c r="B3372">
        <f t="shared" ca="1" si="253"/>
        <v>0.94067221756042485</v>
      </c>
      <c r="C3372" s="1">
        <f t="shared" ca="1" si="257"/>
        <v>42</v>
      </c>
      <c r="D3372" s="1">
        <f t="shared" ca="1" si="254"/>
        <v>36</v>
      </c>
      <c r="E3372" s="2">
        <f t="shared" ca="1" si="255"/>
        <v>42844</v>
      </c>
      <c r="F3372" s="6">
        <f t="shared" ca="1" si="256"/>
        <v>19.262870699277798</v>
      </c>
    </row>
    <row r="3373" spans="1:6">
      <c r="A3373" s="1">
        <v>9131413</v>
      </c>
      <c r="B3373">
        <f t="shared" ca="1" si="253"/>
        <v>0.75388068875457948</v>
      </c>
      <c r="C3373" s="1">
        <f t="shared" ca="1" si="257"/>
        <v>84</v>
      </c>
      <c r="D3373" s="1">
        <f t="shared" ca="1" si="254"/>
        <v>536</v>
      </c>
      <c r="E3373" s="2">
        <f t="shared" ca="1" si="255"/>
        <v>43234</v>
      </c>
      <c r="F3373" s="6">
        <f t="shared" ca="1" si="256"/>
        <v>30.630754766145373</v>
      </c>
    </row>
    <row r="3374" spans="1:6">
      <c r="A3374" s="1">
        <v>9131416</v>
      </c>
      <c r="B3374">
        <f t="shared" ca="1" si="253"/>
        <v>0.823682584506222</v>
      </c>
      <c r="C3374" s="1">
        <f t="shared" ca="1" si="257"/>
        <v>153</v>
      </c>
      <c r="D3374" s="1">
        <f t="shared" ca="1" si="254"/>
        <v>316</v>
      </c>
      <c r="E3374" s="2">
        <f t="shared" ca="1" si="255"/>
        <v>43099</v>
      </c>
      <c r="F3374" s="6">
        <f t="shared" ca="1" si="256"/>
        <v>5.0058016439060502</v>
      </c>
    </row>
    <row r="3375" spans="1:6">
      <c r="A3375" s="1">
        <v>9131419</v>
      </c>
      <c r="B3375">
        <f t="shared" ca="1" si="253"/>
        <v>0.66202674236545145</v>
      </c>
      <c r="C3375" s="1">
        <f t="shared" ca="1" si="257"/>
        <v>234</v>
      </c>
      <c r="D3375" s="1">
        <f t="shared" ca="1" si="254"/>
        <v>384</v>
      </c>
      <c r="E3375" s="2">
        <f t="shared" ca="1" si="255"/>
        <v>43149</v>
      </c>
      <c r="F3375" s="6">
        <f t="shared" ca="1" si="256"/>
        <v>6.1137541747719251</v>
      </c>
    </row>
    <row r="3376" spans="1:6">
      <c r="A3376" s="1">
        <v>9131422</v>
      </c>
      <c r="B3376">
        <f t="shared" ca="1" si="253"/>
        <v>0.23381497745492186</v>
      </c>
      <c r="C3376" s="1">
        <f t="shared" ca="1" si="257"/>
        <v>17</v>
      </c>
      <c r="D3376" s="1">
        <f t="shared" ca="1" si="254"/>
        <v>165</v>
      </c>
      <c r="E3376" s="2">
        <f t="shared" ca="1" si="255"/>
        <v>43249</v>
      </c>
      <c r="F3376" s="6">
        <f t="shared" ca="1" si="256"/>
        <v>143.77731459394644</v>
      </c>
    </row>
    <row r="3377" spans="1:6">
      <c r="A3377" s="1">
        <v>9131425</v>
      </c>
      <c r="B3377">
        <f t="shared" ca="1" si="253"/>
        <v>0.4239871922586812</v>
      </c>
      <c r="C3377" s="1">
        <f t="shared" ca="1" si="257"/>
        <v>166</v>
      </c>
      <c r="D3377" s="1">
        <f t="shared" ca="1" si="254"/>
        <v>150</v>
      </c>
      <c r="E3377" s="2">
        <f t="shared" ca="1" si="255"/>
        <v>43218</v>
      </c>
      <c r="F3377" s="6">
        <f t="shared" ca="1" si="256"/>
        <v>77.260699502922591</v>
      </c>
    </row>
    <row r="3378" spans="1:6">
      <c r="A3378" s="1">
        <v>9131428</v>
      </c>
      <c r="B3378">
        <f t="shared" ca="1" si="253"/>
        <v>0.36077420393739001</v>
      </c>
      <c r="C3378" s="1">
        <f t="shared" ca="1" si="257"/>
        <v>2</v>
      </c>
      <c r="D3378" s="1">
        <f t="shared" ca="1" si="254"/>
        <v>30</v>
      </c>
      <c r="E3378" s="2">
        <f t="shared" ca="1" si="255"/>
        <v>43144</v>
      </c>
      <c r="F3378" s="6">
        <f t="shared" ca="1" si="256"/>
        <v>19.594803664852712</v>
      </c>
    </row>
    <row r="3379" spans="1:6">
      <c r="A3379" s="1">
        <v>9131431</v>
      </c>
      <c r="B3379">
        <f t="shared" ca="1" si="253"/>
        <v>0.43226505271637505</v>
      </c>
      <c r="C3379" s="1">
        <f t="shared" ca="1" si="257"/>
        <v>1</v>
      </c>
      <c r="D3379" s="1">
        <f t="shared" ca="1" si="254"/>
        <v>474</v>
      </c>
      <c r="E3379" s="2">
        <f t="shared" ca="1" si="255"/>
        <v>43105</v>
      </c>
      <c r="F3379" s="6">
        <f t="shared" ca="1" si="256"/>
        <v>3.185992306870423</v>
      </c>
    </row>
    <row r="3380" spans="1:6">
      <c r="A3380" s="1">
        <v>9131434</v>
      </c>
      <c r="B3380">
        <f t="shared" ca="1" si="253"/>
        <v>0.74673777267242825</v>
      </c>
      <c r="C3380" s="1">
        <f t="shared" ca="1" si="257"/>
        <v>21</v>
      </c>
      <c r="D3380" s="1">
        <f t="shared" ca="1" si="254"/>
        <v>566</v>
      </c>
      <c r="E3380" s="2">
        <f t="shared" ca="1" si="255"/>
        <v>43446</v>
      </c>
      <c r="F3380" s="6">
        <f t="shared" ca="1" si="256"/>
        <v>130.90244380298014</v>
      </c>
    </row>
    <row r="3381" spans="1:6">
      <c r="A3381" s="1">
        <v>9131437</v>
      </c>
      <c r="B3381">
        <f t="shared" ca="1" si="253"/>
        <v>0.29006639735788498</v>
      </c>
      <c r="C3381" s="1">
        <f t="shared" ca="1" si="257"/>
        <v>28</v>
      </c>
      <c r="D3381" s="1">
        <f t="shared" ca="1" si="254"/>
        <v>401</v>
      </c>
      <c r="E3381" s="2">
        <f t="shared" ca="1" si="255"/>
        <v>43399</v>
      </c>
      <c r="F3381" s="6">
        <f t="shared" ca="1" si="256"/>
        <v>3.0049060817064892</v>
      </c>
    </row>
    <row r="3382" spans="1:6">
      <c r="A3382" s="1">
        <v>9131440</v>
      </c>
      <c r="B3382">
        <f t="shared" ca="1" si="253"/>
        <v>0.78539854121209007</v>
      </c>
      <c r="C3382" s="1">
        <f t="shared" ca="1" si="257"/>
        <v>1</v>
      </c>
      <c r="D3382" s="1">
        <f t="shared" ca="1" si="254"/>
        <v>474</v>
      </c>
      <c r="E3382" s="2">
        <f t="shared" ca="1" si="255"/>
        <v>43407</v>
      </c>
      <c r="F3382" s="6">
        <f t="shared" ca="1" si="256"/>
        <v>10.545231196594289</v>
      </c>
    </row>
    <row r="3383" spans="1:6">
      <c r="A3383" s="1">
        <v>9131443</v>
      </c>
      <c r="B3383">
        <f t="shared" ca="1" si="253"/>
        <v>0.54516401083951427</v>
      </c>
      <c r="C3383" s="1">
        <f t="shared" ca="1" si="257"/>
        <v>33</v>
      </c>
      <c r="D3383" s="1">
        <f t="shared" ca="1" si="254"/>
        <v>501</v>
      </c>
      <c r="E3383" s="2">
        <f t="shared" ca="1" si="255"/>
        <v>43205</v>
      </c>
      <c r="F3383" s="6">
        <f t="shared" ca="1" si="256"/>
        <v>32.090715810873277</v>
      </c>
    </row>
    <row r="3384" spans="1:6">
      <c r="A3384" s="1">
        <v>9131446</v>
      </c>
      <c r="B3384">
        <f t="shared" ca="1" si="253"/>
        <v>0.26187976110813871</v>
      </c>
      <c r="C3384" s="1">
        <f t="shared" ca="1" si="257"/>
        <v>22</v>
      </c>
      <c r="D3384" s="1">
        <f t="shared" ca="1" si="254"/>
        <v>413</v>
      </c>
      <c r="E3384" s="2">
        <f t="shared" ca="1" si="255"/>
        <v>43005</v>
      </c>
      <c r="F3384" s="6">
        <f t="shared" ca="1" si="256"/>
        <v>3.0001448014011181</v>
      </c>
    </row>
    <row r="3385" spans="1:6">
      <c r="A3385" s="1">
        <v>9131449</v>
      </c>
      <c r="B3385">
        <f t="shared" ca="1" si="253"/>
        <v>0.19852967756294548</v>
      </c>
      <c r="C3385" s="1">
        <f t="shared" ca="1" si="257"/>
        <v>18</v>
      </c>
      <c r="D3385" s="1">
        <f t="shared" ca="1" si="254"/>
        <v>511</v>
      </c>
      <c r="E3385" s="2">
        <f t="shared" ca="1" si="255"/>
        <v>43470</v>
      </c>
      <c r="F3385" s="6">
        <f t="shared" ca="1" si="256"/>
        <v>12.372225756830108</v>
      </c>
    </row>
    <row r="3386" spans="1:6">
      <c r="A3386" s="1">
        <v>9131452</v>
      </c>
      <c r="B3386">
        <f t="shared" ca="1" si="253"/>
        <v>0.25626797731799567</v>
      </c>
      <c r="C3386" s="1">
        <f t="shared" ca="1" si="257"/>
        <v>3</v>
      </c>
      <c r="D3386" s="1">
        <f t="shared" ca="1" si="254"/>
        <v>263</v>
      </c>
      <c r="E3386" s="2">
        <f t="shared" ca="1" si="255"/>
        <v>43462</v>
      </c>
      <c r="F3386" s="6">
        <f t="shared" ca="1" si="256"/>
        <v>3.0065094144455982</v>
      </c>
    </row>
    <row r="3387" spans="1:6">
      <c r="A3387" s="1">
        <v>9131455</v>
      </c>
      <c r="B3387">
        <f t="shared" ca="1" si="253"/>
        <v>0.57904396809471925</v>
      </c>
      <c r="C3387" s="1">
        <f t="shared" ca="1" si="257"/>
        <v>26</v>
      </c>
      <c r="D3387" s="1">
        <f t="shared" ca="1" si="254"/>
        <v>88</v>
      </c>
      <c r="E3387" s="2">
        <f t="shared" ca="1" si="255"/>
        <v>43097</v>
      </c>
      <c r="F3387" s="6">
        <f t="shared" ca="1" si="256"/>
        <v>13.656136232322758</v>
      </c>
    </row>
    <row r="3388" spans="1:6">
      <c r="A3388" s="1">
        <v>9131458</v>
      </c>
      <c r="B3388">
        <f t="shared" ca="1" si="253"/>
        <v>0.78945649864444023</v>
      </c>
      <c r="C3388" s="1">
        <f t="shared" ca="1" si="257"/>
        <v>69</v>
      </c>
      <c r="D3388" s="1">
        <f t="shared" ca="1" si="254"/>
        <v>142</v>
      </c>
      <c r="E3388" s="2">
        <f t="shared" ca="1" si="255"/>
        <v>43124</v>
      </c>
      <c r="F3388" s="6">
        <f t="shared" ca="1" si="256"/>
        <v>318.80225306014773</v>
      </c>
    </row>
    <row r="3389" spans="1:6">
      <c r="A3389" s="1">
        <v>9131461</v>
      </c>
      <c r="B3389">
        <f t="shared" ref="B3389:B3452" ca="1" si="258">RAND()</f>
        <v>0.27914757423547165</v>
      </c>
      <c r="C3389" s="1">
        <f t="shared" ca="1" si="257"/>
        <v>13</v>
      </c>
      <c r="D3389" s="1">
        <f t="shared" ref="D3389:D3452" ca="1" si="259">VLOOKUP(SMALL($B$2:$B$601,C3389),$B$2:$C$601,2,FALSE)</f>
        <v>80</v>
      </c>
      <c r="E3389" s="2">
        <f t="shared" ca="1" si="255"/>
        <v>42869</v>
      </c>
      <c r="F3389" s="6">
        <f t="shared" ca="1" si="256"/>
        <v>57.423111972674896</v>
      </c>
    </row>
    <row r="3390" spans="1:6">
      <c r="A3390" s="1">
        <v>9131464</v>
      </c>
      <c r="B3390">
        <f t="shared" ca="1" si="258"/>
        <v>0.8044652471789725</v>
      </c>
      <c r="C3390" s="1">
        <f t="shared" ca="1" si="257"/>
        <v>3</v>
      </c>
      <c r="D3390" s="1">
        <f t="shared" ca="1" si="259"/>
        <v>263</v>
      </c>
      <c r="E3390" s="2">
        <f t="shared" ca="1" si="255"/>
        <v>43151</v>
      </c>
      <c r="F3390" s="6">
        <f t="shared" ca="1" si="256"/>
        <v>33.688255203950504</v>
      </c>
    </row>
    <row r="3391" spans="1:6">
      <c r="A3391" s="1">
        <v>9131467</v>
      </c>
      <c r="B3391">
        <f t="shared" ca="1" si="258"/>
        <v>0.52143350645155118</v>
      </c>
      <c r="C3391" s="1">
        <f t="shared" ca="1" si="257"/>
        <v>10</v>
      </c>
      <c r="D3391" s="1">
        <f t="shared" ca="1" si="259"/>
        <v>236</v>
      </c>
      <c r="E3391" s="2">
        <f t="shared" ca="1" si="255"/>
        <v>43295</v>
      </c>
      <c r="F3391" s="6">
        <f t="shared" ca="1" si="256"/>
        <v>3.0010768322265111</v>
      </c>
    </row>
    <row r="3392" spans="1:6">
      <c r="A3392" s="1">
        <v>9131470</v>
      </c>
      <c r="B3392">
        <f t="shared" ca="1" si="258"/>
        <v>0.66840332777134093</v>
      </c>
      <c r="C3392" s="1">
        <f t="shared" ca="1" si="257"/>
        <v>6</v>
      </c>
      <c r="D3392" s="1">
        <f t="shared" ca="1" si="259"/>
        <v>208</v>
      </c>
      <c r="E3392" s="2">
        <f t="shared" ca="1" si="255"/>
        <v>43028</v>
      </c>
      <c r="F3392" s="6">
        <f t="shared" ca="1" si="256"/>
        <v>131.326224817765</v>
      </c>
    </row>
    <row r="3393" spans="1:6">
      <c r="A3393" s="1">
        <v>9131473</v>
      </c>
      <c r="B3393">
        <f t="shared" ca="1" si="258"/>
        <v>0.47663498967716211</v>
      </c>
      <c r="C3393" s="1">
        <f t="shared" ca="1" si="257"/>
        <v>62</v>
      </c>
      <c r="D3393" s="1">
        <f t="shared" ca="1" si="259"/>
        <v>235</v>
      </c>
      <c r="E3393" s="2">
        <f t="shared" ca="1" si="255"/>
        <v>42952</v>
      </c>
      <c r="F3393" s="6">
        <f t="shared" ca="1" si="256"/>
        <v>3.5711983376036178</v>
      </c>
    </row>
    <row r="3394" spans="1:6">
      <c r="A3394" s="1">
        <v>9131476</v>
      </c>
      <c r="B3394">
        <f t="shared" ca="1" si="258"/>
        <v>0.90414722506101419</v>
      </c>
      <c r="C3394" s="1">
        <f t="shared" ca="1" si="257"/>
        <v>3</v>
      </c>
      <c r="D3394" s="1">
        <f t="shared" ca="1" si="259"/>
        <v>263</v>
      </c>
      <c r="E3394" s="2">
        <f t="shared" ca="1" si="255"/>
        <v>42759</v>
      </c>
      <c r="F3394" s="6">
        <f t="shared" ca="1" si="256"/>
        <v>8.5304632614728249</v>
      </c>
    </row>
    <row r="3395" spans="1:6">
      <c r="A3395" s="1">
        <v>9131479</v>
      </c>
      <c r="B3395">
        <f t="shared" ca="1" si="258"/>
        <v>0.23777982247594853</v>
      </c>
      <c r="C3395" s="1">
        <f t="shared" ca="1" si="257"/>
        <v>176</v>
      </c>
      <c r="D3395" s="1">
        <f t="shared" ca="1" si="259"/>
        <v>466</v>
      </c>
      <c r="E3395" s="2">
        <f t="shared" ref="E3395:E3458" ca="1" si="260">RANDBETWEEN("1/1/17","2/1/19")</f>
        <v>43399</v>
      </c>
      <c r="F3395" s="6">
        <f t="shared" ref="F3395:F3458" ca="1" si="261">_xlfn.GAMMA.INV(RAND(),$J$6,$J$7)*100+3</f>
        <v>66.311242869358125</v>
      </c>
    </row>
    <row r="3396" spans="1:6">
      <c r="A3396" s="1">
        <v>9131482</v>
      </c>
      <c r="B3396">
        <f t="shared" ca="1" si="258"/>
        <v>0.99256951626955447</v>
      </c>
      <c r="C3396" s="1">
        <f t="shared" ca="1" si="257"/>
        <v>10</v>
      </c>
      <c r="D3396" s="1">
        <f t="shared" ca="1" si="259"/>
        <v>236</v>
      </c>
      <c r="E3396" s="2">
        <f t="shared" ca="1" si="260"/>
        <v>42797</v>
      </c>
      <c r="F3396" s="6">
        <f t="shared" ca="1" si="261"/>
        <v>169.50317932527386</v>
      </c>
    </row>
    <row r="3397" spans="1:6">
      <c r="A3397" s="1">
        <v>9131485</v>
      </c>
      <c r="B3397">
        <f t="shared" ca="1" si="258"/>
        <v>0.33233703094750622</v>
      </c>
      <c r="C3397" s="1">
        <f t="shared" ca="1" si="257"/>
        <v>1</v>
      </c>
      <c r="D3397" s="1">
        <f t="shared" ca="1" si="259"/>
        <v>474</v>
      </c>
      <c r="E3397" s="2">
        <f t="shared" ca="1" si="260"/>
        <v>43321</v>
      </c>
      <c r="F3397" s="6">
        <f t="shared" ca="1" si="261"/>
        <v>8.5417068754325882</v>
      </c>
    </row>
    <row r="3398" spans="1:6">
      <c r="A3398" s="1">
        <v>9131488</v>
      </c>
      <c r="B3398">
        <f t="shared" ca="1" si="258"/>
        <v>1.8777810632660707E-2</v>
      </c>
      <c r="C3398" s="1">
        <f t="shared" ca="1" si="257"/>
        <v>5</v>
      </c>
      <c r="D3398" s="1">
        <f t="shared" ca="1" si="259"/>
        <v>363</v>
      </c>
      <c r="E3398" s="2">
        <f t="shared" ca="1" si="260"/>
        <v>43014</v>
      </c>
      <c r="F3398" s="6">
        <f t="shared" ca="1" si="261"/>
        <v>46.653909042203175</v>
      </c>
    </row>
    <row r="3399" spans="1:6">
      <c r="A3399" s="1">
        <v>9131491</v>
      </c>
      <c r="B3399">
        <f t="shared" ca="1" si="258"/>
        <v>6.6236302168833361E-2</v>
      </c>
      <c r="C3399" s="1">
        <f t="shared" ca="1" si="257"/>
        <v>4</v>
      </c>
      <c r="D3399" s="1">
        <f t="shared" ca="1" si="259"/>
        <v>493</v>
      </c>
      <c r="E3399" s="2">
        <f t="shared" ca="1" si="260"/>
        <v>42980</v>
      </c>
      <c r="F3399" s="6">
        <f t="shared" ca="1" si="261"/>
        <v>8.4959921349477519</v>
      </c>
    </row>
    <row r="3400" spans="1:6">
      <c r="A3400" s="1">
        <v>9131494</v>
      </c>
      <c r="B3400">
        <f t="shared" ca="1" si="258"/>
        <v>0.64133943759062573</v>
      </c>
      <c r="C3400" s="1">
        <f t="shared" ca="1" si="257"/>
        <v>108</v>
      </c>
      <c r="D3400" s="1">
        <f t="shared" ca="1" si="259"/>
        <v>530</v>
      </c>
      <c r="E3400" s="2">
        <f t="shared" ca="1" si="260"/>
        <v>43001</v>
      </c>
      <c r="F3400" s="6">
        <f t="shared" ca="1" si="261"/>
        <v>5.2907447473644389</v>
      </c>
    </row>
    <row r="3401" spans="1:6">
      <c r="A3401" s="1">
        <v>9131497</v>
      </c>
      <c r="B3401">
        <f t="shared" ca="1" si="258"/>
        <v>3.8205111334879027E-2</v>
      </c>
      <c r="C3401" s="1">
        <f t="shared" ca="1" si="257"/>
        <v>43</v>
      </c>
      <c r="D3401" s="1">
        <f t="shared" ca="1" si="259"/>
        <v>73</v>
      </c>
      <c r="E3401" s="2">
        <f t="shared" ca="1" si="260"/>
        <v>43084</v>
      </c>
      <c r="F3401" s="6">
        <f t="shared" ca="1" si="261"/>
        <v>3.2635772040832749</v>
      </c>
    </row>
    <row r="3402" spans="1:6">
      <c r="A3402" s="1">
        <v>9131500</v>
      </c>
      <c r="B3402">
        <f t="shared" ca="1" si="258"/>
        <v>0.75607894910545315</v>
      </c>
      <c r="C3402" s="1">
        <f t="shared" ca="1" si="257"/>
        <v>112</v>
      </c>
      <c r="D3402" s="1">
        <f t="shared" ca="1" si="259"/>
        <v>582</v>
      </c>
      <c r="E3402" s="2">
        <f t="shared" ca="1" si="260"/>
        <v>42958</v>
      </c>
      <c r="F3402" s="6">
        <f t="shared" ca="1" si="261"/>
        <v>163.55028463539253</v>
      </c>
    </row>
    <row r="3403" spans="1:6">
      <c r="A3403" s="1">
        <v>9131503</v>
      </c>
      <c r="B3403">
        <f t="shared" ca="1" si="258"/>
        <v>0.25825820464047211</v>
      </c>
      <c r="C3403" s="1">
        <f t="shared" ca="1" si="257"/>
        <v>50</v>
      </c>
      <c r="D3403" s="1">
        <f t="shared" ca="1" si="259"/>
        <v>415</v>
      </c>
      <c r="E3403" s="2">
        <f t="shared" ca="1" si="260"/>
        <v>43122</v>
      </c>
      <c r="F3403" s="6">
        <f t="shared" ca="1" si="261"/>
        <v>32.532535728850561</v>
      </c>
    </row>
    <row r="3404" spans="1:6">
      <c r="A3404" s="1">
        <v>9131506</v>
      </c>
      <c r="B3404">
        <f t="shared" ca="1" si="258"/>
        <v>0.3377079299190876</v>
      </c>
      <c r="C3404" s="1">
        <f t="shared" ca="1" si="257"/>
        <v>163</v>
      </c>
      <c r="D3404" s="1">
        <f t="shared" ca="1" si="259"/>
        <v>112</v>
      </c>
      <c r="E3404" s="2">
        <f t="shared" ca="1" si="260"/>
        <v>43416</v>
      </c>
      <c r="F3404" s="6">
        <f t="shared" ca="1" si="261"/>
        <v>52.087801182131159</v>
      </c>
    </row>
    <row r="3405" spans="1:6">
      <c r="A3405" s="1">
        <v>9131509</v>
      </c>
      <c r="B3405">
        <f t="shared" ca="1" si="258"/>
        <v>0.54972745970154546</v>
      </c>
      <c r="C3405" s="1">
        <f t="shared" ca="1" si="257"/>
        <v>124</v>
      </c>
      <c r="D3405" s="1">
        <f t="shared" ca="1" si="259"/>
        <v>588</v>
      </c>
      <c r="E3405" s="2">
        <f t="shared" ca="1" si="260"/>
        <v>42842</v>
      </c>
      <c r="F3405" s="6">
        <f t="shared" ca="1" si="261"/>
        <v>37.760321448989494</v>
      </c>
    </row>
    <row r="3406" spans="1:6">
      <c r="A3406" s="1">
        <v>9131512</v>
      </c>
      <c r="B3406">
        <f t="shared" ca="1" si="258"/>
        <v>7.8936580276526058E-2</v>
      </c>
      <c r="C3406" s="1">
        <f t="shared" ca="1" si="257"/>
        <v>15</v>
      </c>
      <c r="D3406" s="1">
        <f t="shared" ca="1" si="259"/>
        <v>284</v>
      </c>
      <c r="E3406" s="2">
        <f t="shared" ca="1" si="260"/>
        <v>43467</v>
      </c>
      <c r="F3406" s="6">
        <f t="shared" ca="1" si="261"/>
        <v>38.166410054932633</v>
      </c>
    </row>
    <row r="3407" spans="1:6">
      <c r="A3407" s="1">
        <v>9131515</v>
      </c>
      <c r="B3407">
        <f t="shared" ca="1" si="258"/>
        <v>0.34965618459314518</v>
      </c>
      <c r="C3407" s="1">
        <f t="shared" ca="1" si="257"/>
        <v>5</v>
      </c>
      <c r="D3407" s="1">
        <f t="shared" ca="1" si="259"/>
        <v>363</v>
      </c>
      <c r="E3407" s="2">
        <f t="shared" ca="1" si="260"/>
        <v>43162</v>
      </c>
      <c r="F3407" s="6">
        <f t="shared" ca="1" si="261"/>
        <v>5.6941532536152426</v>
      </c>
    </row>
    <row r="3408" spans="1:6">
      <c r="A3408" s="1">
        <v>9131518</v>
      </c>
      <c r="B3408">
        <f t="shared" ca="1" si="258"/>
        <v>5.3464610956026171E-2</v>
      </c>
      <c r="C3408" s="1">
        <f t="shared" ca="1" si="257"/>
        <v>29</v>
      </c>
      <c r="D3408" s="1">
        <f t="shared" ca="1" si="259"/>
        <v>514</v>
      </c>
      <c r="E3408" s="2">
        <f t="shared" ca="1" si="260"/>
        <v>43386</v>
      </c>
      <c r="F3408" s="6">
        <f t="shared" ca="1" si="261"/>
        <v>82.591606366694094</v>
      </c>
    </row>
    <row r="3409" spans="1:6">
      <c r="A3409" s="1">
        <v>9131521</v>
      </c>
      <c r="B3409">
        <f t="shared" ca="1" si="258"/>
        <v>0.528965569232418</v>
      </c>
      <c r="C3409" s="1">
        <f t="shared" ca="1" si="257"/>
        <v>7</v>
      </c>
      <c r="D3409" s="1">
        <f t="shared" ca="1" si="259"/>
        <v>138</v>
      </c>
      <c r="E3409" s="2">
        <f t="shared" ca="1" si="260"/>
        <v>43232</v>
      </c>
      <c r="F3409" s="6">
        <f t="shared" ca="1" si="261"/>
        <v>219.5243155025629</v>
      </c>
    </row>
    <row r="3410" spans="1:6">
      <c r="A3410" s="1">
        <v>9131524</v>
      </c>
      <c r="B3410">
        <f t="shared" ca="1" si="258"/>
        <v>0.78080277615401517</v>
      </c>
      <c r="C3410" s="1">
        <f t="shared" ca="1" si="257"/>
        <v>2</v>
      </c>
      <c r="D3410" s="1">
        <f t="shared" ca="1" si="259"/>
        <v>30</v>
      </c>
      <c r="E3410" s="2">
        <f t="shared" ca="1" si="260"/>
        <v>43314</v>
      </c>
      <c r="F3410" s="6">
        <f t="shared" ca="1" si="261"/>
        <v>46.301944084753643</v>
      </c>
    </row>
    <row r="3411" spans="1:6">
      <c r="A3411" s="1">
        <v>9131527</v>
      </c>
      <c r="B3411">
        <f t="shared" ca="1" si="258"/>
        <v>0.34187520034509777</v>
      </c>
      <c r="C3411" s="1">
        <f t="shared" ca="1" si="257"/>
        <v>1</v>
      </c>
      <c r="D3411" s="1">
        <f t="shared" ca="1" si="259"/>
        <v>474</v>
      </c>
      <c r="E3411" s="2">
        <f t="shared" ca="1" si="260"/>
        <v>42904</v>
      </c>
      <c r="F3411" s="6">
        <f t="shared" ca="1" si="261"/>
        <v>211.66166280739216</v>
      </c>
    </row>
    <row r="3412" spans="1:6">
      <c r="A3412" s="1">
        <v>9131530</v>
      </c>
      <c r="B3412">
        <f t="shared" ca="1" si="258"/>
        <v>0.44032833656466219</v>
      </c>
      <c r="C3412" s="1">
        <f t="shared" ca="1" si="257"/>
        <v>26</v>
      </c>
      <c r="D3412" s="1">
        <f t="shared" ca="1" si="259"/>
        <v>88</v>
      </c>
      <c r="E3412" s="2">
        <f t="shared" ca="1" si="260"/>
        <v>42935</v>
      </c>
      <c r="F3412" s="6">
        <f t="shared" ca="1" si="261"/>
        <v>22.625109990425031</v>
      </c>
    </row>
    <row r="3413" spans="1:6">
      <c r="A3413" s="1">
        <v>9131533</v>
      </c>
      <c r="B3413">
        <f t="shared" ca="1" si="258"/>
        <v>0.11977510220103105</v>
      </c>
      <c r="C3413" s="1">
        <f t="shared" ca="1" si="257"/>
        <v>1</v>
      </c>
      <c r="D3413" s="1">
        <f t="shared" ca="1" si="259"/>
        <v>474</v>
      </c>
      <c r="E3413" s="2">
        <f t="shared" ca="1" si="260"/>
        <v>42834</v>
      </c>
      <c r="F3413" s="6">
        <f t="shared" ca="1" si="261"/>
        <v>31.5920187494782</v>
      </c>
    </row>
    <row r="3414" spans="1:6">
      <c r="A3414" s="1">
        <v>9131536</v>
      </c>
      <c r="B3414">
        <f t="shared" ca="1" si="258"/>
        <v>0.68218009167565641</v>
      </c>
      <c r="C3414" s="1">
        <f t="shared" ca="1" si="257"/>
        <v>21</v>
      </c>
      <c r="D3414" s="1">
        <f t="shared" ca="1" si="259"/>
        <v>566</v>
      </c>
      <c r="E3414" s="2">
        <f t="shared" ca="1" si="260"/>
        <v>43148</v>
      </c>
      <c r="F3414" s="6">
        <f t="shared" ca="1" si="261"/>
        <v>5.1066833644517819</v>
      </c>
    </row>
    <row r="3415" spans="1:6">
      <c r="A3415" s="1">
        <v>9131539</v>
      </c>
      <c r="B3415">
        <f t="shared" ca="1" si="258"/>
        <v>0.55943292816474133</v>
      </c>
      <c r="C3415" s="1">
        <f t="shared" ca="1" si="257"/>
        <v>142</v>
      </c>
      <c r="D3415" s="1">
        <f t="shared" ca="1" si="259"/>
        <v>98</v>
      </c>
      <c r="E3415" s="2">
        <f t="shared" ca="1" si="260"/>
        <v>43038</v>
      </c>
      <c r="F3415" s="6">
        <f t="shared" ca="1" si="261"/>
        <v>18.944007278110799</v>
      </c>
    </row>
    <row r="3416" spans="1:6">
      <c r="A3416" s="1">
        <v>9131542</v>
      </c>
      <c r="B3416">
        <f t="shared" ca="1" si="258"/>
        <v>0.90492541304869945</v>
      </c>
      <c r="C3416" s="1">
        <f t="shared" ca="1" si="257"/>
        <v>128</v>
      </c>
      <c r="D3416" s="1">
        <f t="shared" ca="1" si="259"/>
        <v>317</v>
      </c>
      <c r="E3416" s="2">
        <f t="shared" ca="1" si="260"/>
        <v>42992</v>
      </c>
      <c r="F3416" s="6">
        <f t="shared" ca="1" si="261"/>
        <v>24.128742576594796</v>
      </c>
    </row>
    <row r="3417" spans="1:6">
      <c r="A3417" s="1">
        <v>9131545</v>
      </c>
      <c r="B3417">
        <f t="shared" ca="1" si="258"/>
        <v>0.20393492066230223</v>
      </c>
      <c r="C3417" s="1">
        <f t="shared" ca="1" si="257"/>
        <v>96</v>
      </c>
      <c r="D3417" s="1">
        <f t="shared" ca="1" si="259"/>
        <v>486</v>
      </c>
      <c r="E3417" s="2">
        <f t="shared" ca="1" si="260"/>
        <v>42979</v>
      </c>
      <c r="F3417" s="6">
        <f t="shared" ca="1" si="261"/>
        <v>8.9989617275208218</v>
      </c>
    </row>
    <row r="3418" spans="1:6">
      <c r="A3418" s="1">
        <v>9131548</v>
      </c>
      <c r="B3418">
        <f t="shared" ca="1" si="258"/>
        <v>0.81183060328661161</v>
      </c>
      <c r="C3418" s="1">
        <f t="shared" ca="1" si="257"/>
        <v>17</v>
      </c>
      <c r="D3418" s="1">
        <f t="shared" ca="1" si="259"/>
        <v>165</v>
      </c>
      <c r="E3418" s="2">
        <f t="shared" ca="1" si="260"/>
        <v>42749</v>
      </c>
      <c r="F3418" s="6">
        <f t="shared" ca="1" si="261"/>
        <v>18.39230979764486</v>
      </c>
    </row>
    <row r="3419" spans="1:6">
      <c r="A3419" s="1">
        <v>9131551</v>
      </c>
      <c r="B3419">
        <f t="shared" ca="1" si="258"/>
        <v>0.31074473982427908</v>
      </c>
      <c r="C3419" s="1">
        <f t="shared" ref="C3419:C3482" ca="1" si="262">ROUND(_xlfn.GAMMA.INV(RAND(),$J$11,$J$12)*100,0)+1</f>
        <v>71</v>
      </c>
      <c r="D3419" s="1">
        <f t="shared" ca="1" si="259"/>
        <v>281</v>
      </c>
      <c r="E3419" s="2">
        <f t="shared" ca="1" si="260"/>
        <v>43296</v>
      </c>
      <c r="F3419" s="6">
        <f t="shared" ca="1" si="261"/>
        <v>5.0973721938658496</v>
      </c>
    </row>
    <row r="3420" spans="1:6">
      <c r="A3420" s="1">
        <v>9131554</v>
      </c>
      <c r="B3420">
        <f t="shared" ca="1" si="258"/>
        <v>0.10714791544913571</v>
      </c>
      <c r="C3420" s="1">
        <f t="shared" ca="1" si="262"/>
        <v>119</v>
      </c>
      <c r="D3420" s="1">
        <f t="shared" ca="1" si="259"/>
        <v>184</v>
      </c>
      <c r="E3420" s="2">
        <f t="shared" ca="1" si="260"/>
        <v>43274</v>
      </c>
      <c r="F3420" s="6">
        <f t="shared" ca="1" si="261"/>
        <v>7.2790762782840952</v>
      </c>
    </row>
    <row r="3421" spans="1:6">
      <c r="A3421" s="1">
        <v>9131557</v>
      </c>
      <c r="B3421">
        <f t="shared" ca="1" si="258"/>
        <v>0.17977272042570125</v>
      </c>
      <c r="C3421" s="1">
        <f t="shared" ca="1" si="262"/>
        <v>1</v>
      </c>
      <c r="D3421" s="1">
        <f t="shared" ca="1" si="259"/>
        <v>474</v>
      </c>
      <c r="E3421" s="2">
        <f t="shared" ca="1" si="260"/>
        <v>43490</v>
      </c>
      <c r="F3421" s="6">
        <f t="shared" ca="1" si="261"/>
        <v>33.42359127321776</v>
      </c>
    </row>
    <row r="3422" spans="1:6">
      <c r="A3422" s="1">
        <v>9131560</v>
      </c>
      <c r="B3422">
        <f t="shared" ca="1" si="258"/>
        <v>0.90220824352280138</v>
      </c>
      <c r="C3422" s="1">
        <f t="shared" ca="1" si="262"/>
        <v>79</v>
      </c>
      <c r="D3422" s="1">
        <f t="shared" ca="1" si="259"/>
        <v>547</v>
      </c>
      <c r="E3422" s="2">
        <f t="shared" ca="1" si="260"/>
        <v>43392</v>
      </c>
      <c r="F3422" s="6">
        <f t="shared" ca="1" si="261"/>
        <v>3.0630509004658029</v>
      </c>
    </row>
    <row r="3423" spans="1:6">
      <c r="A3423" s="1">
        <v>9131563</v>
      </c>
      <c r="B3423">
        <f t="shared" ca="1" si="258"/>
        <v>0.55096210804985124</v>
      </c>
      <c r="C3423" s="1">
        <f t="shared" ca="1" si="262"/>
        <v>27</v>
      </c>
      <c r="D3423" s="1">
        <f t="shared" ca="1" si="259"/>
        <v>398</v>
      </c>
      <c r="E3423" s="2">
        <f t="shared" ca="1" si="260"/>
        <v>43431</v>
      </c>
      <c r="F3423" s="6">
        <f t="shared" ca="1" si="261"/>
        <v>50.21226238172455</v>
      </c>
    </row>
    <row r="3424" spans="1:6">
      <c r="A3424" s="1">
        <v>9131566</v>
      </c>
      <c r="B3424">
        <f t="shared" ca="1" si="258"/>
        <v>0.88732498367027102</v>
      </c>
      <c r="C3424" s="1">
        <f t="shared" ca="1" si="262"/>
        <v>86</v>
      </c>
      <c r="D3424" s="1">
        <f t="shared" ca="1" si="259"/>
        <v>526</v>
      </c>
      <c r="E3424" s="2">
        <f t="shared" ca="1" si="260"/>
        <v>43101</v>
      </c>
      <c r="F3424" s="6">
        <f t="shared" ca="1" si="261"/>
        <v>30.801843724576219</v>
      </c>
    </row>
    <row r="3425" spans="1:6">
      <c r="A3425" s="1">
        <v>9131569</v>
      </c>
      <c r="B3425">
        <f t="shared" ca="1" si="258"/>
        <v>0.35091284272782164</v>
      </c>
      <c r="C3425" s="1">
        <f t="shared" ca="1" si="262"/>
        <v>10</v>
      </c>
      <c r="D3425" s="1">
        <f t="shared" ca="1" si="259"/>
        <v>236</v>
      </c>
      <c r="E3425" s="2">
        <f t="shared" ca="1" si="260"/>
        <v>43043</v>
      </c>
      <c r="F3425" s="6">
        <f t="shared" ca="1" si="261"/>
        <v>71.942526779045124</v>
      </c>
    </row>
    <row r="3426" spans="1:6">
      <c r="A3426" s="1">
        <v>9131572</v>
      </c>
      <c r="B3426">
        <f t="shared" ca="1" si="258"/>
        <v>1.5724284071378158E-2</v>
      </c>
      <c r="C3426" s="1">
        <f t="shared" ca="1" si="262"/>
        <v>44</v>
      </c>
      <c r="D3426" s="1">
        <f t="shared" ca="1" si="259"/>
        <v>427</v>
      </c>
      <c r="E3426" s="2">
        <f t="shared" ca="1" si="260"/>
        <v>43013</v>
      </c>
      <c r="F3426" s="6">
        <f t="shared" ca="1" si="261"/>
        <v>187.9836783625253</v>
      </c>
    </row>
    <row r="3427" spans="1:6">
      <c r="A3427" s="1">
        <v>9131575</v>
      </c>
      <c r="B3427">
        <f t="shared" ca="1" si="258"/>
        <v>2.4658483950178556E-2</v>
      </c>
      <c r="C3427" s="1">
        <f t="shared" ca="1" si="262"/>
        <v>2</v>
      </c>
      <c r="D3427" s="1">
        <f t="shared" ca="1" si="259"/>
        <v>30</v>
      </c>
      <c r="E3427" s="2">
        <f t="shared" ca="1" si="260"/>
        <v>43363</v>
      </c>
      <c r="F3427" s="6">
        <f t="shared" ca="1" si="261"/>
        <v>372.47456434545126</v>
      </c>
    </row>
    <row r="3428" spans="1:6">
      <c r="A3428" s="1">
        <v>9131578</v>
      </c>
      <c r="B3428">
        <f t="shared" ca="1" si="258"/>
        <v>0.70269400052672892</v>
      </c>
      <c r="C3428" s="1">
        <f t="shared" ca="1" si="262"/>
        <v>17</v>
      </c>
      <c r="D3428" s="1">
        <f t="shared" ca="1" si="259"/>
        <v>165</v>
      </c>
      <c r="E3428" s="2">
        <f t="shared" ca="1" si="260"/>
        <v>43374</v>
      </c>
      <c r="F3428" s="6">
        <f t="shared" ca="1" si="261"/>
        <v>184.79040292069871</v>
      </c>
    </row>
    <row r="3429" spans="1:6">
      <c r="A3429" s="1">
        <v>9131581</v>
      </c>
      <c r="B3429">
        <f t="shared" ca="1" si="258"/>
        <v>0.81147978227462725</v>
      </c>
      <c r="C3429" s="1">
        <f t="shared" ca="1" si="262"/>
        <v>31</v>
      </c>
      <c r="D3429" s="1">
        <f t="shared" ca="1" si="259"/>
        <v>535</v>
      </c>
      <c r="E3429" s="2">
        <f t="shared" ca="1" si="260"/>
        <v>43372</v>
      </c>
      <c r="F3429" s="6">
        <f t="shared" ca="1" si="261"/>
        <v>129.21569495113718</v>
      </c>
    </row>
    <row r="3430" spans="1:6">
      <c r="A3430" s="1">
        <v>9131584</v>
      </c>
      <c r="B3430">
        <f t="shared" ca="1" si="258"/>
        <v>0.47865426391705546</v>
      </c>
      <c r="C3430" s="1">
        <f t="shared" ca="1" si="262"/>
        <v>51</v>
      </c>
      <c r="D3430" s="1">
        <f t="shared" ca="1" si="259"/>
        <v>93</v>
      </c>
      <c r="E3430" s="2">
        <f t="shared" ca="1" si="260"/>
        <v>43286</v>
      </c>
      <c r="F3430" s="6">
        <f t="shared" ca="1" si="261"/>
        <v>172.84788835840371</v>
      </c>
    </row>
    <row r="3431" spans="1:6">
      <c r="A3431" s="1">
        <v>9131587</v>
      </c>
      <c r="B3431">
        <f t="shared" ca="1" si="258"/>
        <v>7.9491878144273054E-2</v>
      </c>
      <c r="C3431" s="1">
        <f t="shared" ca="1" si="262"/>
        <v>5</v>
      </c>
      <c r="D3431" s="1">
        <f t="shared" ca="1" si="259"/>
        <v>363</v>
      </c>
      <c r="E3431" s="2">
        <f t="shared" ca="1" si="260"/>
        <v>42802</v>
      </c>
      <c r="F3431" s="6">
        <f t="shared" ca="1" si="261"/>
        <v>4.8508591591783139</v>
      </c>
    </row>
    <row r="3432" spans="1:6">
      <c r="A3432" s="1">
        <v>9131590</v>
      </c>
      <c r="B3432">
        <f t="shared" ca="1" si="258"/>
        <v>0.93985927890299159</v>
      </c>
      <c r="C3432" s="1">
        <f t="shared" ca="1" si="262"/>
        <v>49</v>
      </c>
      <c r="D3432" s="1">
        <f t="shared" ca="1" si="259"/>
        <v>26</v>
      </c>
      <c r="E3432" s="2">
        <f t="shared" ca="1" si="260"/>
        <v>42809</v>
      </c>
      <c r="F3432" s="6">
        <f t="shared" ca="1" si="261"/>
        <v>6.5105243758320768</v>
      </c>
    </row>
    <row r="3433" spans="1:6">
      <c r="A3433" s="1">
        <v>9131593</v>
      </c>
      <c r="B3433">
        <f t="shared" ca="1" si="258"/>
        <v>5.8877976818759392E-2</v>
      </c>
      <c r="C3433" s="1">
        <f t="shared" ca="1" si="262"/>
        <v>19</v>
      </c>
      <c r="D3433" s="1">
        <f t="shared" ca="1" si="259"/>
        <v>42</v>
      </c>
      <c r="E3433" s="2">
        <f t="shared" ca="1" si="260"/>
        <v>42893</v>
      </c>
      <c r="F3433" s="6">
        <f t="shared" ca="1" si="261"/>
        <v>9.5153219766914656</v>
      </c>
    </row>
    <row r="3434" spans="1:6">
      <c r="A3434" s="1">
        <v>9131596</v>
      </c>
      <c r="B3434">
        <f t="shared" ca="1" si="258"/>
        <v>0.90667185175754617</v>
      </c>
      <c r="C3434" s="1">
        <f t="shared" ca="1" si="262"/>
        <v>13</v>
      </c>
      <c r="D3434" s="1">
        <f t="shared" ca="1" si="259"/>
        <v>80</v>
      </c>
      <c r="E3434" s="2">
        <f t="shared" ca="1" si="260"/>
        <v>42857</v>
      </c>
      <c r="F3434" s="6">
        <f t="shared" ca="1" si="261"/>
        <v>71.42138204353941</v>
      </c>
    </row>
    <row r="3435" spans="1:6">
      <c r="A3435" s="1">
        <v>9131599</v>
      </c>
      <c r="B3435">
        <f t="shared" ca="1" si="258"/>
        <v>0.9911733032911747</v>
      </c>
      <c r="C3435" s="1">
        <f t="shared" ca="1" si="262"/>
        <v>97</v>
      </c>
      <c r="D3435" s="1">
        <f t="shared" ca="1" si="259"/>
        <v>460</v>
      </c>
      <c r="E3435" s="2">
        <f t="shared" ca="1" si="260"/>
        <v>42909</v>
      </c>
      <c r="F3435" s="6">
        <f t="shared" ca="1" si="261"/>
        <v>70.843378441613083</v>
      </c>
    </row>
    <row r="3436" spans="1:6">
      <c r="A3436" s="1">
        <v>9131602</v>
      </c>
      <c r="B3436">
        <f t="shared" ca="1" si="258"/>
        <v>0.15525162186460317</v>
      </c>
      <c r="C3436" s="1">
        <f t="shared" ca="1" si="262"/>
        <v>13</v>
      </c>
      <c r="D3436" s="1">
        <f t="shared" ca="1" si="259"/>
        <v>80</v>
      </c>
      <c r="E3436" s="2">
        <f t="shared" ca="1" si="260"/>
        <v>42837</v>
      </c>
      <c r="F3436" s="6">
        <f t="shared" ca="1" si="261"/>
        <v>6.0217147365308001</v>
      </c>
    </row>
    <row r="3437" spans="1:6">
      <c r="A3437" s="1">
        <v>9131605</v>
      </c>
      <c r="B3437">
        <f t="shared" ca="1" si="258"/>
        <v>0.83284130226692277</v>
      </c>
      <c r="C3437" s="1">
        <f t="shared" ca="1" si="262"/>
        <v>121</v>
      </c>
      <c r="D3437" s="1">
        <f t="shared" ca="1" si="259"/>
        <v>243</v>
      </c>
      <c r="E3437" s="2">
        <f t="shared" ca="1" si="260"/>
        <v>43243</v>
      </c>
      <c r="F3437" s="6">
        <f t="shared" ca="1" si="261"/>
        <v>4.4367628731350575</v>
      </c>
    </row>
    <row r="3438" spans="1:6">
      <c r="A3438" s="1">
        <v>9131608</v>
      </c>
      <c r="B3438">
        <f t="shared" ca="1" si="258"/>
        <v>4.9244097356744954E-2</v>
      </c>
      <c r="C3438" s="1">
        <f t="shared" ca="1" si="262"/>
        <v>2</v>
      </c>
      <c r="D3438" s="1">
        <f t="shared" ca="1" si="259"/>
        <v>30</v>
      </c>
      <c r="E3438" s="2">
        <f t="shared" ca="1" si="260"/>
        <v>43494</v>
      </c>
      <c r="F3438" s="6">
        <f t="shared" ca="1" si="261"/>
        <v>4.6605474282340502</v>
      </c>
    </row>
    <row r="3439" spans="1:6">
      <c r="A3439" s="1">
        <v>9131611</v>
      </c>
      <c r="B3439">
        <f t="shared" ca="1" si="258"/>
        <v>0.40564325961030423</v>
      </c>
      <c r="C3439" s="1">
        <f t="shared" ca="1" si="262"/>
        <v>143</v>
      </c>
      <c r="D3439" s="1">
        <f t="shared" ca="1" si="259"/>
        <v>438</v>
      </c>
      <c r="E3439" s="2">
        <f t="shared" ca="1" si="260"/>
        <v>43268</v>
      </c>
      <c r="F3439" s="6">
        <f t="shared" ca="1" si="261"/>
        <v>91.871266852861581</v>
      </c>
    </row>
    <row r="3440" spans="1:6">
      <c r="A3440" s="1">
        <v>9131614</v>
      </c>
      <c r="B3440">
        <f t="shared" ca="1" si="258"/>
        <v>0.91581564535683935</v>
      </c>
      <c r="C3440" s="1">
        <f t="shared" ca="1" si="262"/>
        <v>28</v>
      </c>
      <c r="D3440" s="1">
        <f t="shared" ca="1" si="259"/>
        <v>401</v>
      </c>
      <c r="E3440" s="2">
        <f t="shared" ca="1" si="260"/>
        <v>43390</v>
      </c>
      <c r="F3440" s="6">
        <f t="shared" ca="1" si="261"/>
        <v>24.411003127016738</v>
      </c>
    </row>
    <row r="3441" spans="1:6">
      <c r="A3441" s="1">
        <v>9131617</v>
      </c>
      <c r="B3441">
        <f t="shared" ca="1" si="258"/>
        <v>0.84733762820247727</v>
      </c>
      <c r="C3441" s="1">
        <f t="shared" ca="1" si="262"/>
        <v>73</v>
      </c>
      <c r="D3441" s="1">
        <f t="shared" ca="1" si="259"/>
        <v>591</v>
      </c>
      <c r="E3441" s="2">
        <f t="shared" ca="1" si="260"/>
        <v>42786</v>
      </c>
      <c r="F3441" s="6">
        <f t="shared" ca="1" si="261"/>
        <v>123.98513958377428</v>
      </c>
    </row>
    <row r="3442" spans="1:6">
      <c r="A3442" s="1">
        <v>9131620</v>
      </c>
      <c r="B3442">
        <f t="shared" ca="1" si="258"/>
        <v>0.74559776725593618</v>
      </c>
      <c r="C3442" s="1">
        <f t="shared" ca="1" si="262"/>
        <v>1</v>
      </c>
      <c r="D3442" s="1">
        <f t="shared" ca="1" si="259"/>
        <v>474</v>
      </c>
      <c r="E3442" s="2">
        <f t="shared" ca="1" si="260"/>
        <v>42885</v>
      </c>
      <c r="F3442" s="6">
        <f t="shared" ca="1" si="261"/>
        <v>3.2647895867130878</v>
      </c>
    </row>
    <row r="3443" spans="1:6">
      <c r="A3443" s="1">
        <v>9131623</v>
      </c>
      <c r="B3443">
        <f t="shared" ca="1" si="258"/>
        <v>0.20365953321638297</v>
      </c>
      <c r="C3443" s="1">
        <f t="shared" ca="1" si="262"/>
        <v>31</v>
      </c>
      <c r="D3443" s="1">
        <f t="shared" ca="1" si="259"/>
        <v>535</v>
      </c>
      <c r="E3443" s="2">
        <f t="shared" ca="1" si="260"/>
        <v>42893</v>
      </c>
      <c r="F3443" s="6">
        <f t="shared" ca="1" si="261"/>
        <v>138.24854368134646</v>
      </c>
    </row>
    <row r="3444" spans="1:6">
      <c r="A3444" s="1">
        <v>9131626</v>
      </c>
      <c r="B3444">
        <f t="shared" ca="1" si="258"/>
        <v>0.99698696612739324</v>
      </c>
      <c r="C3444" s="1">
        <f t="shared" ca="1" si="262"/>
        <v>15</v>
      </c>
      <c r="D3444" s="1">
        <f t="shared" ca="1" si="259"/>
        <v>284</v>
      </c>
      <c r="E3444" s="2">
        <f t="shared" ca="1" si="260"/>
        <v>43425</v>
      </c>
      <c r="F3444" s="6">
        <f t="shared" ca="1" si="261"/>
        <v>66.989143653716809</v>
      </c>
    </row>
    <row r="3445" spans="1:6">
      <c r="A3445" s="1">
        <v>9131629</v>
      </c>
      <c r="B3445">
        <f t="shared" ca="1" si="258"/>
        <v>0.64880071891238067</v>
      </c>
      <c r="C3445" s="1">
        <f t="shared" ca="1" si="262"/>
        <v>1</v>
      </c>
      <c r="D3445" s="1">
        <f t="shared" ca="1" si="259"/>
        <v>474</v>
      </c>
      <c r="E3445" s="2">
        <f t="shared" ca="1" si="260"/>
        <v>43343</v>
      </c>
      <c r="F3445" s="6">
        <f t="shared" ca="1" si="261"/>
        <v>11.058363321757128</v>
      </c>
    </row>
    <row r="3446" spans="1:6">
      <c r="A3446" s="1">
        <v>9131632</v>
      </c>
      <c r="B3446">
        <f t="shared" ca="1" si="258"/>
        <v>0.70392809031527082</v>
      </c>
      <c r="C3446" s="1">
        <f t="shared" ca="1" si="262"/>
        <v>7</v>
      </c>
      <c r="D3446" s="1">
        <f t="shared" ca="1" si="259"/>
        <v>138</v>
      </c>
      <c r="E3446" s="2">
        <f t="shared" ca="1" si="260"/>
        <v>42799</v>
      </c>
      <c r="F3446" s="6">
        <f t="shared" ca="1" si="261"/>
        <v>10.986427138272806</v>
      </c>
    </row>
    <row r="3447" spans="1:6">
      <c r="A3447" s="1">
        <v>9131635</v>
      </c>
      <c r="B3447">
        <f t="shared" ca="1" si="258"/>
        <v>0.583453214206613</v>
      </c>
      <c r="C3447" s="1">
        <f t="shared" ca="1" si="262"/>
        <v>6</v>
      </c>
      <c r="D3447" s="1">
        <f t="shared" ca="1" si="259"/>
        <v>208</v>
      </c>
      <c r="E3447" s="2">
        <f t="shared" ca="1" si="260"/>
        <v>43106</v>
      </c>
      <c r="F3447" s="6">
        <f t="shared" ca="1" si="261"/>
        <v>21.944741292519659</v>
      </c>
    </row>
    <row r="3448" spans="1:6">
      <c r="A3448" s="1">
        <v>9131638</v>
      </c>
      <c r="B3448">
        <f t="shared" ca="1" si="258"/>
        <v>0.83892481303136568</v>
      </c>
      <c r="C3448" s="1">
        <f t="shared" ca="1" si="262"/>
        <v>7</v>
      </c>
      <c r="D3448" s="1">
        <f t="shared" ca="1" si="259"/>
        <v>138</v>
      </c>
      <c r="E3448" s="2">
        <f t="shared" ca="1" si="260"/>
        <v>42755</v>
      </c>
      <c r="F3448" s="6">
        <f t="shared" ca="1" si="261"/>
        <v>75.167102195460828</v>
      </c>
    </row>
    <row r="3449" spans="1:6">
      <c r="A3449" s="1">
        <v>9131641</v>
      </c>
      <c r="B3449">
        <f t="shared" ca="1" si="258"/>
        <v>0.77189481715033015</v>
      </c>
      <c r="C3449" s="1">
        <f t="shared" ca="1" si="262"/>
        <v>29</v>
      </c>
      <c r="D3449" s="1">
        <f t="shared" ca="1" si="259"/>
        <v>514</v>
      </c>
      <c r="E3449" s="2">
        <f t="shared" ca="1" si="260"/>
        <v>42823</v>
      </c>
      <c r="F3449" s="6">
        <f t="shared" ca="1" si="261"/>
        <v>17.378621290265531</v>
      </c>
    </row>
    <row r="3450" spans="1:6">
      <c r="A3450" s="1">
        <v>9131644</v>
      </c>
      <c r="B3450">
        <f t="shared" ca="1" si="258"/>
        <v>0.88288413432792645</v>
      </c>
      <c r="C3450" s="1">
        <f t="shared" ca="1" si="262"/>
        <v>1</v>
      </c>
      <c r="D3450" s="1">
        <f t="shared" ca="1" si="259"/>
        <v>474</v>
      </c>
      <c r="E3450" s="2">
        <f t="shared" ca="1" si="260"/>
        <v>43114</v>
      </c>
      <c r="F3450" s="6">
        <f t="shared" ca="1" si="261"/>
        <v>3.5535568407991258</v>
      </c>
    </row>
    <row r="3451" spans="1:6">
      <c r="A3451" s="1">
        <v>9131647</v>
      </c>
      <c r="B3451">
        <f t="shared" ca="1" si="258"/>
        <v>0.94671861942859026</v>
      </c>
      <c r="C3451" s="1">
        <f t="shared" ca="1" si="262"/>
        <v>13</v>
      </c>
      <c r="D3451" s="1">
        <f t="shared" ca="1" si="259"/>
        <v>80</v>
      </c>
      <c r="E3451" s="2">
        <f t="shared" ca="1" si="260"/>
        <v>43239</v>
      </c>
      <c r="F3451" s="6">
        <f t="shared" ca="1" si="261"/>
        <v>5.4698823841184012</v>
      </c>
    </row>
    <row r="3452" spans="1:6">
      <c r="A3452" s="1">
        <v>9131650</v>
      </c>
      <c r="B3452">
        <f t="shared" ca="1" si="258"/>
        <v>0.10225863818695302</v>
      </c>
      <c r="C3452" s="1">
        <f t="shared" ca="1" si="262"/>
        <v>1</v>
      </c>
      <c r="D3452" s="1">
        <f t="shared" ca="1" si="259"/>
        <v>474</v>
      </c>
      <c r="E3452" s="2">
        <f t="shared" ca="1" si="260"/>
        <v>43467</v>
      </c>
      <c r="F3452" s="6">
        <f t="shared" ca="1" si="261"/>
        <v>12.940998674784776</v>
      </c>
    </row>
    <row r="3453" spans="1:6">
      <c r="A3453" s="1">
        <v>9131653</v>
      </c>
      <c r="B3453">
        <f t="shared" ref="B3453:B3515" ca="1" si="263">RAND()</f>
        <v>0.59079002074967235</v>
      </c>
      <c r="C3453" s="1">
        <f t="shared" ca="1" si="262"/>
        <v>130</v>
      </c>
      <c r="D3453" s="1">
        <f t="shared" ref="D3453:D3515" ca="1" si="264">VLOOKUP(SMALL($B$2:$B$601,C3453),$B$2:$C$601,2,FALSE)</f>
        <v>385</v>
      </c>
      <c r="E3453" s="2">
        <f t="shared" ca="1" si="260"/>
        <v>42905</v>
      </c>
      <c r="F3453" s="6">
        <f t="shared" ca="1" si="261"/>
        <v>44.891306429379192</v>
      </c>
    </row>
    <row r="3454" spans="1:6">
      <c r="A3454" s="1">
        <v>9131656</v>
      </c>
      <c r="B3454">
        <f t="shared" ca="1" si="263"/>
        <v>0.79652108044986425</v>
      </c>
      <c r="C3454" s="1">
        <f t="shared" ca="1" si="262"/>
        <v>68</v>
      </c>
      <c r="D3454" s="1">
        <f t="shared" ca="1" si="264"/>
        <v>467</v>
      </c>
      <c r="E3454" s="2">
        <f t="shared" ca="1" si="260"/>
        <v>42857</v>
      </c>
      <c r="F3454" s="6">
        <f t="shared" ca="1" si="261"/>
        <v>3.038275936537548</v>
      </c>
    </row>
    <row r="3455" spans="1:6">
      <c r="A3455" s="1">
        <v>9131659</v>
      </c>
      <c r="B3455">
        <f t="shared" ca="1" si="263"/>
        <v>0.90754737834415211</v>
      </c>
      <c r="C3455" s="1">
        <f t="shared" ca="1" si="262"/>
        <v>6</v>
      </c>
      <c r="D3455" s="1">
        <f t="shared" ca="1" si="264"/>
        <v>208</v>
      </c>
      <c r="E3455" s="2">
        <f t="shared" ca="1" si="260"/>
        <v>43089</v>
      </c>
      <c r="F3455" s="6">
        <f t="shared" ca="1" si="261"/>
        <v>8.3402251183644118</v>
      </c>
    </row>
    <row r="3456" spans="1:6">
      <c r="A3456" s="1">
        <v>9131662</v>
      </c>
      <c r="B3456">
        <f t="shared" ca="1" si="263"/>
        <v>0.32597915485415307</v>
      </c>
      <c r="C3456" s="1">
        <f t="shared" ca="1" si="262"/>
        <v>270</v>
      </c>
      <c r="D3456" s="1">
        <f t="shared" ca="1" si="264"/>
        <v>335</v>
      </c>
      <c r="E3456" s="2">
        <f t="shared" ca="1" si="260"/>
        <v>43211</v>
      </c>
      <c r="F3456" s="6">
        <f t="shared" ca="1" si="261"/>
        <v>5.1815102535330908</v>
      </c>
    </row>
    <row r="3457" spans="1:6">
      <c r="A3457" s="1">
        <v>9131665</v>
      </c>
      <c r="B3457">
        <f t="shared" ca="1" si="263"/>
        <v>0.68870338585990665</v>
      </c>
      <c r="C3457" s="1">
        <f t="shared" ca="1" si="262"/>
        <v>51</v>
      </c>
      <c r="D3457" s="1">
        <f t="shared" ca="1" si="264"/>
        <v>93</v>
      </c>
      <c r="E3457" s="2">
        <f t="shared" ca="1" si="260"/>
        <v>42794</v>
      </c>
      <c r="F3457" s="6">
        <f t="shared" ca="1" si="261"/>
        <v>6.1369414935972841</v>
      </c>
    </row>
    <row r="3458" spans="1:6">
      <c r="A3458" s="1">
        <v>9131668</v>
      </c>
      <c r="B3458">
        <f t="shared" ca="1" si="263"/>
        <v>0.59405081382034952</v>
      </c>
      <c r="C3458" s="1">
        <f t="shared" ca="1" si="262"/>
        <v>16</v>
      </c>
      <c r="D3458" s="1">
        <f t="shared" ca="1" si="264"/>
        <v>465</v>
      </c>
      <c r="E3458" s="2">
        <f t="shared" ca="1" si="260"/>
        <v>43478</v>
      </c>
      <c r="F3458" s="6">
        <f t="shared" ca="1" si="261"/>
        <v>4.1183142786701215</v>
      </c>
    </row>
    <row r="3459" spans="1:6">
      <c r="A3459" s="1">
        <v>9131671</v>
      </c>
      <c r="B3459">
        <f t="shared" ca="1" si="263"/>
        <v>0.82200314773050709</v>
      </c>
      <c r="C3459" s="1">
        <f t="shared" ca="1" si="262"/>
        <v>45</v>
      </c>
      <c r="D3459" s="1">
        <f t="shared" ca="1" si="264"/>
        <v>482</v>
      </c>
      <c r="E3459" s="2">
        <f t="shared" ref="E3459:E3522" ca="1" si="265">RANDBETWEEN("1/1/17","2/1/19")</f>
        <v>43137</v>
      </c>
      <c r="F3459" s="6">
        <f t="shared" ref="F3459:F3522" ca="1" si="266">_xlfn.GAMMA.INV(RAND(),$J$6,$J$7)*100+3</f>
        <v>58.482641250294684</v>
      </c>
    </row>
    <row r="3460" spans="1:6">
      <c r="A3460" s="1">
        <v>9131674</v>
      </c>
      <c r="B3460">
        <f t="shared" ca="1" si="263"/>
        <v>0.46518110662193946</v>
      </c>
      <c r="C3460" s="1">
        <f t="shared" ca="1" si="262"/>
        <v>77</v>
      </c>
      <c r="D3460" s="1">
        <f t="shared" ca="1" si="264"/>
        <v>552</v>
      </c>
      <c r="E3460" s="2">
        <f t="shared" ca="1" si="265"/>
        <v>43306</v>
      </c>
      <c r="F3460" s="6">
        <f t="shared" ca="1" si="266"/>
        <v>3.7620199658832303</v>
      </c>
    </row>
    <row r="3461" spans="1:6">
      <c r="A3461" s="1">
        <v>9131677</v>
      </c>
      <c r="B3461">
        <f t="shared" ca="1" si="263"/>
        <v>0.98700019238694736</v>
      </c>
      <c r="C3461" s="1">
        <f t="shared" ca="1" si="262"/>
        <v>39</v>
      </c>
      <c r="D3461" s="1">
        <f t="shared" ca="1" si="264"/>
        <v>402</v>
      </c>
      <c r="E3461" s="2">
        <f t="shared" ca="1" si="265"/>
        <v>43309</v>
      </c>
      <c r="F3461" s="6">
        <f t="shared" ca="1" si="266"/>
        <v>3.3637405935556504</v>
      </c>
    </row>
    <row r="3462" spans="1:6">
      <c r="A3462" s="1">
        <v>9131680</v>
      </c>
      <c r="B3462">
        <f t="shared" ca="1" si="263"/>
        <v>0.43220994823019721</v>
      </c>
      <c r="C3462" s="1">
        <f t="shared" ca="1" si="262"/>
        <v>7</v>
      </c>
      <c r="D3462" s="1">
        <f t="shared" ca="1" si="264"/>
        <v>138</v>
      </c>
      <c r="E3462" s="2">
        <f t="shared" ca="1" si="265"/>
        <v>42864</v>
      </c>
      <c r="F3462" s="6">
        <f t="shared" ca="1" si="266"/>
        <v>3.5609673517539684</v>
      </c>
    </row>
    <row r="3463" spans="1:6">
      <c r="A3463" s="1">
        <v>9131683</v>
      </c>
      <c r="B3463">
        <f t="shared" ca="1" si="263"/>
        <v>0.28127037848806724</v>
      </c>
      <c r="C3463" s="1">
        <f t="shared" ca="1" si="262"/>
        <v>226</v>
      </c>
      <c r="D3463" s="1">
        <f t="shared" ca="1" si="264"/>
        <v>383</v>
      </c>
      <c r="E3463" s="2">
        <f t="shared" ca="1" si="265"/>
        <v>43155</v>
      </c>
      <c r="F3463" s="6">
        <f t="shared" ca="1" si="266"/>
        <v>5.5681946443012809</v>
      </c>
    </row>
    <row r="3464" spans="1:6">
      <c r="A3464" s="1">
        <v>9131686</v>
      </c>
      <c r="B3464">
        <f t="shared" ca="1" si="263"/>
        <v>7.3933181794105129E-2</v>
      </c>
      <c r="C3464" s="1">
        <f t="shared" ca="1" si="262"/>
        <v>274</v>
      </c>
      <c r="D3464" s="1">
        <f t="shared" ca="1" si="264"/>
        <v>564</v>
      </c>
      <c r="E3464" s="2">
        <f t="shared" ca="1" si="265"/>
        <v>43050</v>
      </c>
      <c r="F3464" s="6">
        <f t="shared" ca="1" si="266"/>
        <v>148.0587756737375</v>
      </c>
    </row>
    <row r="3465" spans="1:6">
      <c r="A3465" s="1">
        <v>9131689</v>
      </c>
      <c r="B3465">
        <f t="shared" ca="1" si="263"/>
        <v>0.99389245062070553</v>
      </c>
      <c r="C3465" s="1">
        <f t="shared" ca="1" si="262"/>
        <v>18</v>
      </c>
      <c r="D3465" s="1">
        <f t="shared" ca="1" si="264"/>
        <v>511</v>
      </c>
      <c r="E3465" s="2">
        <f t="shared" ca="1" si="265"/>
        <v>43482</v>
      </c>
      <c r="F3465" s="6">
        <f t="shared" ca="1" si="266"/>
        <v>103.01060563489672</v>
      </c>
    </row>
    <row r="3466" spans="1:6">
      <c r="A3466" s="1">
        <v>9131692</v>
      </c>
      <c r="B3466">
        <f t="shared" ca="1" si="263"/>
        <v>0.55574565169796197</v>
      </c>
      <c r="C3466" s="1">
        <f t="shared" ca="1" si="262"/>
        <v>2</v>
      </c>
      <c r="D3466" s="1">
        <f t="shared" ca="1" si="264"/>
        <v>30</v>
      </c>
      <c r="E3466" s="2">
        <f t="shared" ca="1" si="265"/>
        <v>42809</v>
      </c>
      <c r="F3466" s="6">
        <f t="shared" ca="1" si="266"/>
        <v>25.696459971178435</v>
      </c>
    </row>
    <row r="3467" spans="1:6">
      <c r="A3467" s="1">
        <v>9131695</v>
      </c>
      <c r="B3467">
        <f t="shared" ca="1" si="263"/>
        <v>0.16607309622688582</v>
      </c>
      <c r="C3467" s="1">
        <f t="shared" ca="1" si="262"/>
        <v>1</v>
      </c>
      <c r="D3467" s="1">
        <f t="shared" ca="1" si="264"/>
        <v>474</v>
      </c>
      <c r="E3467" s="2">
        <f t="shared" ca="1" si="265"/>
        <v>42751</v>
      </c>
      <c r="F3467" s="6">
        <f t="shared" ca="1" si="266"/>
        <v>14.297997725593763</v>
      </c>
    </row>
    <row r="3468" spans="1:6">
      <c r="A3468" s="1">
        <v>9131698</v>
      </c>
      <c r="B3468">
        <f t="shared" ca="1" si="263"/>
        <v>0.84028113851018182</v>
      </c>
      <c r="C3468" s="1">
        <f t="shared" ca="1" si="262"/>
        <v>31</v>
      </c>
      <c r="D3468" s="1">
        <f t="shared" ca="1" si="264"/>
        <v>535</v>
      </c>
      <c r="E3468" s="2">
        <f t="shared" ca="1" si="265"/>
        <v>43177</v>
      </c>
      <c r="F3468" s="6">
        <f t="shared" ca="1" si="266"/>
        <v>43.665100571824247</v>
      </c>
    </row>
    <row r="3469" spans="1:6">
      <c r="A3469" s="1">
        <v>9131701</v>
      </c>
      <c r="B3469">
        <f t="shared" ca="1" si="263"/>
        <v>0.41701680398970098</v>
      </c>
      <c r="C3469" s="1">
        <f t="shared" ca="1" si="262"/>
        <v>52</v>
      </c>
      <c r="D3469" s="1">
        <f t="shared" ca="1" si="264"/>
        <v>574</v>
      </c>
      <c r="E3469" s="2">
        <f t="shared" ca="1" si="265"/>
        <v>42949</v>
      </c>
      <c r="F3469" s="6">
        <f t="shared" ca="1" si="266"/>
        <v>26.221604001057695</v>
      </c>
    </row>
    <row r="3470" spans="1:6">
      <c r="A3470" s="1">
        <v>9131704</v>
      </c>
      <c r="B3470">
        <f t="shared" ca="1" si="263"/>
        <v>0.85372104031159557</v>
      </c>
      <c r="C3470" s="1">
        <f t="shared" ca="1" si="262"/>
        <v>197</v>
      </c>
      <c r="D3470" s="1">
        <f t="shared" ca="1" si="264"/>
        <v>233</v>
      </c>
      <c r="E3470" s="2">
        <f t="shared" ca="1" si="265"/>
        <v>43275</v>
      </c>
      <c r="F3470" s="6">
        <f t="shared" ca="1" si="266"/>
        <v>47.434810658319698</v>
      </c>
    </row>
    <row r="3471" spans="1:6">
      <c r="A3471" s="1">
        <v>9131707</v>
      </c>
      <c r="B3471">
        <f t="shared" ca="1" si="263"/>
        <v>0.93812391695156838</v>
      </c>
      <c r="C3471" s="1">
        <f t="shared" ca="1" si="262"/>
        <v>76</v>
      </c>
      <c r="D3471" s="1">
        <f t="shared" ca="1" si="264"/>
        <v>293</v>
      </c>
      <c r="E3471" s="2">
        <f t="shared" ca="1" si="265"/>
        <v>43320</v>
      </c>
      <c r="F3471" s="6">
        <f t="shared" ca="1" si="266"/>
        <v>99.74218547695159</v>
      </c>
    </row>
    <row r="3472" spans="1:6">
      <c r="A3472" s="1">
        <v>9131710</v>
      </c>
      <c r="B3472">
        <f t="shared" ca="1" si="263"/>
        <v>0.18888704522040056</v>
      </c>
      <c r="C3472" s="1">
        <f t="shared" ca="1" si="262"/>
        <v>199</v>
      </c>
      <c r="D3472" s="1">
        <f t="shared" ca="1" si="264"/>
        <v>221</v>
      </c>
      <c r="E3472" s="2">
        <f t="shared" ca="1" si="265"/>
        <v>42938</v>
      </c>
      <c r="F3472" s="6">
        <f t="shared" ca="1" si="266"/>
        <v>109.0993708618863</v>
      </c>
    </row>
    <row r="3473" spans="1:6">
      <c r="A3473" s="1">
        <v>9131713</v>
      </c>
      <c r="B3473">
        <f t="shared" ca="1" si="263"/>
        <v>0.69957620047100444</v>
      </c>
      <c r="C3473" s="1">
        <f t="shared" ca="1" si="262"/>
        <v>1</v>
      </c>
      <c r="D3473" s="1">
        <f t="shared" ca="1" si="264"/>
        <v>474</v>
      </c>
      <c r="E3473" s="2">
        <f t="shared" ca="1" si="265"/>
        <v>43434</v>
      </c>
      <c r="F3473" s="6">
        <f t="shared" ca="1" si="266"/>
        <v>3.2838495045286091</v>
      </c>
    </row>
    <row r="3474" spans="1:6">
      <c r="A3474" s="1">
        <v>9131716</v>
      </c>
      <c r="B3474">
        <f t="shared" ca="1" si="263"/>
        <v>0.51998588175761429</v>
      </c>
      <c r="C3474" s="1">
        <f t="shared" ca="1" si="262"/>
        <v>76</v>
      </c>
      <c r="D3474" s="1">
        <f t="shared" ca="1" si="264"/>
        <v>293</v>
      </c>
      <c r="E3474" s="2">
        <f t="shared" ca="1" si="265"/>
        <v>43165</v>
      </c>
      <c r="F3474" s="6">
        <f t="shared" ca="1" si="266"/>
        <v>22.15251860751663</v>
      </c>
    </row>
    <row r="3475" spans="1:6">
      <c r="A3475" s="1">
        <v>9131719</v>
      </c>
      <c r="B3475">
        <f t="shared" ca="1" si="263"/>
        <v>0.14539560455878386</v>
      </c>
      <c r="C3475" s="1">
        <f t="shared" ca="1" si="262"/>
        <v>2</v>
      </c>
      <c r="D3475" s="1">
        <f t="shared" ca="1" si="264"/>
        <v>30</v>
      </c>
      <c r="E3475" s="2">
        <f t="shared" ca="1" si="265"/>
        <v>42811</v>
      </c>
      <c r="F3475" s="6">
        <f t="shared" ca="1" si="266"/>
        <v>3.0006306412034003</v>
      </c>
    </row>
    <row r="3476" spans="1:6">
      <c r="A3476" s="1">
        <v>9131722</v>
      </c>
      <c r="B3476">
        <f t="shared" ca="1" si="263"/>
        <v>0.43361882204518754</v>
      </c>
      <c r="C3476" s="1">
        <f t="shared" ca="1" si="262"/>
        <v>28</v>
      </c>
      <c r="D3476" s="1">
        <f t="shared" ca="1" si="264"/>
        <v>401</v>
      </c>
      <c r="E3476" s="2">
        <f t="shared" ca="1" si="265"/>
        <v>42822</v>
      </c>
      <c r="F3476" s="6">
        <f t="shared" ca="1" si="266"/>
        <v>141.29045634426447</v>
      </c>
    </row>
    <row r="3477" spans="1:6">
      <c r="A3477" s="1">
        <v>9131725</v>
      </c>
      <c r="B3477">
        <f t="shared" ca="1" si="263"/>
        <v>0.77833805392967059</v>
      </c>
      <c r="C3477" s="1">
        <f t="shared" ca="1" si="262"/>
        <v>20</v>
      </c>
      <c r="D3477" s="1">
        <f t="shared" ca="1" si="264"/>
        <v>444</v>
      </c>
      <c r="E3477" s="2">
        <f t="shared" ca="1" si="265"/>
        <v>43133</v>
      </c>
      <c r="F3477" s="6">
        <f t="shared" ca="1" si="266"/>
        <v>22.210996692598535</v>
      </c>
    </row>
    <row r="3478" spans="1:6">
      <c r="A3478" s="1">
        <v>9131728</v>
      </c>
      <c r="B3478">
        <f t="shared" ca="1" si="263"/>
        <v>0.95880119838953348</v>
      </c>
      <c r="C3478" s="1">
        <f t="shared" ca="1" si="262"/>
        <v>8</v>
      </c>
      <c r="D3478" s="1">
        <f t="shared" ca="1" si="264"/>
        <v>456</v>
      </c>
      <c r="E3478" s="2">
        <f t="shared" ca="1" si="265"/>
        <v>42939</v>
      </c>
      <c r="F3478" s="6">
        <f t="shared" ca="1" si="266"/>
        <v>50.587742153820287</v>
      </c>
    </row>
    <row r="3479" spans="1:6">
      <c r="A3479" s="1">
        <v>9131731</v>
      </c>
      <c r="B3479">
        <f t="shared" ca="1" si="263"/>
        <v>0.64627972212191853</v>
      </c>
      <c r="C3479" s="1">
        <f t="shared" ca="1" si="262"/>
        <v>27</v>
      </c>
      <c r="D3479" s="1">
        <f t="shared" ca="1" si="264"/>
        <v>398</v>
      </c>
      <c r="E3479" s="2">
        <f t="shared" ca="1" si="265"/>
        <v>42851</v>
      </c>
      <c r="F3479" s="6">
        <f t="shared" ca="1" si="266"/>
        <v>8.5059799033047412</v>
      </c>
    </row>
    <row r="3480" spans="1:6">
      <c r="A3480" s="1">
        <v>9131734</v>
      </c>
      <c r="B3480">
        <f t="shared" ca="1" si="263"/>
        <v>0.82226769981715819</v>
      </c>
      <c r="C3480" s="1">
        <f t="shared" ca="1" si="262"/>
        <v>2</v>
      </c>
      <c r="D3480" s="1">
        <f t="shared" ca="1" si="264"/>
        <v>30</v>
      </c>
      <c r="E3480" s="2">
        <f t="shared" ca="1" si="265"/>
        <v>43167</v>
      </c>
      <c r="F3480" s="6">
        <f t="shared" ca="1" si="266"/>
        <v>3.0068419487571312</v>
      </c>
    </row>
    <row r="3481" spans="1:6">
      <c r="A3481" s="1">
        <v>9131737</v>
      </c>
      <c r="B3481">
        <f t="shared" ca="1" si="263"/>
        <v>0.83213827637807036</v>
      </c>
      <c r="C3481" s="1">
        <f t="shared" ca="1" si="262"/>
        <v>3</v>
      </c>
      <c r="D3481" s="1">
        <f t="shared" ca="1" si="264"/>
        <v>263</v>
      </c>
      <c r="E3481" s="2">
        <f t="shared" ca="1" si="265"/>
        <v>42919</v>
      </c>
      <c r="F3481" s="6">
        <f t="shared" ca="1" si="266"/>
        <v>47.18412398292439</v>
      </c>
    </row>
    <row r="3482" spans="1:6">
      <c r="A3482" s="1">
        <v>9131740</v>
      </c>
      <c r="B3482">
        <f t="shared" ca="1" si="263"/>
        <v>0.71014171358127454</v>
      </c>
      <c r="C3482" s="1">
        <f t="shared" ca="1" si="262"/>
        <v>7</v>
      </c>
      <c r="D3482" s="1">
        <f t="shared" ca="1" si="264"/>
        <v>138</v>
      </c>
      <c r="E3482" s="2">
        <f t="shared" ca="1" si="265"/>
        <v>42996</v>
      </c>
      <c r="F3482" s="6">
        <f t="shared" ca="1" si="266"/>
        <v>18.892769670227217</v>
      </c>
    </row>
    <row r="3483" spans="1:6">
      <c r="A3483" s="1">
        <v>9131743</v>
      </c>
      <c r="B3483">
        <f t="shared" ca="1" si="263"/>
        <v>0.66953734096116735</v>
      </c>
      <c r="C3483" s="1">
        <f t="shared" ref="C3483:C3546" ca="1" si="267">ROUND(_xlfn.GAMMA.INV(RAND(),$J$11,$J$12)*100,0)+1</f>
        <v>3</v>
      </c>
      <c r="D3483" s="1">
        <f t="shared" ca="1" si="264"/>
        <v>263</v>
      </c>
      <c r="E3483" s="2">
        <f t="shared" ca="1" si="265"/>
        <v>43033</v>
      </c>
      <c r="F3483" s="6">
        <f t="shared" ca="1" si="266"/>
        <v>14.469806329183834</v>
      </c>
    </row>
    <row r="3484" spans="1:6">
      <c r="A3484" s="1">
        <v>9131746</v>
      </c>
      <c r="B3484">
        <f t="shared" ca="1" si="263"/>
        <v>0.5734006257417591</v>
      </c>
      <c r="C3484" s="1">
        <f t="shared" ca="1" si="267"/>
        <v>50</v>
      </c>
      <c r="D3484" s="1">
        <f t="shared" ca="1" si="264"/>
        <v>415</v>
      </c>
      <c r="E3484" s="2">
        <f t="shared" ca="1" si="265"/>
        <v>42976</v>
      </c>
      <c r="F3484" s="6">
        <f t="shared" ca="1" si="266"/>
        <v>15.498724406823115</v>
      </c>
    </row>
    <row r="3485" spans="1:6">
      <c r="A3485" s="1">
        <v>9131749</v>
      </c>
      <c r="B3485">
        <f t="shared" ca="1" si="263"/>
        <v>0.8983122485870394</v>
      </c>
      <c r="C3485" s="1">
        <f t="shared" ca="1" si="267"/>
        <v>342</v>
      </c>
      <c r="D3485" s="1">
        <f t="shared" ca="1" si="264"/>
        <v>297</v>
      </c>
      <c r="E3485" s="2">
        <f t="shared" ca="1" si="265"/>
        <v>43050</v>
      </c>
      <c r="F3485" s="6">
        <f t="shared" ca="1" si="266"/>
        <v>138.71859225181598</v>
      </c>
    </row>
    <row r="3486" spans="1:6">
      <c r="A3486" s="1">
        <v>9131752</v>
      </c>
      <c r="B3486">
        <f t="shared" ca="1" si="263"/>
        <v>0.83875852358460834</v>
      </c>
      <c r="C3486" s="1">
        <f t="shared" ca="1" si="267"/>
        <v>202</v>
      </c>
      <c r="D3486" s="1">
        <f t="shared" ca="1" si="264"/>
        <v>255</v>
      </c>
      <c r="E3486" s="2">
        <f t="shared" ca="1" si="265"/>
        <v>43363</v>
      </c>
      <c r="F3486" s="6">
        <f t="shared" ca="1" si="266"/>
        <v>7.8091921371283002</v>
      </c>
    </row>
    <row r="3487" spans="1:6">
      <c r="A3487" s="1">
        <v>9131755</v>
      </c>
      <c r="B3487">
        <f t="shared" ca="1" si="263"/>
        <v>0.47117935787681664</v>
      </c>
      <c r="C3487" s="1">
        <f t="shared" ca="1" si="267"/>
        <v>58</v>
      </c>
      <c r="D3487" s="1">
        <f t="shared" ca="1" si="264"/>
        <v>19</v>
      </c>
      <c r="E3487" s="2">
        <f t="shared" ca="1" si="265"/>
        <v>43414</v>
      </c>
      <c r="F3487" s="6">
        <f t="shared" ca="1" si="266"/>
        <v>30.534971393179465</v>
      </c>
    </row>
    <row r="3488" spans="1:6">
      <c r="A3488" s="1">
        <v>9131758</v>
      </c>
      <c r="B3488">
        <f t="shared" ca="1" si="263"/>
        <v>0.78335558750210121</v>
      </c>
      <c r="C3488" s="1">
        <f t="shared" ca="1" si="267"/>
        <v>3</v>
      </c>
      <c r="D3488" s="1">
        <f t="shared" ca="1" si="264"/>
        <v>263</v>
      </c>
      <c r="E3488" s="2">
        <f t="shared" ca="1" si="265"/>
        <v>43148</v>
      </c>
      <c r="F3488" s="6">
        <f t="shared" ca="1" si="266"/>
        <v>20.556891300956419</v>
      </c>
    </row>
    <row r="3489" spans="1:6">
      <c r="A3489" s="1">
        <v>9131761</v>
      </c>
      <c r="B3489">
        <f t="shared" ca="1" si="263"/>
        <v>0.34253390137771378</v>
      </c>
      <c r="C3489" s="1">
        <f t="shared" ca="1" si="267"/>
        <v>17</v>
      </c>
      <c r="D3489" s="1">
        <f t="shared" ca="1" si="264"/>
        <v>165</v>
      </c>
      <c r="E3489" s="2">
        <f t="shared" ca="1" si="265"/>
        <v>42839</v>
      </c>
      <c r="F3489" s="6">
        <f t="shared" ca="1" si="266"/>
        <v>129.81802337450432</v>
      </c>
    </row>
    <row r="3490" spans="1:6">
      <c r="A3490" s="1">
        <v>9131764</v>
      </c>
      <c r="B3490">
        <f t="shared" ca="1" si="263"/>
        <v>0.97565949760526616</v>
      </c>
      <c r="C3490" s="1">
        <f t="shared" ca="1" si="267"/>
        <v>27</v>
      </c>
      <c r="D3490" s="1">
        <f t="shared" ca="1" si="264"/>
        <v>398</v>
      </c>
      <c r="E3490" s="2">
        <f t="shared" ca="1" si="265"/>
        <v>43089</v>
      </c>
      <c r="F3490" s="6">
        <f t="shared" ca="1" si="266"/>
        <v>473.66890686918453</v>
      </c>
    </row>
    <row r="3491" spans="1:6">
      <c r="A3491" s="1">
        <v>9131767</v>
      </c>
      <c r="B3491">
        <f t="shared" ca="1" si="263"/>
        <v>0.23850345051445065</v>
      </c>
      <c r="C3491" s="1">
        <f t="shared" ca="1" si="267"/>
        <v>2</v>
      </c>
      <c r="D3491" s="1">
        <f t="shared" ca="1" si="264"/>
        <v>30</v>
      </c>
      <c r="E3491" s="2">
        <f t="shared" ca="1" si="265"/>
        <v>42776</v>
      </c>
      <c r="F3491" s="6">
        <f t="shared" ca="1" si="266"/>
        <v>86.550160477315956</v>
      </c>
    </row>
    <row r="3492" spans="1:6">
      <c r="A3492" s="1">
        <v>9131770</v>
      </c>
      <c r="B3492">
        <f t="shared" ca="1" si="263"/>
        <v>0.47397046708196833</v>
      </c>
      <c r="C3492" s="1">
        <f t="shared" ca="1" si="267"/>
        <v>4</v>
      </c>
      <c r="D3492" s="1">
        <f t="shared" ca="1" si="264"/>
        <v>493</v>
      </c>
      <c r="E3492" s="2">
        <f t="shared" ca="1" si="265"/>
        <v>43469</v>
      </c>
      <c r="F3492" s="6">
        <f t="shared" ca="1" si="266"/>
        <v>41.366168168355593</v>
      </c>
    </row>
    <row r="3493" spans="1:6">
      <c r="A3493" s="1">
        <v>9131773</v>
      </c>
      <c r="B3493">
        <f t="shared" ca="1" si="263"/>
        <v>0.79592576901607037</v>
      </c>
      <c r="C3493" s="1">
        <f t="shared" ca="1" si="267"/>
        <v>25</v>
      </c>
      <c r="D3493" s="1">
        <f t="shared" ca="1" si="264"/>
        <v>257</v>
      </c>
      <c r="E3493" s="2">
        <f t="shared" ca="1" si="265"/>
        <v>43475</v>
      </c>
      <c r="F3493" s="6">
        <f t="shared" ca="1" si="266"/>
        <v>59.508962606092538</v>
      </c>
    </row>
    <row r="3494" spans="1:6">
      <c r="A3494" s="1">
        <v>9131776</v>
      </c>
      <c r="B3494">
        <f t="shared" ca="1" si="263"/>
        <v>0.79920417861277071</v>
      </c>
      <c r="C3494" s="1">
        <f t="shared" ca="1" si="267"/>
        <v>20</v>
      </c>
      <c r="D3494" s="1">
        <f t="shared" ca="1" si="264"/>
        <v>444</v>
      </c>
      <c r="E3494" s="2">
        <f t="shared" ca="1" si="265"/>
        <v>43052</v>
      </c>
      <c r="F3494" s="6">
        <f t="shared" ca="1" si="266"/>
        <v>81.953067313993301</v>
      </c>
    </row>
    <row r="3495" spans="1:6">
      <c r="A3495" s="1">
        <v>9131779</v>
      </c>
      <c r="B3495">
        <f t="shared" ca="1" si="263"/>
        <v>0.65159582989254228</v>
      </c>
      <c r="C3495" s="1">
        <f t="shared" ca="1" si="267"/>
        <v>7</v>
      </c>
      <c r="D3495" s="1">
        <f t="shared" ca="1" si="264"/>
        <v>138</v>
      </c>
      <c r="E3495" s="2">
        <f t="shared" ca="1" si="265"/>
        <v>43412</v>
      </c>
      <c r="F3495" s="6">
        <f t="shared" ca="1" si="266"/>
        <v>42.356584554337424</v>
      </c>
    </row>
    <row r="3496" spans="1:6">
      <c r="A3496" s="1">
        <v>9131782</v>
      </c>
      <c r="B3496">
        <f t="shared" ca="1" si="263"/>
        <v>0.48234303874292384</v>
      </c>
      <c r="C3496" s="1">
        <f t="shared" ca="1" si="267"/>
        <v>3</v>
      </c>
      <c r="D3496" s="1">
        <f t="shared" ca="1" si="264"/>
        <v>263</v>
      </c>
      <c r="E3496" s="2">
        <f t="shared" ca="1" si="265"/>
        <v>43045</v>
      </c>
      <c r="F3496" s="6">
        <f t="shared" ca="1" si="266"/>
        <v>31.016927306472773</v>
      </c>
    </row>
    <row r="3497" spans="1:6">
      <c r="A3497" s="1">
        <v>9131785</v>
      </c>
      <c r="B3497">
        <f t="shared" ca="1" si="263"/>
        <v>0.25877670368903838</v>
      </c>
      <c r="C3497" s="1">
        <f t="shared" ca="1" si="267"/>
        <v>31</v>
      </c>
      <c r="D3497" s="1">
        <f t="shared" ca="1" si="264"/>
        <v>535</v>
      </c>
      <c r="E3497" s="2">
        <f t="shared" ca="1" si="265"/>
        <v>42830</v>
      </c>
      <c r="F3497" s="6">
        <f t="shared" ca="1" si="266"/>
        <v>7.0253768244833807</v>
      </c>
    </row>
    <row r="3498" spans="1:6">
      <c r="A3498" s="1">
        <v>9131788</v>
      </c>
      <c r="B3498">
        <f t="shared" ca="1" si="263"/>
        <v>0.50306029358083038</v>
      </c>
      <c r="C3498" s="1">
        <f t="shared" ca="1" si="267"/>
        <v>58</v>
      </c>
      <c r="D3498" s="1">
        <f t="shared" ca="1" si="264"/>
        <v>19</v>
      </c>
      <c r="E3498" s="2">
        <f t="shared" ca="1" si="265"/>
        <v>43350</v>
      </c>
      <c r="F3498" s="6">
        <f t="shared" ca="1" si="266"/>
        <v>91.290850565976854</v>
      </c>
    </row>
    <row r="3499" spans="1:6">
      <c r="A3499" s="1">
        <v>9131791</v>
      </c>
      <c r="B3499">
        <f t="shared" ca="1" si="263"/>
        <v>0.31392559349572069</v>
      </c>
      <c r="C3499" s="1">
        <f t="shared" ca="1" si="267"/>
        <v>41</v>
      </c>
      <c r="D3499" s="1">
        <f t="shared" ca="1" si="264"/>
        <v>37</v>
      </c>
      <c r="E3499" s="2">
        <f t="shared" ca="1" si="265"/>
        <v>42841</v>
      </c>
      <c r="F3499" s="6">
        <f t="shared" ca="1" si="266"/>
        <v>4.2874413460352674</v>
      </c>
    </row>
    <row r="3500" spans="1:6">
      <c r="A3500" s="1">
        <v>9131794</v>
      </c>
      <c r="B3500">
        <f t="shared" ca="1" si="263"/>
        <v>0.14023141835792918</v>
      </c>
      <c r="C3500" s="1">
        <f t="shared" ca="1" si="267"/>
        <v>74</v>
      </c>
      <c r="D3500" s="1">
        <f t="shared" ca="1" si="264"/>
        <v>450</v>
      </c>
      <c r="E3500" s="2">
        <f t="shared" ca="1" si="265"/>
        <v>43224</v>
      </c>
      <c r="F3500" s="6">
        <f t="shared" ca="1" si="266"/>
        <v>119.8696260276223</v>
      </c>
    </row>
    <row r="3501" spans="1:6">
      <c r="A3501" s="1">
        <v>9131797</v>
      </c>
      <c r="B3501">
        <f t="shared" ca="1" si="263"/>
        <v>0.35612507138342675</v>
      </c>
      <c r="C3501" s="1">
        <f t="shared" ca="1" si="267"/>
        <v>6</v>
      </c>
      <c r="D3501" s="1">
        <f t="shared" ca="1" si="264"/>
        <v>208</v>
      </c>
      <c r="E3501" s="2">
        <f t="shared" ca="1" si="265"/>
        <v>43416</v>
      </c>
      <c r="F3501" s="6">
        <f t="shared" ca="1" si="266"/>
        <v>4.4553387268977858</v>
      </c>
    </row>
    <row r="3502" spans="1:6">
      <c r="A3502" s="1">
        <v>9131800</v>
      </c>
      <c r="B3502">
        <f t="shared" ca="1" si="263"/>
        <v>0.97225963429807782</v>
      </c>
      <c r="C3502" s="1">
        <f t="shared" ca="1" si="267"/>
        <v>1</v>
      </c>
      <c r="D3502" s="1">
        <f t="shared" ca="1" si="264"/>
        <v>474</v>
      </c>
      <c r="E3502" s="2">
        <f t="shared" ca="1" si="265"/>
        <v>43315</v>
      </c>
      <c r="F3502" s="6">
        <f t="shared" ca="1" si="266"/>
        <v>8.6917327261990067</v>
      </c>
    </row>
    <row r="3503" spans="1:6">
      <c r="A3503" s="1">
        <v>9131803</v>
      </c>
      <c r="B3503">
        <f t="shared" ca="1" si="263"/>
        <v>0.31486005516263282</v>
      </c>
      <c r="C3503" s="1">
        <f t="shared" ca="1" si="267"/>
        <v>24</v>
      </c>
      <c r="D3503" s="1">
        <f t="shared" ca="1" si="264"/>
        <v>334</v>
      </c>
      <c r="E3503" s="2">
        <f t="shared" ca="1" si="265"/>
        <v>42892</v>
      </c>
      <c r="F3503" s="6">
        <f t="shared" ca="1" si="266"/>
        <v>15.799293435109346</v>
      </c>
    </row>
    <row r="3504" spans="1:6">
      <c r="A3504" s="1">
        <v>9131806</v>
      </c>
      <c r="B3504">
        <f t="shared" ca="1" si="263"/>
        <v>0.83016078430461859</v>
      </c>
      <c r="C3504" s="1">
        <f t="shared" ca="1" si="267"/>
        <v>24</v>
      </c>
      <c r="D3504" s="1">
        <f t="shared" ca="1" si="264"/>
        <v>334</v>
      </c>
      <c r="E3504" s="2">
        <f t="shared" ca="1" si="265"/>
        <v>43138</v>
      </c>
      <c r="F3504" s="6">
        <f t="shared" ca="1" si="266"/>
        <v>61.663764205761957</v>
      </c>
    </row>
    <row r="3505" spans="1:6">
      <c r="A3505" s="1">
        <v>9131809</v>
      </c>
      <c r="B3505">
        <f t="shared" ca="1" si="263"/>
        <v>0.38669996567241449</v>
      </c>
      <c r="C3505" s="1">
        <f t="shared" ca="1" si="267"/>
        <v>9</v>
      </c>
      <c r="D3505" s="1">
        <f t="shared" ca="1" si="264"/>
        <v>278</v>
      </c>
      <c r="E3505" s="2">
        <f t="shared" ca="1" si="265"/>
        <v>42850</v>
      </c>
      <c r="F3505" s="6">
        <f t="shared" ca="1" si="266"/>
        <v>3.4002579952124603</v>
      </c>
    </row>
    <row r="3506" spans="1:6">
      <c r="A3506" s="1">
        <v>9131812</v>
      </c>
      <c r="B3506">
        <f t="shared" ca="1" si="263"/>
        <v>0.78632474078648007</v>
      </c>
      <c r="C3506" s="1">
        <f t="shared" ca="1" si="267"/>
        <v>1</v>
      </c>
      <c r="D3506" s="1">
        <f t="shared" ca="1" si="264"/>
        <v>474</v>
      </c>
      <c r="E3506" s="2">
        <f t="shared" ca="1" si="265"/>
        <v>43148</v>
      </c>
      <c r="F3506" s="6">
        <f t="shared" ca="1" si="266"/>
        <v>27.067994043252391</v>
      </c>
    </row>
    <row r="3507" spans="1:6">
      <c r="A3507" s="1">
        <v>9131815</v>
      </c>
      <c r="B3507">
        <f t="shared" ca="1" si="263"/>
        <v>0.96440780108178226</v>
      </c>
      <c r="C3507" s="1">
        <f t="shared" ca="1" si="267"/>
        <v>21</v>
      </c>
      <c r="D3507" s="1">
        <f t="shared" ca="1" si="264"/>
        <v>566</v>
      </c>
      <c r="E3507" s="2">
        <f t="shared" ca="1" si="265"/>
        <v>43169</v>
      </c>
      <c r="F3507" s="6">
        <f t="shared" ca="1" si="266"/>
        <v>152.72391337429991</v>
      </c>
    </row>
    <row r="3508" spans="1:6">
      <c r="A3508" s="1">
        <v>9131818</v>
      </c>
      <c r="B3508">
        <f t="shared" ca="1" si="263"/>
        <v>0.76153259226075976</v>
      </c>
      <c r="C3508" s="1">
        <f t="shared" ca="1" si="267"/>
        <v>98</v>
      </c>
      <c r="D3508" s="1">
        <f t="shared" ca="1" si="264"/>
        <v>139</v>
      </c>
      <c r="E3508" s="2">
        <f t="shared" ca="1" si="265"/>
        <v>43170</v>
      </c>
      <c r="F3508" s="6">
        <f t="shared" ca="1" si="266"/>
        <v>5.3283205468919164</v>
      </c>
    </row>
    <row r="3509" spans="1:6">
      <c r="A3509" s="1">
        <v>9131821</v>
      </c>
      <c r="B3509">
        <f t="shared" ca="1" si="263"/>
        <v>0.51401039445050167</v>
      </c>
      <c r="C3509" s="1">
        <f t="shared" ca="1" si="267"/>
        <v>143</v>
      </c>
      <c r="D3509" s="1">
        <f t="shared" ca="1" si="264"/>
        <v>438</v>
      </c>
      <c r="E3509" s="2">
        <f t="shared" ca="1" si="265"/>
        <v>43030</v>
      </c>
      <c r="F3509" s="6">
        <f t="shared" ca="1" si="266"/>
        <v>84.288712489642919</v>
      </c>
    </row>
    <row r="3510" spans="1:6">
      <c r="A3510" s="1">
        <v>9131824</v>
      </c>
      <c r="B3510">
        <f t="shared" ca="1" si="263"/>
        <v>0.11309823147431364</v>
      </c>
      <c r="C3510" s="1">
        <f t="shared" ca="1" si="267"/>
        <v>68</v>
      </c>
      <c r="D3510" s="1">
        <f t="shared" ca="1" si="264"/>
        <v>467</v>
      </c>
      <c r="E3510" s="2">
        <f t="shared" ca="1" si="265"/>
        <v>43469</v>
      </c>
      <c r="F3510" s="6">
        <f t="shared" ca="1" si="266"/>
        <v>98.644116886292721</v>
      </c>
    </row>
    <row r="3511" spans="1:6">
      <c r="A3511" s="1">
        <v>9131827</v>
      </c>
      <c r="B3511">
        <f t="shared" ca="1" si="263"/>
        <v>0.59966312632412022</v>
      </c>
      <c r="C3511" s="1">
        <f t="shared" ca="1" si="267"/>
        <v>25</v>
      </c>
      <c r="D3511" s="1">
        <f t="shared" ca="1" si="264"/>
        <v>257</v>
      </c>
      <c r="E3511" s="2">
        <f t="shared" ca="1" si="265"/>
        <v>42776</v>
      </c>
      <c r="F3511" s="6">
        <f t="shared" ca="1" si="266"/>
        <v>37.825570936459393</v>
      </c>
    </row>
    <row r="3512" spans="1:6">
      <c r="A3512" s="1">
        <v>9131830</v>
      </c>
      <c r="B3512">
        <f t="shared" ca="1" si="263"/>
        <v>7.390844190077106E-2</v>
      </c>
      <c r="C3512" s="1">
        <f t="shared" ca="1" si="267"/>
        <v>111</v>
      </c>
      <c r="D3512" s="1">
        <f t="shared" ca="1" si="264"/>
        <v>230</v>
      </c>
      <c r="E3512" s="2">
        <f t="shared" ca="1" si="265"/>
        <v>43153</v>
      </c>
      <c r="F3512" s="6">
        <f t="shared" ca="1" si="266"/>
        <v>178.15040939646232</v>
      </c>
    </row>
    <row r="3513" spans="1:6">
      <c r="A3513" s="1">
        <v>9131833</v>
      </c>
      <c r="B3513">
        <f t="shared" ca="1" si="263"/>
        <v>0.70121188747221708</v>
      </c>
      <c r="C3513" s="1">
        <f t="shared" ca="1" si="267"/>
        <v>35</v>
      </c>
      <c r="D3513" s="1">
        <f t="shared" ca="1" si="264"/>
        <v>423</v>
      </c>
      <c r="E3513" s="2">
        <f t="shared" ca="1" si="265"/>
        <v>42817</v>
      </c>
      <c r="F3513" s="6">
        <f t="shared" ca="1" si="266"/>
        <v>9.6270212353372244</v>
      </c>
    </row>
    <row r="3514" spans="1:6">
      <c r="A3514" s="1">
        <v>9131836</v>
      </c>
      <c r="B3514">
        <f t="shared" ca="1" si="263"/>
        <v>0.6389537762604578</v>
      </c>
      <c r="C3514" s="1">
        <f t="shared" ca="1" si="267"/>
        <v>17</v>
      </c>
      <c r="D3514" s="1">
        <f t="shared" ca="1" si="264"/>
        <v>165</v>
      </c>
      <c r="E3514" s="2">
        <f t="shared" ca="1" si="265"/>
        <v>42962</v>
      </c>
      <c r="F3514" s="6">
        <f t="shared" ca="1" si="266"/>
        <v>50.041343908714346</v>
      </c>
    </row>
    <row r="3515" spans="1:6">
      <c r="A3515" s="1">
        <v>9131839</v>
      </c>
      <c r="B3515">
        <f t="shared" ca="1" si="263"/>
        <v>0.20404423618120693</v>
      </c>
      <c r="C3515" s="1">
        <f t="shared" ca="1" si="267"/>
        <v>123</v>
      </c>
      <c r="D3515" s="1">
        <f t="shared" ca="1" si="264"/>
        <v>288</v>
      </c>
      <c r="E3515" s="2">
        <f t="shared" ca="1" si="265"/>
        <v>43439</v>
      </c>
      <c r="F3515" s="6">
        <f t="shared" ca="1" si="266"/>
        <v>6.3053089309524974</v>
      </c>
    </row>
    <row r="3516" spans="1:6">
      <c r="A3516" s="1">
        <v>9131842</v>
      </c>
      <c r="B3516">
        <f t="shared" ref="B3516:B3579" ca="1" si="268">RAND()</f>
        <v>0.82357102880281052</v>
      </c>
      <c r="C3516" s="1">
        <f t="shared" ca="1" si="267"/>
        <v>42</v>
      </c>
      <c r="D3516" s="1">
        <f t="shared" ref="D3516:D3579" ca="1" si="269">VLOOKUP(SMALL($B$2:$B$601,C3516),$B$2:$C$601,2,FALSE)</f>
        <v>36</v>
      </c>
      <c r="E3516" s="2">
        <f t="shared" ca="1" si="265"/>
        <v>43275</v>
      </c>
      <c r="F3516" s="6">
        <f t="shared" ca="1" si="266"/>
        <v>64.862748041980723</v>
      </c>
    </row>
    <row r="3517" spans="1:6">
      <c r="A3517" s="1">
        <v>9131845</v>
      </c>
      <c r="B3517">
        <f t="shared" ca="1" si="268"/>
        <v>0.65765539914611837</v>
      </c>
      <c r="C3517" s="1">
        <f t="shared" ca="1" si="267"/>
        <v>85</v>
      </c>
      <c r="D3517" s="1">
        <f t="shared" ca="1" si="269"/>
        <v>81</v>
      </c>
      <c r="E3517" s="2">
        <f t="shared" ca="1" si="265"/>
        <v>43416</v>
      </c>
      <c r="F3517" s="6">
        <f t="shared" ca="1" si="266"/>
        <v>83.100664789166458</v>
      </c>
    </row>
    <row r="3518" spans="1:6">
      <c r="A3518" s="1">
        <v>9131848</v>
      </c>
      <c r="B3518">
        <f t="shared" ca="1" si="268"/>
        <v>0.97319936885623193</v>
      </c>
      <c r="C3518" s="1">
        <f t="shared" ca="1" si="267"/>
        <v>30</v>
      </c>
      <c r="D3518" s="1">
        <f t="shared" ca="1" si="269"/>
        <v>53</v>
      </c>
      <c r="E3518" s="2">
        <f t="shared" ca="1" si="265"/>
        <v>42743</v>
      </c>
      <c r="F3518" s="6">
        <f t="shared" ca="1" si="266"/>
        <v>157.43306446017945</v>
      </c>
    </row>
    <row r="3519" spans="1:6">
      <c r="A3519" s="1">
        <v>9131851</v>
      </c>
      <c r="B3519">
        <f t="shared" ca="1" si="268"/>
        <v>0.86839593093107814</v>
      </c>
      <c r="C3519" s="1">
        <f t="shared" ca="1" si="267"/>
        <v>61</v>
      </c>
      <c r="D3519" s="1">
        <f t="shared" ca="1" si="269"/>
        <v>92</v>
      </c>
      <c r="E3519" s="2">
        <f t="shared" ca="1" si="265"/>
        <v>43477</v>
      </c>
      <c r="F3519" s="6">
        <f t="shared" ca="1" si="266"/>
        <v>7.5798092998474287</v>
      </c>
    </row>
    <row r="3520" spans="1:6">
      <c r="A3520" s="1">
        <v>9131854</v>
      </c>
      <c r="B3520">
        <f t="shared" ca="1" si="268"/>
        <v>0.50243425619361215</v>
      </c>
      <c r="C3520" s="1">
        <f t="shared" ca="1" si="267"/>
        <v>23</v>
      </c>
      <c r="D3520" s="1">
        <f t="shared" ca="1" si="269"/>
        <v>516</v>
      </c>
      <c r="E3520" s="2">
        <f t="shared" ca="1" si="265"/>
        <v>42997</v>
      </c>
      <c r="F3520" s="6">
        <f t="shared" ca="1" si="266"/>
        <v>23.34300922729355</v>
      </c>
    </row>
    <row r="3521" spans="1:6">
      <c r="A3521" s="1">
        <v>9131857</v>
      </c>
      <c r="B3521">
        <f t="shared" ca="1" si="268"/>
        <v>0.73652139804298733</v>
      </c>
      <c r="C3521" s="1">
        <f t="shared" ca="1" si="267"/>
        <v>5</v>
      </c>
      <c r="D3521" s="1">
        <f t="shared" ca="1" si="269"/>
        <v>363</v>
      </c>
      <c r="E3521" s="2">
        <f t="shared" ca="1" si="265"/>
        <v>43184</v>
      </c>
      <c r="F3521" s="6">
        <f t="shared" ca="1" si="266"/>
        <v>5.5555295579609361</v>
      </c>
    </row>
    <row r="3522" spans="1:6">
      <c r="A3522" s="1">
        <v>9131860</v>
      </c>
      <c r="B3522">
        <f t="shared" ca="1" si="268"/>
        <v>0.38007731708672265</v>
      </c>
      <c r="C3522" s="1">
        <f t="shared" ca="1" si="267"/>
        <v>2</v>
      </c>
      <c r="D3522" s="1">
        <f t="shared" ca="1" si="269"/>
        <v>30</v>
      </c>
      <c r="E3522" s="2">
        <f t="shared" ca="1" si="265"/>
        <v>43015</v>
      </c>
      <c r="F3522" s="6">
        <f t="shared" ca="1" si="266"/>
        <v>3.0692193338447962</v>
      </c>
    </row>
    <row r="3523" spans="1:6">
      <c r="A3523" s="1">
        <v>9131863</v>
      </c>
      <c r="B3523">
        <f t="shared" ca="1" si="268"/>
        <v>0.62715929997077591</v>
      </c>
      <c r="C3523" s="1">
        <f t="shared" ca="1" si="267"/>
        <v>2</v>
      </c>
      <c r="D3523" s="1">
        <f t="shared" ca="1" si="269"/>
        <v>30</v>
      </c>
      <c r="E3523" s="2">
        <f t="shared" ref="E3523:E3586" ca="1" si="270">RANDBETWEEN("1/1/17","2/1/19")</f>
        <v>42848</v>
      </c>
      <c r="F3523" s="6">
        <f t="shared" ref="F3523:F3586" ca="1" si="271">_xlfn.GAMMA.INV(RAND(),$J$6,$J$7)*100+3</f>
        <v>5.8397941818144092</v>
      </c>
    </row>
    <row r="3524" spans="1:6">
      <c r="A3524" s="1">
        <v>9131866</v>
      </c>
      <c r="B3524">
        <f t="shared" ca="1" si="268"/>
        <v>0.84114740435634305</v>
      </c>
      <c r="C3524" s="1">
        <f t="shared" ca="1" si="267"/>
        <v>17</v>
      </c>
      <c r="D3524" s="1">
        <f t="shared" ca="1" si="269"/>
        <v>165</v>
      </c>
      <c r="E3524" s="2">
        <f t="shared" ca="1" si="270"/>
        <v>42763</v>
      </c>
      <c r="F3524" s="6">
        <f t="shared" ca="1" si="271"/>
        <v>12.321438374322589</v>
      </c>
    </row>
    <row r="3525" spans="1:6">
      <c r="A3525" s="1">
        <v>9131869</v>
      </c>
      <c r="B3525">
        <f t="shared" ca="1" si="268"/>
        <v>0.77312322516644438</v>
      </c>
      <c r="C3525" s="1">
        <f t="shared" ca="1" si="267"/>
        <v>89</v>
      </c>
      <c r="D3525" s="1">
        <f t="shared" ca="1" si="269"/>
        <v>340</v>
      </c>
      <c r="E3525" s="2">
        <f t="shared" ca="1" si="270"/>
        <v>43236</v>
      </c>
      <c r="F3525" s="6">
        <f t="shared" ca="1" si="271"/>
        <v>86.040143482033955</v>
      </c>
    </row>
    <row r="3526" spans="1:6">
      <c r="A3526" s="1">
        <v>9131872</v>
      </c>
      <c r="B3526">
        <f t="shared" ca="1" si="268"/>
        <v>0.44438188213233965</v>
      </c>
      <c r="C3526" s="1">
        <f t="shared" ca="1" si="267"/>
        <v>8</v>
      </c>
      <c r="D3526" s="1">
        <f t="shared" ca="1" si="269"/>
        <v>456</v>
      </c>
      <c r="E3526" s="2">
        <f t="shared" ca="1" si="270"/>
        <v>43360</v>
      </c>
      <c r="F3526" s="6">
        <f t="shared" ca="1" si="271"/>
        <v>102.30155427577151</v>
      </c>
    </row>
    <row r="3527" spans="1:6">
      <c r="A3527" s="1">
        <v>9131875</v>
      </c>
      <c r="B3527">
        <f t="shared" ca="1" si="268"/>
        <v>0.39244304476338854</v>
      </c>
      <c r="C3527" s="1">
        <f t="shared" ca="1" si="267"/>
        <v>268</v>
      </c>
      <c r="D3527" s="1">
        <f t="shared" ca="1" si="269"/>
        <v>331</v>
      </c>
      <c r="E3527" s="2">
        <f t="shared" ca="1" si="270"/>
        <v>43458</v>
      </c>
      <c r="F3527" s="6">
        <f t="shared" ca="1" si="271"/>
        <v>3.0461279588773578</v>
      </c>
    </row>
    <row r="3528" spans="1:6">
      <c r="A3528" s="1">
        <v>9131878</v>
      </c>
      <c r="B3528">
        <f t="shared" ca="1" si="268"/>
        <v>0.26787942688903443</v>
      </c>
      <c r="C3528" s="1">
        <f t="shared" ca="1" si="267"/>
        <v>23</v>
      </c>
      <c r="D3528" s="1">
        <f t="shared" ca="1" si="269"/>
        <v>516</v>
      </c>
      <c r="E3528" s="2">
        <f t="shared" ca="1" si="270"/>
        <v>42873</v>
      </c>
      <c r="F3528" s="6">
        <f t="shared" ca="1" si="271"/>
        <v>65.316321313268389</v>
      </c>
    </row>
    <row r="3529" spans="1:6">
      <c r="A3529" s="1">
        <v>9131881</v>
      </c>
      <c r="B3529">
        <f t="shared" ca="1" si="268"/>
        <v>0.71103748055207572</v>
      </c>
      <c r="C3529" s="1">
        <f t="shared" ca="1" si="267"/>
        <v>130</v>
      </c>
      <c r="D3529" s="1">
        <f t="shared" ca="1" si="269"/>
        <v>385</v>
      </c>
      <c r="E3529" s="2">
        <f t="shared" ca="1" si="270"/>
        <v>43436</v>
      </c>
      <c r="F3529" s="6">
        <f t="shared" ca="1" si="271"/>
        <v>176.91842114095624</v>
      </c>
    </row>
    <row r="3530" spans="1:6">
      <c r="A3530" s="1">
        <v>9131884</v>
      </c>
      <c r="B3530">
        <f t="shared" ca="1" si="268"/>
        <v>0.87437371617709303</v>
      </c>
      <c r="C3530" s="1">
        <f t="shared" ca="1" si="267"/>
        <v>6</v>
      </c>
      <c r="D3530" s="1">
        <f t="shared" ca="1" si="269"/>
        <v>208</v>
      </c>
      <c r="E3530" s="2">
        <f t="shared" ca="1" si="270"/>
        <v>43299</v>
      </c>
      <c r="F3530" s="6">
        <f t="shared" ca="1" si="271"/>
        <v>7.0141890078133775</v>
      </c>
    </row>
    <row r="3531" spans="1:6">
      <c r="A3531" s="1">
        <v>9131887</v>
      </c>
      <c r="B3531">
        <f t="shared" ca="1" si="268"/>
        <v>0.88603901344855229</v>
      </c>
      <c r="C3531" s="1">
        <f t="shared" ca="1" si="267"/>
        <v>65</v>
      </c>
      <c r="D3531" s="1">
        <f t="shared" ca="1" si="269"/>
        <v>463</v>
      </c>
      <c r="E3531" s="2">
        <f t="shared" ca="1" si="270"/>
        <v>43013</v>
      </c>
      <c r="F3531" s="6">
        <f t="shared" ca="1" si="271"/>
        <v>139.29330570114072</v>
      </c>
    </row>
    <row r="3532" spans="1:6">
      <c r="A3532" s="1">
        <v>9131890</v>
      </c>
      <c r="B3532">
        <f t="shared" ca="1" si="268"/>
        <v>0.41720877188519623</v>
      </c>
      <c r="C3532" s="1">
        <f t="shared" ca="1" si="267"/>
        <v>1</v>
      </c>
      <c r="D3532" s="1">
        <f t="shared" ca="1" si="269"/>
        <v>474</v>
      </c>
      <c r="E3532" s="2">
        <f t="shared" ca="1" si="270"/>
        <v>43388</v>
      </c>
      <c r="F3532" s="6">
        <f t="shared" ca="1" si="271"/>
        <v>17.880529572562608</v>
      </c>
    </row>
    <row r="3533" spans="1:6">
      <c r="A3533" s="1">
        <v>9131893</v>
      </c>
      <c r="B3533">
        <f t="shared" ca="1" si="268"/>
        <v>0.96359015794568015</v>
      </c>
      <c r="C3533" s="1">
        <f t="shared" ca="1" si="267"/>
        <v>3</v>
      </c>
      <c r="D3533" s="1">
        <f t="shared" ca="1" si="269"/>
        <v>263</v>
      </c>
      <c r="E3533" s="2">
        <f t="shared" ca="1" si="270"/>
        <v>43138</v>
      </c>
      <c r="F3533" s="6">
        <f t="shared" ca="1" si="271"/>
        <v>4.2665103086176863</v>
      </c>
    </row>
    <row r="3534" spans="1:6">
      <c r="A3534" s="1">
        <v>9131896</v>
      </c>
      <c r="B3534">
        <f t="shared" ca="1" si="268"/>
        <v>0.43549489222591364</v>
      </c>
      <c r="C3534" s="1">
        <f t="shared" ca="1" si="267"/>
        <v>62</v>
      </c>
      <c r="D3534" s="1">
        <f t="shared" ca="1" si="269"/>
        <v>235</v>
      </c>
      <c r="E3534" s="2">
        <f t="shared" ca="1" si="270"/>
        <v>43157</v>
      </c>
      <c r="F3534" s="6">
        <f t="shared" ca="1" si="271"/>
        <v>18.332023414550683</v>
      </c>
    </row>
    <row r="3535" spans="1:6">
      <c r="A3535" s="1">
        <v>9131899</v>
      </c>
      <c r="B3535">
        <f t="shared" ca="1" si="268"/>
        <v>0.12582046197718288</v>
      </c>
      <c r="C3535" s="1">
        <f t="shared" ca="1" si="267"/>
        <v>19</v>
      </c>
      <c r="D3535" s="1">
        <f t="shared" ca="1" si="269"/>
        <v>42</v>
      </c>
      <c r="E3535" s="2">
        <f t="shared" ca="1" si="270"/>
        <v>42922</v>
      </c>
      <c r="F3535" s="6">
        <f t="shared" ca="1" si="271"/>
        <v>10.642953922940494</v>
      </c>
    </row>
    <row r="3536" spans="1:6">
      <c r="A3536" s="1">
        <v>9131902</v>
      </c>
      <c r="B3536">
        <f t="shared" ca="1" si="268"/>
        <v>0.9777801674464347</v>
      </c>
      <c r="C3536" s="1">
        <f t="shared" ca="1" si="267"/>
        <v>177</v>
      </c>
      <c r="D3536" s="1">
        <f t="shared" ca="1" si="269"/>
        <v>527</v>
      </c>
      <c r="E3536" s="2">
        <f t="shared" ca="1" si="270"/>
        <v>43273</v>
      </c>
      <c r="F3536" s="6">
        <f t="shared" ca="1" si="271"/>
        <v>19.642888615263697</v>
      </c>
    </row>
    <row r="3537" spans="1:6">
      <c r="A3537" s="1">
        <v>9131905</v>
      </c>
      <c r="B3537">
        <f t="shared" ca="1" si="268"/>
        <v>0.31642582185601642</v>
      </c>
      <c r="C3537" s="1">
        <f t="shared" ca="1" si="267"/>
        <v>57</v>
      </c>
      <c r="D3537" s="1">
        <f t="shared" ca="1" si="269"/>
        <v>24</v>
      </c>
      <c r="E3537" s="2">
        <f t="shared" ca="1" si="270"/>
        <v>43482</v>
      </c>
      <c r="F3537" s="6">
        <f t="shared" ca="1" si="271"/>
        <v>7.4508837020144805</v>
      </c>
    </row>
    <row r="3538" spans="1:6">
      <c r="A3538" s="1">
        <v>9131908</v>
      </c>
      <c r="B3538">
        <f t="shared" ca="1" si="268"/>
        <v>0.8986130645812086</v>
      </c>
      <c r="C3538" s="1">
        <f t="shared" ca="1" si="267"/>
        <v>3</v>
      </c>
      <c r="D3538" s="1">
        <f t="shared" ca="1" si="269"/>
        <v>263</v>
      </c>
      <c r="E3538" s="2">
        <f t="shared" ca="1" si="270"/>
        <v>42986</v>
      </c>
      <c r="F3538" s="6">
        <f t="shared" ca="1" si="271"/>
        <v>3.6934645470878862</v>
      </c>
    </row>
    <row r="3539" spans="1:6">
      <c r="A3539" s="1">
        <v>9131911</v>
      </c>
      <c r="B3539">
        <f t="shared" ca="1" si="268"/>
        <v>0.45648725438951909</v>
      </c>
      <c r="C3539" s="1">
        <f t="shared" ca="1" si="267"/>
        <v>2</v>
      </c>
      <c r="D3539" s="1">
        <f t="shared" ca="1" si="269"/>
        <v>30</v>
      </c>
      <c r="E3539" s="2">
        <f t="shared" ca="1" si="270"/>
        <v>43294</v>
      </c>
      <c r="F3539" s="6">
        <f t="shared" ca="1" si="271"/>
        <v>4.6527722782387828</v>
      </c>
    </row>
    <row r="3540" spans="1:6">
      <c r="A3540" s="1">
        <v>9131914</v>
      </c>
      <c r="B3540">
        <f t="shared" ca="1" si="268"/>
        <v>3.9102785248638861E-2</v>
      </c>
      <c r="C3540" s="1">
        <f t="shared" ca="1" si="267"/>
        <v>1</v>
      </c>
      <c r="D3540" s="1">
        <f t="shared" ca="1" si="269"/>
        <v>474</v>
      </c>
      <c r="E3540" s="2">
        <f t="shared" ca="1" si="270"/>
        <v>43382</v>
      </c>
      <c r="F3540" s="6">
        <f t="shared" ca="1" si="271"/>
        <v>358.0149389399931</v>
      </c>
    </row>
    <row r="3541" spans="1:6">
      <c r="A3541" s="1">
        <v>9131917</v>
      </c>
      <c r="B3541">
        <f t="shared" ca="1" si="268"/>
        <v>0.58868832433381835</v>
      </c>
      <c r="C3541" s="1">
        <f t="shared" ca="1" si="267"/>
        <v>19</v>
      </c>
      <c r="D3541" s="1">
        <f t="shared" ca="1" si="269"/>
        <v>42</v>
      </c>
      <c r="E3541" s="2">
        <f t="shared" ca="1" si="270"/>
        <v>43092</v>
      </c>
      <c r="F3541" s="6">
        <f t="shared" ca="1" si="271"/>
        <v>68.037972417765488</v>
      </c>
    </row>
    <row r="3542" spans="1:6">
      <c r="A3542" s="1">
        <v>9131920</v>
      </c>
      <c r="B3542">
        <f t="shared" ca="1" si="268"/>
        <v>0.20206442540388025</v>
      </c>
      <c r="C3542" s="1">
        <f t="shared" ca="1" si="267"/>
        <v>107</v>
      </c>
      <c r="D3542" s="1">
        <f t="shared" ca="1" si="269"/>
        <v>173</v>
      </c>
      <c r="E3542" s="2">
        <f t="shared" ca="1" si="270"/>
        <v>42902</v>
      </c>
      <c r="F3542" s="6">
        <f t="shared" ca="1" si="271"/>
        <v>34.280095378637327</v>
      </c>
    </row>
    <row r="3543" spans="1:6">
      <c r="A3543" s="1">
        <v>9131923</v>
      </c>
      <c r="B3543">
        <f t="shared" ca="1" si="268"/>
        <v>0.83176924453968004</v>
      </c>
      <c r="C3543" s="1">
        <f t="shared" ca="1" si="267"/>
        <v>162</v>
      </c>
      <c r="D3543" s="1">
        <f t="shared" ca="1" si="269"/>
        <v>186</v>
      </c>
      <c r="E3543" s="2">
        <f t="shared" ca="1" si="270"/>
        <v>43428</v>
      </c>
      <c r="F3543" s="6">
        <f t="shared" ca="1" si="271"/>
        <v>94.976658096262625</v>
      </c>
    </row>
    <row r="3544" spans="1:6">
      <c r="A3544" s="1">
        <v>9131926</v>
      </c>
      <c r="B3544">
        <f t="shared" ca="1" si="268"/>
        <v>5.9463949509672265E-2</v>
      </c>
      <c r="C3544" s="1">
        <f t="shared" ca="1" si="267"/>
        <v>34</v>
      </c>
      <c r="D3544" s="1">
        <f t="shared" ca="1" si="269"/>
        <v>503</v>
      </c>
      <c r="E3544" s="2">
        <f t="shared" ca="1" si="270"/>
        <v>42949</v>
      </c>
      <c r="F3544" s="6">
        <f t="shared" ca="1" si="271"/>
        <v>7.5689621725737242</v>
      </c>
    </row>
    <row r="3545" spans="1:6">
      <c r="A3545" s="1">
        <v>9131929</v>
      </c>
      <c r="B3545">
        <f t="shared" ca="1" si="268"/>
        <v>6.4947649852465816E-2</v>
      </c>
      <c r="C3545" s="1">
        <f t="shared" ca="1" si="267"/>
        <v>1</v>
      </c>
      <c r="D3545" s="1">
        <f t="shared" ca="1" si="269"/>
        <v>474</v>
      </c>
      <c r="E3545" s="2">
        <f t="shared" ca="1" si="270"/>
        <v>42852</v>
      </c>
      <c r="F3545" s="6">
        <f t="shared" ca="1" si="271"/>
        <v>113.90328408474231</v>
      </c>
    </row>
    <row r="3546" spans="1:6">
      <c r="A3546" s="1">
        <v>9131932</v>
      </c>
      <c r="B3546">
        <f t="shared" ca="1" si="268"/>
        <v>0.92437076113114036</v>
      </c>
      <c r="C3546" s="1">
        <f t="shared" ca="1" si="267"/>
        <v>14</v>
      </c>
      <c r="D3546" s="1">
        <f t="shared" ca="1" si="269"/>
        <v>576</v>
      </c>
      <c r="E3546" s="2">
        <f t="shared" ca="1" si="270"/>
        <v>42837</v>
      </c>
      <c r="F3546" s="6">
        <f t="shared" ca="1" si="271"/>
        <v>3.4219178775680357</v>
      </c>
    </row>
    <row r="3547" spans="1:6">
      <c r="A3547" s="1">
        <v>9131935</v>
      </c>
      <c r="B3547">
        <f t="shared" ca="1" si="268"/>
        <v>0.68144828440259053</v>
      </c>
      <c r="C3547" s="1">
        <f t="shared" ref="C3547:C3610" ca="1" si="272">ROUND(_xlfn.GAMMA.INV(RAND(),$J$11,$J$12)*100,0)+1</f>
        <v>84</v>
      </c>
      <c r="D3547" s="1">
        <f t="shared" ca="1" si="269"/>
        <v>536</v>
      </c>
      <c r="E3547" s="2">
        <f t="shared" ca="1" si="270"/>
        <v>43003</v>
      </c>
      <c r="F3547" s="6">
        <f t="shared" ca="1" si="271"/>
        <v>15.083759643102422</v>
      </c>
    </row>
    <row r="3548" spans="1:6">
      <c r="A3548" s="1">
        <v>9131938</v>
      </c>
      <c r="B3548">
        <f t="shared" ca="1" si="268"/>
        <v>0.9501559327441812</v>
      </c>
      <c r="C3548" s="1">
        <f t="shared" ca="1" si="272"/>
        <v>1</v>
      </c>
      <c r="D3548" s="1">
        <f t="shared" ca="1" si="269"/>
        <v>474</v>
      </c>
      <c r="E3548" s="2">
        <f t="shared" ca="1" si="270"/>
        <v>43083</v>
      </c>
      <c r="F3548" s="6">
        <f t="shared" ca="1" si="271"/>
        <v>26.765807898452536</v>
      </c>
    </row>
    <row r="3549" spans="1:6">
      <c r="A3549" s="1">
        <v>9131941</v>
      </c>
      <c r="B3549">
        <f t="shared" ca="1" si="268"/>
        <v>0.5891974253395168</v>
      </c>
      <c r="C3549" s="1">
        <f t="shared" ca="1" si="272"/>
        <v>40</v>
      </c>
      <c r="D3549" s="1">
        <f t="shared" ca="1" si="269"/>
        <v>426</v>
      </c>
      <c r="E3549" s="2">
        <f t="shared" ca="1" si="270"/>
        <v>43338</v>
      </c>
      <c r="F3549" s="6">
        <f t="shared" ca="1" si="271"/>
        <v>16.86678458713962</v>
      </c>
    </row>
    <row r="3550" spans="1:6">
      <c r="A3550" s="1">
        <v>9131944</v>
      </c>
      <c r="B3550">
        <f t="shared" ca="1" si="268"/>
        <v>0.92886874677413889</v>
      </c>
      <c r="C3550" s="1">
        <f t="shared" ca="1" si="272"/>
        <v>32</v>
      </c>
      <c r="D3550" s="1">
        <f t="shared" ca="1" si="269"/>
        <v>497</v>
      </c>
      <c r="E3550" s="2">
        <f t="shared" ca="1" si="270"/>
        <v>43334</v>
      </c>
      <c r="F3550" s="6">
        <f t="shared" ca="1" si="271"/>
        <v>3.3643563324801633</v>
      </c>
    </row>
    <row r="3551" spans="1:6">
      <c r="A3551" s="1">
        <v>9131947</v>
      </c>
      <c r="B3551">
        <f t="shared" ca="1" si="268"/>
        <v>0.61762692448938639</v>
      </c>
      <c r="C3551" s="1">
        <f t="shared" ca="1" si="272"/>
        <v>44</v>
      </c>
      <c r="D3551" s="1">
        <f t="shared" ca="1" si="269"/>
        <v>427</v>
      </c>
      <c r="E3551" s="2">
        <f t="shared" ca="1" si="270"/>
        <v>42884</v>
      </c>
      <c r="F3551" s="6">
        <f t="shared" ca="1" si="271"/>
        <v>8.9454667303384916</v>
      </c>
    </row>
    <row r="3552" spans="1:6">
      <c r="A3552" s="1">
        <v>9131950</v>
      </c>
      <c r="B3552">
        <f t="shared" ca="1" si="268"/>
        <v>0.60077076005882657</v>
      </c>
      <c r="C3552" s="1">
        <f t="shared" ca="1" si="272"/>
        <v>7</v>
      </c>
      <c r="D3552" s="1">
        <f t="shared" ca="1" si="269"/>
        <v>138</v>
      </c>
      <c r="E3552" s="2">
        <f t="shared" ca="1" si="270"/>
        <v>43238</v>
      </c>
      <c r="F3552" s="6">
        <f t="shared" ca="1" si="271"/>
        <v>40.324164507254991</v>
      </c>
    </row>
    <row r="3553" spans="1:6">
      <c r="A3553" s="1">
        <v>9131953</v>
      </c>
      <c r="B3553">
        <f t="shared" ca="1" si="268"/>
        <v>0.19542008966484647</v>
      </c>
      <c r="C3553" s="1">
        <f t="shared" ca="1" si="272"/>
        <v>2</v>
      </c>
      <c r="D3553" s="1">
        <f t="shared" ca="1" si="269"/>
        <v>30</v>
      </c>
      <c r="E3553" s="2">
        <f t="shared" ca="1" si="270"/>
        <v>43225</v>
      </c>
      <c r="F3553" s="6">
        <f t="shared" ca="1" si="271"/>
        <v>21.800602801557979</v>
      </c>
    </row>
    <row r="3554" spans="1:6">
      <c r="A3554" s="1">
        <v>9131956</v>
      </c>
      <c r="B3554">
        <f t="shared" ca="1" si="268"/>
        <v>0.9957798294966671</v>
      </c>
      <c r="C3554" s="1">
        <f t="shared" ca="1" si="272"/>
        <v>183</v>
      </c>
      <c r="D3554" s="1">
        <f t="shared" ca="1" si="269"/>
        <v>5</v>
      </c>
      <c r="E3554" s="2">
        <f t="shared" ca="1" si="270"/>
        <v>43061</v>
      </c>
      <c r="F3554" s="6">
        <f t="shared" ca="1" si="271"/>
        <v>10.805796115952518</v>
      </c>
    </row>
    <row r="3555" spans="1:6">
      <c r="A3555" s="1">
        <v>9131959</v>
      </c>
      <c r="B3555">
        <f t="shared" ca="1" si="268"/>
        <v>0.37008720786365457</v>
      </c>
      <c r="C3555" s="1">
        <f t="shared" ca="1" si="272"/>
        <v>75</v>
      </c>
      <c r="D3555" s="1">
        <f t="shared" ca="1" si="269"/>
        <v>599</v>
      </c>
      <c r="E3555" s="2">
        <f t="shared" ca="1" si="270"/>
        <v>43271</v>
      </c>
      <c r="F3555" s="6">
        <f t="shared" ca="1" si="271"/>
        <v>19.275536874970378</v>
      </c>
    </row>
    <row r="3556" spans="1:6">
      <c r="A3556" s="1">
        <v>9131962</v>
      </c>
      <c r="B3556">
        <f t="shared" ca="1" si="268"/>
        <v>8.3145675477333647E-2</v>
      </c>
      <c r="C3556" s="1">
        <f t="shared" ca="1" si="272"/>
        <v>12</v>
      </c>
      <c r="D3556" s="1">
        <f t="shared" ca="1" si="269"/>
        <v>292</v>
      </c>
      <c r="E3556" s="2">
        <f t="shared" ca="1" si="270"/>
        <v>43038</v>
      </c>
      <c r="F3556" s="6">
        <f t="shared" ca="1" si="271"/>
        <v>94.497641479340388</v>
      </c>
    </row>
    <row r="3557" spans="1:6">
      <c r="A3557" s="1">
        <v>9131965</v>
      </c>
      <c r="B3557">
        <f t="shared" ca="1" si="268"/>
        <v>0.67087531138628398</v>
      </c>
      <c r="C3557" s="1">
        <f t="shared" ca="1" si="272"/>
        <v>65</v>
      </c>
      <c r="D3557" s="1">
        <f t="shared" ca="1" si="269"/>
        <v>463</v>
      </c>
      <c r="E3557" s="2">
        <f t="shared" ca="1" si="270"/>
        <v>43160</v>
      </c>
      <c r="F3557" s="6">
        <f t="shared" ca="1" si="271"/>
        <v>49.062437529012151</v>
      </c>
    </row>
    <row r="3558" spans="1:6">
      <c r="A3558" s="1">
        <v>9131968</v>
      </c>
      <c r="B3558">
        <f t="shared" ca="1" si="268"/>
        <v>0.12442109393671508</v>
      </c>
      <c r="C3558" s="1">
        <f t="shared" ca="1" si="272"/>
        <v>47</v>
      </c>
      <c r="D3558" s="1">
        <f t="shared" ca="1" si="269"/>
        <v>515</v>
      </c>
      <c r="E3558" s="2">
        <f t="shared" ca="1" si="270"/>
        <v>43274</v>
      </c>
      <c r="F3558" s="6">
        <f t="shared" ca="1" si="271"/>
        <v>6.7562892880259531</v>
      </c>
    </row>
    <row r="3559" spans="1:6">
      <c r="A3559" s="1">
        <v>9131971</v>
      </c>
      <c r="B3559">
        <f t="shared" ca="1" si="268"/>
        <v>0.61917434776636138</v>
      </c>
      <c r="C3559" s="1">
        <f t="shared" ca="1" si="272"/>
        <v>463</v>
      </c>
      <c r="D3559" s="1">
        <f t="shared" ca="1" si="269"/>
        <v>114</v>
      </c>
      <c r="E3559" s="2">
        <f t="shared" ca="1" si="270"/>
        <v>43486</v>
      </c>
      <c r="F3559" s="6">
        <f t="shared" ca="1" si="271"/>
        <v>233.84663594996675</v>
      </c>
    </row>
    <row r="3560" spans="1:6">
      <c r="A3560" s="1">
        <v>9131974</v>
      </c>
      <c r="B3560">
        <f t="shared" ca="1" si="268"/>
        <v>0.34070205731471359</v>
      </c>
      <c r="C3560" s="1">
        <f t="shared" ca="1" si="272"/>
        <v>94</v>
      </c>
      <c r="D3560" s="1">
        <f t="shared" ca="1" si="269"/>
        <v>87</v>
      </c>
      <c r="E3560" s="2">
        <f t="shared" ca="1" si="270"/>
        <v>43489</v>
      </c>
      <c r="F3560" s="6">
        <f t="shared" ca="1" si="271"/>
        <v>10.011421112133574</v>
      </c>
    </row>
    <row r="3561" spans="1:6">
      <c r="A3561" s="1">
        <v>9131977</v>
      </c>
      <c r="B3561">
        <f t="shared" ca="1" si="268"/>
        <v>0.68668696490840098</v>
      </c>
      <c r="C3561" s="1">
        <f t="shared" ca="1" si="272"/>
        <v>31</v>
      </c>
      <c r="D3561" s="1">
        <f t="shared" ca="1" si="269"/>
        <v>535</v>
      </c>
      <c r="E3561" s="2">
        <f t="shared" ca="1" si="270"/>
        <v>42742</v>
      </c>
      <c r="F3561" s="6">
        <f t="shared" ca="1" si="271"/>
        <v>3.4012504199040796</v>
      </c>
    </row>
    <row r="3562" spans="1:6">
      <c r="A3562" s="1">
        <v>9131980</v>
      </c>
      <c r="B3562">
        <f t="shared" ca="1" si="268"/>
        <v>0.26388150945434297</v>
      </c>
      <c r="C3562" s="1">
        <f t="shared" ca="1" si="272"/>
        <v>1</v>
      </c>
      <c r="D3562" s="1">
        <f t="shared" ca="1" si="269"/>
        <v>474</v>
      </c>
      <c r="E3562" s="2">
        <f t="shared" ca="1" si="270"/>
        <v>42868</v>
      </c>
      <c r="F3562" s="6">
        <f t="shared" ca="1" si="271"/>
        <v>7.1479811620635925</v>
      </c>
    </row>
    <row r="3563" spans="1:6">
      <c r="A3563" s="1">
        <v>9131983</v>
      </c>
      <c r="B3563">
        <f t="shared" ca="1" si="268"/>
        <v>0.23053868945806788</v>
      </c>
      <c r="C3563" s="1">
        <f t="shared" ca="1" si="272"/>
        <v>103</v>
      </c>
      <c r="D3563" s="1">
        <f t="shared" ca="1" si="269"/>
        <v>55</v>
      </c>
      <c r="E3563" s="2">
        <f t="shared" ca="1" si="270"/>
        <v>43010</v>
      </c>
      <c r="F3563" s="6">
        <f t="shared" ca="1" si="271"/>
        <v>3.0361393543732111</v>
      </c>
    </row>
    <row r="3564" spans="1:6">
      <c r="A3564" s="1">
        <v>9131986</v>
      </c>
      <c r="B3564">
        <f t="shared" ca="1" si="268"/>
        <v>0.5905929631736786</v>
      </c>
      <c r="C3564" s="1">
        <f t="shared" ca="1" si="272"/>
        <v>31</v>
      </c>
      <c r="D3564" s="1">
        <f t="shared" ca="1" si="269"/>
        <v>535</v>
      </c>
      <c r="E3564" s="2">
        <f t="shared" ca="1" si="270"/>
        <v>43231</v>
      </c>
      <c r="F3564" s="6">
        <f t="shared" ca="1" si="271"/>
        <v>256.0682965694906</v>
      </c>
    </row>
    <row r="3565" spans="1:6">
      <c r="A3565" s="1">
        <v>9131989</v>
      </c>
      <c r="B3565">
        <f t="shared" ca="1" si="268"/>
        <v>0.40618529298924155</v>
      </c>
      <c r="C3565" s="1">
        <f t="shared" ca="1" si="272"/>
        <v>42</v>
      </c>
      <c r="D3565" s="1">
        <f t="shared" ca="1" si="269"/>
        <v>36</v>
      </c>
      <c r="E3565" s="2">
        <f t="shared" ca="1" si="270"/>
        <v>43122</v>
      </c>
      <c r="F3565" s="6">
        <f t="shared" ca="1" si="271"/>
        <v>3.8294604527840912</v>
      </c>
    </row>
    <row r="3566" spans="1:6">
      <c r="A3566" s="1">
        <v>9131992</v>
      </c>
      <c r="B3566">
        <f t="shared" ca="1" si="268"/>
        <v>0.45483682626515698</v>
      </c>
      <c r="C3566" s="1">
        <f t="shared" ca="1" si="272"/>
        <v>2</v>
      </c>
      <c r="D3566" s="1">
        <f t="shared" ca="1" si="269"/>
        <v>30</v>
      </c>
      <c r="E3566" s="2">
        <f t="shared" ca="1" si="270"/>
        <v>42853</v>
      </c>
      <c r="F3566" s="6">
        <f t="shared" ca="1" si="271"/>
        <v>44.61230837533617</v>
      </c>
    </row>
    <row r="3567" spans="1:6">
      <c r="A3567" s="1">
        <v>9131995</v>
      </c>
      <c r="B3567">
        <f t="shared" ca="1" si="268"/>
        <v>0.31230001794552997</v>
      </c>
      <c r="C3567" s="1">
        <f t="shared" ca="1" si="272"/>
        <v>5</v>
      </c>
      <c r="D3567" s="1">
        <f t="shared" ca="1" si="269"/>
        <v>363</v>
      </c>
      <c r="E3567" s="2">
        <f t="shared" ca="1" si="270"/>
        <v>43067</v>
      </c>
      <c r="F3567" s="6">
        <f t="shared" ca="1" si="271"/>
        <v>23.92368003187719</v>
      </c>
    </row>
    <row r="3568" spans="1:6">
      <c r="A3568" s="1">
        <v>9131998</v>
      </c>
      <c r="B3568">
        <f t="shared" ca="1" si="268"/>
        <v>0.32678093999426427</v>
      </c>
      <c r="C3568" s="1">
        <f t="shared" ca="1" si="272"/>
        <v>11</v>
      </c>
      <c r="D3568" s="1">
        <f t="shared" ca="1" si="269"/>
        <v>437</v>
      </c>
      <c r="E3568" s="2">
        <f t="shared" ca="1" si="270"/>
        <v>42982</v>
      </c>
      <c r="F3568" s="6">
        <f t="shared" ca="1" si="271"/>
        <v>180.99037318536762</v>
      </c>
    </row>
    <row r="3569" spans="1:6">
      <c r="A3569" s="1">
        <v>9132001</v>
      </c>
      <c r="B3569">
        <f t="shared" ca="1" si="268"/>
        <v>0.81791293120997044</v>
      </c>
      <c r="C3569" s="1">
        <f t="shared" ca="1" si="272"/>
        <v>80</v>
      </c>
      <c r="D3569" s="1">
        <f t="shared" ca="1" si="269"/>
        <v>163</v>
      </c>
      <c r="E3569" s="2">
        <f t="shared" ca="1" si="270"/>
        <v>43479</v>
      </c>
      <c r="F3569" s="6">
        <f t="shared" ca="1" si="271"/>
        <v>59.738195195037889</v>
      </c>
    </row>
    <row r="3570" spans="1:6">
      <c r="A3570" s="1">
        <v>9132004</v>
      </c>
      <c r="B3570">
        <f t="shared" ca="1" si="268"/>
        <v>0.43004518010258974</v>
      </c>
      <c r="C3570" s="1">
        <f t="shared" ca="1" si="272"/>
        <v>74</v>
      </c>
      <c r="D3570" s="1">
        <f t="shared" ca="1" si="269"/>
        <v>450</v>
      </c>
      <c r="E3570" s="2">
        <f t="shared" ca="1" si="270"/>
        <v>43150</v>
      </c>
      <c r="F3570" s="6">
        <f t="shared" ca="1" si="271"/>
        <v>81.415255350120773</v>
      </c>
    </row>
    <row r="3571" spans="1:6">
      <c r="A3571" s="1">
        <v>9132007</v>
      </c>
      <c r="B3571">
        <f t="shared" ca="1" si="268"/>
        <v>0.43478880135551068</v>
      </c>
      <c r="C3571" s="1">
        <f t="shared" ca="1" si="272"/>
        <v>1</v>
      </c>
      <c r="D3571" s="1">
        <f t="shared" ca="1" si="269"/>
        <v>474</v>
      </c>
      <c r="E3571" s="2">
        <f t="shared" ca="1" si="270"/>
        <v>43448</v>
      </c>
      <c r="F3571" s="6">
        <f t="shared" ca="1" si="271"/>
        <v>92.310523578831635</v>
      </c>
    </row>
    <row r="3572" spans="1:6">
      <c r="A3572" s="1">
        <v>9132010</v>
      </c>
      <c r="B3572">
        <f t="shared" ca="1" si="268"/>
        <v>0.80013581632811492</v>
      </c>
      <c r="C3572" s="1">
        <f t="shared" ca="1" si="272"/>
        <v>5</v>
      </c>
      <c r="D3572" s="1">
        <f t="shared" ca="1" si="269"/>
        <v>363</v>
      </c>
      <c r="E3572" s="2">
        <f t="shared" ca="1" si="270"/>
        <v>43067</v>
      </c>
      <c r="F3572" s="6">
        <f t="shared" ca="1" si="271"/>
        <v>8.1067014695281969</v>
      </c>
    </row>
    <row r="3573" spans="1:6">
      <c r="A3573" s="1">
        <v>9132013</v>
      </c>
      <c r="B3573">
        <f t="shared" ca="1" si="268"/>
        <v>0.79140781701709018</v>
      </c>
      <c r="C3573" s="1">
        <f t="shared" ca="1" si="272"/>
        <v>34</v>
      </c>
      <c r="D3573" s="1">
        <f t="shared" ca="1" si="269"/>
        <v>503</v>
      </c>
      <c r="E3573" s="2">
        <f t="shared" ca="1" si="270"/>
        <v>43364</v>
      </c>
      <c r="F3573" s="6">
        <f t="shared" ca="1" si="271"/>
        <v>111.68445236280846</v>
      </c>
    </row>
    <row r="3574" spans="1:6">
      <c r="A3574" s="1">
        <v>9132016</v>
      </c>
      <c r="B3574">
        <f t="shared" ca="1" si="268"/>
        <v>0.234293486340165</v>
      </c>
      <c r="C3574" s="1">
        <f t="shared" ca="1" si="272"/>
        <v>15</v>
      </c>
      <c r="D3574" s="1">
        <f t="shared" ca="1" si="269"/>
        <v>284</v>
      </c>
      <c r="E3574" s="2">
        <f t="shared" ca="1" si="270"/>
        <v>43068</v>
      </c>
      <c r="F3574" s="6">
        <f t="shared" ca="1" si="271"/>
        <v>3.3906787475026445</v>
      </c>
    </row>
    <row r="3575" spans="1:6">
      <c r="A3575" s="1">
        <v>9132019</v>
      </c>
      <c r="B3575">
        <f t="shared" ca="1" si="268"/>
        <v>0.15481286435877162</v>
      </c>
      <c r="C3575" s="1">
        <f t="shared" ca="1" si="272"/>
        <v>1</v>
      </c>
      <c r="D3575" s="1">
        <f t="shared" ca="1" si="269"/>
        <v>474</v>
      </c>
      <c r="E3575" s="2">
        <f t="shared" ca="1" si="270"/>
        <v>42925</v>
      </c>
      <c r="F3575" s="6">
        <f t="shared" ca="1" si="271"/>
        <v>28.53166555497819</v>
      </c>
    </row>
    <row r="3576" spans="1:6">
      <c r="A3576" s="1">
        <v>9132022</v>
      </c>
      <c r="B3576">
        <f t="shared" ca="1" si="268"/>
        <v>0.67810480497757963</v>
      </c>
      <c r="C3576" s="1">
        <f t="shared" ca="1" si="272"/>
        <v>10</v>
      </c>
      <c r="D3576" s="1">
        <f t="shared" ca="1" si="269"/>
        <v>236</v>
      </c>
      <c r="E3576" s="2">
        <f t="shared" ca="1" si="270"/>
        <v>42873</v>
      </c>
      <c r="F3576" s="6">
        <f t="shared" ca="1" si="271"/>
        <v>7.3118536891239332</v>
      </c>
    </row>
    <row r="3577" spans="1:6">
      <c r="A3577" s="1">
        <v>9132025</v>
      </c>
      <c r="B3577">
        <f t="shared" ca="1" si="268"/>
        <v>7.4961470989134971E-2</v>
      </c>
      <c r="C3577" s="1">
        <f t="shared" ca="1" si="272"/>
        <v>2</v>
      </c>
      <c r="D3577" s="1">
        <f t="shared" ca="1" si="269"/>
        <v>30</v>
      </c>
      <c r="E3577" s="2">
        <f t="shared" ca="1" si="270"/>
        <v>43138</v>
      </c>
      <c r="F3577" s="6">
        <f t="shared" ca="1" si="271"/>
        <v>5.3969089780941042</v>
      </c>
    </row>
    <row r="3578" spans="1:6">
      <c r="A3578" s="1">
        <v>9132028</v>
      </c>
      <c r="B3578">
        <f t="shared" ca="1" si="268"/>
        <v>0.28522991893190164</v>
      </c>
      <c r="C3578" s="1">
        <f t="shared" ca="1" si="272"/>
        <v>1</v>
      </c>
      <c r="D3578" s="1">
        <f t="shared" ca="1" si="269"/>
        <v>474</v>
      </c>
      <c r="E3578" s="2">
        <f t="shared" ca="1" si="270"/>
        <v>42758</v>
      </c>
      <c r="F3578" s="6">
        <f t="shared" ca="1" si="271"/>
        <v>234.81549380053212</v>
      </c>
    </row>
    <row r="3579" spans="1:6">
      <c r="A3579" s="1">
        <v>9132031</v>
      </c>
      <c r="B3579">
        <f t="shared" ca="1" si="268"/>
        <v>3.4183938974933215E-2</v>
      </c>
      <c r="C3579" s="1">
        <f t="shared" ca="1" si="272"/>
        <v>112</v>
      </c>
      <c r="D3579" s="1">
        <f t="shared" ca="1" si="269"/>
        <v>582</v>
      </c>
      <c r="E3579" s="2">
        <f t="shared" ca="1" si="270"/>
        <v>43302</v>
      </c>
      <c r="F3579" s="6">
        <f t="shared" ca="1" si="271"/>
        <v>46.247279541318868</v>
      </c>
    </row>
    <row r="3580" spans="1:6">
      <c r="A3580" s="1">
        <v>9132034</v>
      </c>
      <c r="B3580">
        <f t="shared" ref="B3580:B3643" ca="1" si="273">RAND()</f>
        <v>3.2807702300433839E-2</v>
      </c>
      <c r="C3580" s="1">
        <f t="shared" ca="1" si="272"/>
        <v>22</v>
      </c>
      <c r="D3580" s="1">
        <f t="shared" ref="D3580:D3643" ca="1" si="274">VLOOKUP(SMALL($B$2:$B$601,C3580),$B$2:$C$601,2,FALSE)</f>
        <v>413</v>
      </c>
      <c r="E3580" s="2">
        <f t="shared" ca="1" si="270"/>
        <v>42998</v>
      </c>
      <c r="F3580" s="6">
        <f t="shared" ca="1" si="271"/>
        <v>59.913563463043815</v>
      </c>
    </row>
    <row r="3581" spans="1:6">
      <c r="A3581" s="1">
        <v>9132037</v>
      </c>
      <c r="B3581">
        <f t="shared" ca="1" si="273"/>
        <v>0.97908344783323364</v>
      </c>
      <c r="C3581" s="1">
        <f t="shared" ca="1" si="272"/>
        <v>22</v>
      </c>
      <c r="D3581" s="1">
        <f t="shared" ca="1" si="274"/>
        <v>413</v>
      </c>
      <c r="E3581" s="2">
        <f t="shared" ca="1" si="270"/>
        <v>43302</v>
      </c>
      <c r="F3581" s="6">
        <f t="shared" ca="1" si="271"/>
        <v>11.915323560291357</v>
      </c>
    </row>
    <row r="3582" spans="1:6">
      <c r="A3582" s="1">
        <v>9132040</v>
      </c>
      <c r="B3582">
        <f t="shared" ca="1" si="273"/>
        <v>0.93683940508243102</v>
      </c>
      <c r="C3582" s="1">
        <f t="shared" ca="1" si="272"/>
        <v>1</v>
      </c>
      <c r="D3582" s="1">
        <f t="shared" ca="1" si="274"/>
        <v>474</v>
      </c>
      <c r="E3582" s="2">
        <f t="shared" ca="1" si="270"/>
        <v>42839</v>
      </c>
      <c r="F3582" s="6">
        <f t="shared" ca="1" si="271"/>
        <v>91.396324845285989</v>
      </c>
    </row>
    <row r="3583" spans="1:6">
      <c r="A3583" s="1">
        <v>9132043</v>
      </c>
      <c r="B3583">
        <f t="shared" ca="1" si="273"/>
        <v>0.10460786457853044</v>
      </c>
      <c r="C3583" s="1">
        <f t="shared" ca="1" si="272"/>
        <v>1</v>
      </c>
      <c r="D3583" s="1">
        <f t="shared" ca="1" si="274"/>
        <v>474</v>
      </c>
      <c r="E3583" s="2">
        <f t="shared" ca="1" si="270"/>
        <v>43317</v>
      </c>
      <c r="F3583" s="6">
        <f t="shared" ca="1" si="271"/>
        <v>5.3035337533239764</v>
      </c>
    </row>
    <row r="3584" spans="1:6">
      <c r="A3584" s="1">
        <v>9132046</v>
      </c>
      <c r="B3584">
        <f t="shared" ca="1" si="273"/>
        <v>0.65697953427715294</v>
      </c>
      <c r="C3584" s="1">
        <f t="shared" ca="1" si="272"/>
        <v>3</v>
      </c>
      <c r="D3584" s="1">
        <f t="shared" ca="1" si="274"/>
        <v>263</v>
      </c>
      <c r="E3584" s="2">
        <f t="shared" ca="1" si="270"/>
        <v>42969</v>
      </c>
      <c r="F3584" s="6">
        <f t="shared" ca="1" si="271"/>
        <v>21.245193429193822</v>
      </c>
    </row>
    <row r="3585" spans="1:6">
      <c r="A3585" s="1">
        <v>9132049</v>
      </c>
      <c r="B3585">
        <f t="shared" ca="1" si="273"/>
        <v>0.19422334920131623</v>
      </c>
      <c r="C3585" s="1">
        <f t="shared" ca="1" si="272"/>
        <v>4</v>
      </c>
      <c r="D3585" s="1">
        <f t="shared" ca="1" si="274"/>
        <v>493</v>
      </c>
      <c r="E3585" s="2">
        <f t="shared" ca="1" si="270"/>
        <v>43156</v>
      </c>
      <c r="F3585" s="6">
        <f t="shared" ca="1" si="271"/>
        <v>3.3340727176458902</v>
      </c>
    </row>
    <row r="3586" spans="1:6">
      <c r="A3586" s="1">
        <v>9132052</v>
      </c>
      <c r="B3586">
        <f t="shared" ca="1" si="273"/>
        <v>0.79586401211138047</v>
      </c>
      <c r="C3586" s="1">
        <f t="shared" ca="1" si="272"/>
        <v>2</v>
      </c>
      <c r="D3586" s="1">
        <f t="shared" ca="1" si="274"/>
        <v>30</v>
      </c>
      <c r="E3586" s="2">
        <f t="shared" ca="1" si="270"/>
        <v>43133</v>
      </c>
      <c r="F3586" s="6">
        <f t="shared" ca="1" si="271"/>
        <v>105.76325337268972</v>
      </c>
    </row>
    <row r="3587" spans="1:6">
      <c r="A3587" s="1">
        <v>9132055</v>
      </c>
      <c r="B3587">
        <f t="shared" ca="1" si="273"/>
        <v>0.84024511124432977</v>
      </c>
      <c r="C3587" s="1">
        <f t="shared" ca="1" si="272"/>
        <v>85</v>
      </c>
      <c r="D3587" s="1">
        <f t="shared" ca="1" si="274"/>
        <v>81</v>
      </c>
      <c r="E3587" s="2">
        <f t="shared" ref="E3587:E3650" ca="1" si="275">RANDBETWEEN("1/1/17","2/1/19")</f>
        <v>43459</v>
      </c>
      <c r="F3587" s="6">
        <f t="shared" ref="F3587:F3650" ca="1" si="276">_xlfn.GAMMA.INV(RAND(),$J$6,$J$7)*100+3</f>
        <v>3.1237633543764445</v>
      </c>
    </row>
    <row r="3588" spans="1:6">
      <c r="A3588" s="1">
        <v>9132058</v>
      </c>
      <c r="B3588">
        <f t="shared" ca="1" si="273"/>
        <v>0.97035524712741372</v>
      </c>
      <c r="C3588" s="1">
        <f t="shared" ca="1" si="272"/>
        <v>2</v>
      </c>
      <c r="D3588" s="1">
        <f t="shared" ca="1" si="274"/>
        <v>30</v>
      </c>
      <c r="E3588" s="2">
        <f t="shared" ca="1" si="275"/>
        <v>43227</v>
      </c>
      <c r="F3588" s="6">
        <f t="shared" ca="1" si="276"/>
        <v>136.48211971521548</v>
      </c>
    </row>
    <row r="3589" spans="1:6">
      <c r="A3589" s="1">
        <v>9132061</v>
      </c>
      <c r="B3589">
        <f t="shared" ca="1" si="273"/>
        <v>0.15481560400498484</v>
      </c>
      <c r="C3589" s="1">
        <f t="shared" ca="1" si="272"/>
        <v>97</v>
      </c>
      <c r="D3589" s="1">
        <f t="shared" ca="1" si="274"/>
        <v>460</v>
      </c>
      <c r="E3589" s="2">
        <f t="shared" ca="1" si="275"/>
        <v>42973</v>
      </c>
      <c r="F3589" s="6">
        <f t="shared" ca="1" si="276"/>
        <v>43.323983851698628</v>
      </c>
    </row>
    <row r="3590" spans="1:6">
      <c r="A3590" s="1">
        <v>9132064</v>
      </c>
      <c r="B3590">
        <f t="shared" ca="1" si="273"/>
        <v>0.97691931871579341</v>
      </c>
      <c r="C3590" s="1">
        <f t="shared" ca="1" si="272"/>
        <v>8</v>
      </c>
      <c r="D3590" s="1">
        <f t="shared" ca="1" si="274"/>
        <v>456</v>
      </c>
      <c r="E3590" s="2">
        <f t="shared" ca="1" si="275"/>
        <v>42947</v>
      </c>
      <c r="F3590" s="6">
        <f t="shared" ca="1" si="276"/>
        <v>29.303204586398948</v>
      </c>
    </row>
    <row r="3591" spans="1:6">
      <c r="A3591" s="1">
        <v>9132067</v>
      </c>
      <c r="B3591">
        <f t="shared" ca="1" si="273"/>
        <v>0.88901121770736358</v>
      </c>
      <c r="C3591" s="1">
        <f t="shared" ca="1" si="272"/>
        <v>15</v>
      </c>
      <c r="D3591" s="1">
        <f t="shared" ca="1" si="274"/>
        <v>284</v>
      </c>
      <c r="E3591" s="2">
        <f t="shared" ca="1" si="275"/>
        <v>43299</v>
      </c>
      <c r="F3591" s="6">
        <f t="shared" ca="1" si="276"/>
        <v>107.92424674887371</v>
      </c>
    </row>
    <row r="3592" spans="1:6">
      <c r="A3592" s="1">
        <v>9132070</v>
      </c>
      <c r="B3592">
        <f t="shared" ca="1" si="273"/>
        <v>0.64955034309742699</v>
      </c>
      <c r="C3592" s="1">
        <f t="shared" ca="1" si="272"/>
        <v>3</v>
      </c>
      <c r="D3592" s="1">
        <f t="shared" ca="1" si="274"/>
        <v>263</v>
      </c>
      <c r="E3592" s="2">
        <f t="shared" ca="1" si="275"/>
        <v>43384</v>
      </c>
      <c r="F3592" s="6">
        <f t="shared" ca="1" si="276"/>
        <v>57.699419505350924</v>
      </c>
    </row>
    <row r="3593" spans="1:6">
      <c r="A3593" s="1">
        <v>9132073</v>
      </c>
      <c r="B3593">
        <f t="shared" ca="1" si="273"/>
        <v>0.17373663677432627</v>
      </c>
      <c r="C3593" s="1">
        <f t="shared" ca="1" si="272"/>
        <v>39</v>
      </c>
      <c r="D3593" s="1">
        <f t="shared" ca="1" si="274"/>
        <v>402</v>
      </c>
      <c r="E3593" s="2">
        <f t="shared" ca="1" si="275"/>
        <v>43070</v>
      </c>
      <c r="F3593" s="6">
        <f t="shared" ca="1" si="276"/>
        <v>131.81728552530097</v>
      </c>
    </row>
    <row r="3594" spans="1:6">
      <c r="A3594" s="1">
        <v>9132076</v>
      </c>
      <c r="B3594">
        <f t="shared" ca="1" si="273"/>
        <v>0.90193801122895678</v>
      </c>
      <c r="C3594" s="1">
        <f t="shared" ca="1" si="272"/>
        <v>1</v>
      </c>
      <c r="D3594" s="1">
        <f t="shared" ca="1" si="274"/>
        <v>474</v>
      </c>
      <c r="E3594" s="2">
        <f t="shared" ca="1" si="275"/>
        <v>43401</v>
      </c>
      <c r="F3594" s="6">
        <f t="shared" ca="1" si="276"/>
        <v>212.93595948321376</v>
      </c>
    </row>
    <row r="3595" spans="1:6">
      <c r="A3595" s="1">
        <v>9132079</v>
      </c>
      <c r="B3595">
        <f t="shared" ca="1" si="273"/>
        <v>0.5837763917206692</v>
      </c>
      <c r="C3595" s="1">
        <f t="shared" ca="1" si="272"/>
        <v>52</v>
      </c>
      <c r="D3595" s="1">
        <f t="shared" ca="1" si="274"/>
        <v>574</v>
      </c>
      <c r="E3595" s="2">
        <f t="shared" ca="1" si="275"/>
        <v>42833</v>
      </c>
      <c r="F3595" s="6">
        <f t="shared" ca="1" si="276"/>
        <v>7.2256029109604656</v>
      </c>
    </row>
    <row r="3596" spans="1:6">
      <c r="A3596" s="1">
        <v>9132082</v>
      </c>
      <c r="B3596">
        <f t="shared" ca="1" si="273"/>
        <v>0.80137670920044723</v>
      </c>
      <c r="C3596" s="1">
        <f t="shared" ca="1" si="272"/>
        <v>53</v>
      </c>
      <c r="D3596" s="1">
        <f t="shared" ca="1" si="274"/>
        <v>155</v>
      </c>
      <c r="E3596" s="2">
        <f t="shared" ca="1" si="275"/>
        <v>43288</v>
      </c>
      <c r="F3596" s="6">
        <f t="shared" ca="1" si="276"/>
        <v>3.057225721473114</v>
      </c>
    </row>
    <row r="3597" spans="1:6">
      <c r="A3597" s="1">
        <v>9132085</v>
      </c>
      <c r="B3597">
        <f t="shared" ca="1" si="273"/>
        <v>0.31290934494045974</v>
      </c>
      <c r="C3597" s="1">
        <f t="shared" ca="1" si="272"/>
        <v>53</v>
      </c>
      <c r="D3597" s="1">
        <f t="shared" ca="1" si="274"/>
        <v>155</v>
      </c>
      <c r="E3597" s="2">
        <f t="shared" ca="1" si="275"/>
        <v>42886</v>
      </c>
      <c r="F3597" s="6">
        <f t="shared" ca="1" si="276"/>
        <v>20.520332125152766</v>
      </c>
    </row>
    <row r="3598" spans="1:6">
      <c r="A3598" s="1">
        <v>9132088</v>
      </c>
      <c r="B3598">
        <f t="shared" ca="1" si="273"/>
        <v>0.33568538076684107</v>
      </c>
      <c r="C3598" s="1">
        <f t="shared" ca="1" si="272"/>
        <v>24</v>
      </c>
      <c r="D3598" s="1">
        <f t="shared" ca="1" si="274"/>
        <v>334</v>
      </c>
      <c r="E3598" s="2">
        <f t="shared" ca="1" si="275"/>
        <v>42888</v>
      </c>
      <c r="F3598" s="6">
        <f t="shared" ca="1" si="276"/>
        <v>72.581835879386432</v>
      </c>
    </row>
    <row r="3599" spans="1:6">
      <c r="A3599" s="1">
        <v>9132091</v>
      </c>
      <c r="B3599">
        <f t="shared" ca="1" si="273"/>
        <v>0.28916710457662997</v>
      </c>
      <c r="C3599" s="1">
        <f t="shared" ca="1" si="272"/>
        <v>282</v>
      </c>
      <c r="D3599" s="1">
        <f t="shared" ca="1" si="274"/>
        <v>207</v>
      </c>
      <c r="E3599" s="2">
        <f t="shared" ca="1" si="275"/>
        <v>42766</v>
      </c>
      <c r="F3599" s="6">
        <f t="shared" ca="1" si="276"/>
        <v>25.972468077217584</v>
      </c>
    </row>
    <row r="3600" spans="1:6">
      <c r="A3600" s="1">
        <v>9132094</v>
      </c>
      <c r="B3600">
        <f t="shared" ca="1" si="273"/>
        <v>0.20590260802081783</v>
      </c>
      <c r="C3600" s="1">
        <f t="shared" ca="1" si="272"/>
        <v>11</v>
      </c>
      <c r="D3600" s="1">
        <f t="shared" ca="1" si="274"/>
        <v>437</v>
      </c>
      <c r="E3600" s="2">
        <f t="shared" ca="1" si="275"/>
        <v>43188</v>
      </c>
      <c r="F3600" s="6">
        <f t="shared" ca="1" si="276"/>
        <v>47.590710388193976</v>
      </c>
    </row>
    <row r="3601" spans="1:6">
      <c r="A3601" s="1">
        <v>9132097</v>
      </c>
      <c r="B3601">
        <f t="shared" ca="1" si="273"/>
        <v>0.78503512209646042</v>
      </c>
      <c r="C3601" s="1">
        <f t="shared" ca="1" si="272"/>
        <v>43</v>
      </c>
      <c r="D3601" s="1">
        <f t="shared" ca="1" si="274"/>
        <v>73</v>
      </c>
      <c r="E3601" s="2">
        <f t="shared" ca="1" si="275"/>
        <v>43447</v>
      </c>
      <c r="F3601" s="6">
        <f t="shared" ca="1" si="276"/>
        <v>52.229354011963821</v>
      </c>
    </row>
    <row r="3602" spans="1:6">
      <c r="A3602" s="1">
        <v>9132100</v>
      </c>
      <c r="B3602">
        <f t="shared" ca="1" si="273"/>
        <v>0.24302669061530047</v>
      </c>
      <c r="C3602" s="1">
        <f t="shared" ca="1" si="272"/>
        <v>8</v>
      </c>
      <c r="D3602" s="1">
        <f t="shared" ca="1" si="274"/>
        <v>456</v>
      </c>
      <c r="E3602" s="2">
        <f t="shared" ca="1" si="275"/>
        <v>43381</v>
      </c>
      <c r="F3602" s="6">
        <f t="shared" ca="1" si="276"/>
        <v>4.2689086004201018</v>
      </c>
    </row>
    <row r="3603" spans="1:6">
      <c r="A3603" s="1">
        <v>9132103</v>
      </c>
      <c r="B3603">
        <f t="shared" ca="1" si="273"/>
        <v>0.54048733587927367</v>
      </c>
      <c r="C3603" s="1">
        <f t="shared" ca="1" si="272"/>
        <v>2</v>
      </c>
      <c r="D3603" s="1">
        <f t="shared" ca="1" si="274"/>
        <v>30</v>
      </c>
      <c r="E3603" s="2">
        <f t="shared" ca="1" si="275"/>
        <v>42890</v>
      </c>
      <c r="F3603" s="6">
        <f t="shared" ca="1" si="276"/>
        <v>65.752616000989889</v>
      </c>
    </row>
    <row r="3604" spans="1:6">
      <c r="A3604" s="1">
        <v>9132106</v>
      </c>
      <c r="B3604">
        <f t="shared" ca="1" si="273"/>
        <v>0.25797155333398447</v>
      </c>
      <c r="C3604" s="1">
        <f t="shared" ca="1" si="272"/>
        <v>48</v>
      </c>
      <c r="D3604" s="1">
        <f t="shared" ca="1" si="274"/>
        <v>424</v>
      </c>
      <c r="E3604" s="2">
        <f t="shared" ca="1" si="275"/>
        <v>42899</v>
      </c>
      <c r="F3604" s="6">
        <f t="shared" ca="1" si="276"/>
        <v>100.49912529299249</v>
      </c>
    </row>
    <row r="3605" spans="1:6">
      <c r="A3605" s="1">
        <v>9132109</v>
      </c>
      <c r="B3605">
        <f t="shared" ca="1" si="273"/>
        <v>0.44431447385496226</v>
      </c>
      <c r="C3605" s="1">
        <f t="shared" ca="1" si="272"/>
        <v>7</v>
      </c>
      <c r="D3605" s="1">
        <f t="shared" ca="1" si="274"/>
        <v>138</v>
      </c>
      <c r="E3605" s="2">
        <f t="shared" ca="1" si="275"/>
        <v>43283</v>
      </c>
      <c r="F3605" s="6">
        <f t="shared" ca="1" si="276"/>
        <v>16.825128935492422</v>
      </c>
    </row>
    <row r="3606" spans="1:6">
      <c r="A3606" s="1">
        <v>9132112</v>
      </c>
      <c r="B3606">
        <f t="shared" ca="1" si="273"/>
        <v>0.81430439036123148</v>
      </c>
      <c r="C3606" s="1">
        <f t="shared" ca="1" si="272"/>
        <v>93</v>
      </c>
      <c r="D3606" s="1">
        <f t="shared" ca="1" si="274"/>
        <v>518</v>
      </c>
      <c r="E3606" s="2">
        <f t="shared" ca="1" si="275"/>
        <v>42964</v>
      </c>
      <c r="F3606" s="6">
        <f t="shared" ca="1" si="276"/>
        <v>200.15519587332767</v>
      </c>
    </row>
    <row r="3607" spans="1:6">
      <c r="A3607" s="1">
        <v>9132115</v>
      </c>
      <c r="B3607">
        <f t="shared" ca="1" si="273"/>
        <v>0.88120807980938443</v>
      </c>
      <c r="C3607" s="1">
        <f t="shared" ca="1" si="272"/>
        <v>1</v>
      </c>
      <c r="D3607" s="1">
        <f t="shared" ca="1" si="274"/>
        <v>474</v>
      </c>
      <c r="E3607" s="2">
        <f t="shared" ca="1" si="275"/>
        <v>43401</v>
      </c>
      <c r="F3607" s="6">
        <f t="shared" ca="1" si="276"/>
        <v>59.989405836461493</v>
      </c>
    </row>
    <row r="3608" spans="1:6">
      <c r="A3608" s="1">
        <v>9132118</v>
      </c>
      <c r="B3608">
        <f t="shared" ca="1" si="273"/>
        <v>0.23394986580068089</v>
      </c>
      <c r="C3608" s="1">
        <f t="shared" ca="1" si="272"/>
        <v>74</v>
      </c>
      <c r="D3608" s="1">
        <f t="shared" ca="1" si="274"/>
        <v>450</v>
      </c>
      <c r="E3608" s="2">
        <f t="shared" ca="1" si="275"/>
        <v>43004</v>
      </c>
      <c r="F3608" s="6">
        <f t="shared" ca="1" si="276"/>
        <v>13.208740170401001</v>
      </c>
    </row>
    <row r="3609" spans="1:6">
      <c r="A3609" s="1">
        <v>9132121</v>
      </c>
      <c r="B3609">
        <f t="shared" ca="1" si="273"/>
        <v>0.83542097372667523</v>
      </c>
      <c r="C3609" s="1">
        <f t="shared" ca="1" si="272"/>
        <v>154</v>
      </c>
      <c r="D3609" s="1">
        <f t="shared" ca="1" si="274"/>
        <v>177</v>
      </c>
      <c r="E3609" s="2">
        <f t="shared" ca="1" si="275"/>
        <v>42765</v>
      </c>
      <c r="F3609" s="6">
        <f t="shared" ca="1" si="276"/>
        <v>22.548710331344999</v>
      </c>
    </row>
    <row r="3610" spans="1:6">
      <c r="A3610" s="1">
        <v>9132124</v>
      </c>
      <c r="B3610">
        <f t="shared" ca="1" si="273"/>
        <v>0.78755160610228336</v>
      </c>
      <c r="C3610" s="1">
        <f t="shared" ca="1" si="272"/>
        <v>21</v>
      </c>
      <c r="D3610" s="1">
        <f t="shared" ca="1" si="274"/>
        <v>566</v>
      </c>
      <c r="E3610" s="2">
        <f t="shared" ca="1" si="275"/>
        <v>43105</v>
      </c>
      <c r="F3610" s="6">
        <f t="shared" ca="1" si="276"/>
        <v>97.452872033431092</v>
      </c>
    </row>
    <row r="3611" spans="1:6">
      <c r="A3611" s="1">
        <v>9132127</v>
      </c>
      <c r="B3611">
        <f t="shared" ca="1" si="273"/>
        <v>0.83083429782175755</v>
      </c>
      <c r="C3611" s="1">
        <f t="shared" ref="C3611:C3674" ca="1" si="277">ROUND(_xlfn.GAMMA.INV(RAND(),$J$11,$J$12)*100,0)+1</f>
        <v>11</v>
      </c>
      <c r="D3611" s="1">
        <f t="shared" ca="1" si="274"/>
        <v>437</v>
      </c>
      <c r="E3611" s="2">
        <f t="shared" ca="1" si="275"/>
        <v>42971</v>
      </c>
      <c r="F3611" s="6">
        <f t="shared" ca="1" si="276"/>
        <v>27.733157206951152</v>
      </c>
    </row>
    <row r="3612" spans="1:6">
      <c r="A3612" s="1">
        <v>9132130</v>
      </c>
      <c r="B3612">
        <f t="shared" ca="1" si="273"/>
        <v>9.4741008465941912E-2</v>
      </c>
      <c r="C3612" s="1">
        <f t="shared" ca="1" si="277"/>
        <v>1</v>
      </c>
      <c r="D3612" s="1">
        <f t="shared" ca="1" si="274"/>
        <v>474</v>
      </c>
      <c r="E3612" s="2">
        <f t="shared" ca="1" si="275"/>
        <v>43301</v>
      </c>
      <c r="F3612" s="6">
        <f t="shared" ca="1" si="276"/>
        <v>49.958218250796826</v>
      </c>
    </row>
    <row r="3613" spans="1:6">
      <c r="A3613" s="1">
        <v>9132133</v>
      </c>
      <c r="B3613">
        <f t="shared" ca="1" si="273"/>
        <v>0.98656264602074428</v>
      </c>
      <c r="C3613" s="1">
        <f t="shared" ca="1" si="277"/>
        <v>22</v>
      </c>
      <c r="D3613" s="1">
        <f t="shared" ca="1" si="274"/>
        <v>413</v>
      </c>
      <c r="E3613" s="2">
        <f t="shared" ca="1" si="275"/>
        <v>42819</v>
      </c>
      <c r="F3613" s="6">
        <f t="shared" ca="1" si="276"/>
        <v>3.8981265491694654</v>
      </c>
    </row>
    <row r="3614" spans="1:6">
      <c r="A3614" s="1">
        <v>9132136</v>
      </c>
      <c r="B3614">
        <f t="shared" ca="1" si="273"/>
        <v>0.26112148023962167</v>
      </c>
      <c r="C3614" s="1">
        <f t="shared" ca="1" si="277"/>
        <v>1</v>
      </c>
      <c r="D3614" s="1">
        <f t="shared" ca="1" si="274"/>
        <v>474</v>
      </c>
      <c r="E3614" s="2">
        <f t="shared" ca="1" si="275"/>
        <v>43377</v>
      </c>
      <c r="F3614" s="6">
        <f t="shared" ca="1" si="276"/>
        <v>209.17121962656086</v>
      </c>
    </row>
    <row r="3615" spans="1:6">
      <c r="A3615" s="1">
        <v>9132139</v>
      </c>
      <c r="B3615">
        <f t="shared" ca="1" si="273"/>
        <v>0.64722395230590901</v>
      </c>
      <c r="C3615" s="1">
        <f t="shared" ca="1" si="277"/>
        <v>25</v>
      </c>
      <c r="D3615" s="1">
        <f t="shared" ca="1" si="274"/>
        <v>257</v>
      </c>
      <c r="E3615" s="2">
        <f t="shared" ca="1" si="275"/>
        <v>43073</v>
      </c>
      <c r="F3615" s="6">
        <f t="shared" ca="1" si="276"/>
        <v>155.7020405324412</v>
      </c>
    </row>
    <row r="3616" spans="1:6">
      <c r="A3616" s="1">
        <v>9132142</v>
      </c>
      <c r="B3616">
        <f t="shared" ca="1" si="273"/>
        <v>0.64013729545376785</v>
      </c>
      <c r="C3616" s="1">
        <f t="shared" ca="1" si="277"/>
        <v>85</v>
      </c>
      <c r="D3616" s="1">
        <f t="shared" ca="1" si="274"/>
        <v>81</v>
      </c>
      <c r="E3616" s="2">
        <f t="shared" ca="1" si="275"/>
        <v>43104</v>
      </c>
      <c r="F3616" s="6">
        <f t="shared" ca="1" si="276"/>
        <v>3.4909030032020394</v>
      </c>
    </row>
    <row r="3617" spans="1:6">
      <c r="A3617" s="1">
        <v>9132145</v>
      </c>
      <c r="B3617">
        <f t="shared" ca="1" si="273"/>
        <v>0.84219476645978186</v>
      </c>
      <c r="C3617" s="1">
        <f t="shared" ca="1" si="277"/>
        <v>31</v>
      </c>
      <c r="D3617" s="1">
        <f t="shared" ca="1" si="274"/>
        <v>535</v>
      </c>
      <c r="E3617" s="2">
        <f t="shared" ca="1" si="275"/>
        <v>43242</v>
      </c>
      <c r="F3617" s="6">
        <f t="shared" ca="1" si="276"/>
        <v>55.222615278138342</v>
      </c>
    </row>
    <row r="3618" spans="1:6">
      <c r="A3618" s="1">
        <v>9132148</v>
      </c>
      <c r="B3618">
        <f t="shared" ca="1" si="273"/>
        <v>0.71157747979344821</v>
      </c>
      <c r="C3618" s="1">
        <f t="shared" ca="1" si="277"/>
        <v>1</v>
      </c>
      <c r="D3618" s="1">
        <f t="shared" ca="1" si="274"/>
        <v>474</v>
      </c>
      <c r="E3618" s="2">
        <f t="shared" ca="1" si="275"/>
        <v>42795</v>
      </c>
      <c r="F3618" s="6">
        <f t="shared" ca="1" si="276"/>
        <v>21.012540398157697</v>
      </c>
    </row>
    <row r="3619" spans="1:6">
      <c r="A3619" s="1">
        <v>9132151</v>
      </c>
      <c r="B3619">
        <f t="shared" ca="1" si="273"/>
        <v>0.25732174594193169</v>
      </c>
      <c r="C3619" s="1">
        <f t="shared" ca="1" si="277"/>
        <v>60</v>
      </c>
      <c r="D3619" s="1">
        <f t="shared" ca="1" si="274"/>
        <v>422</v>
      </c>
      <c r="E3619" s="2">
        <f t="shared" ca="1" si="275"/>
        <v>42789</v>
      </c>
      <c r="F3619" s="6">
        <f t="shared" ca="1" si="276"/>
        <v>64.837533920406841</v>
      </c>
    </row>
    <row r="3620" spans="1:6">
      <c r="A3620" s="1">
        <v>9132154</v>
      </c>
      <c r="B3620">
        <f t="shared" ca="1" si="273"/>
        <v>0.67217091692490138</v>
      </c>
      <c r="C3620" s="1">
        <f t="shared" ca="1" si="277"/>
        <v>11</v>
      </c>
      <c r="D3620" s="1">
        <f t="shared" ca="1" si="274"/>
        <v>437</v>
      </c>
      <c r="E3620" s="2">
        <f t="shared" ca="1" si="275"/>
        <v>43355</v>
      </c>
      <c r="F3620" s="6">
        <f t="shared" ca="1" si="276"/>
        <v>32.444539458982284</v>
      </c>
    </row>
    <row r="3621" spans="1:6">
      <c r="A3621" s="1">
        <v>9132157</v>
      </c>
      <c r="B3621">
        <f t="shared" ca="1" si="273"/>
        <v>0.32497800739620086</v>
      </c>
      <c r="C3621" s="1">
        <f t="shared" ca="1" si="277"/>
        <v>40</v>
      </c>
      <c r="D3621" s="1">
        <f t="shared" ca="1" si="274"/>
        <v>426</v>
      </c>
      <c r="E3621" s="2">
        <f t="shared" ca="1" si="275"/>
        <v>43107</v>
      </c>
      <c r="F3621" s="6">
        <f t="shared" ca="1" si="276"/>
        <v>242.64196860363467</v>
      </c>
    </row>
    <row r="3622" spans="1:6">
      <c r="A3622" s="1">
        <v>9132160</v>
      </c>
      <c r="B3622">
        <f t="shared" ca="1" si="273"/>
        <v>0.72110009589954249</v>
      </c>
      <c r="C3622" s="1">
        <f t="shared" ca="1" si="277"/>
        <v>63</v>
      </c>
      <c r="D3622" s="1">
        <f t="shared" ca="1" si="274"/>
        <v>571</v>
      </c>
      <c r="E3622" s="2">
        <f t="shared" ca="1" si="275"/>
        <v>42842</v>
      </c>
      <c r="F3622" s="6">
        <f t="shared" ca="1" si="276"/>
        <v>88.432149850971172</v>
      </c>
    </row>
    <row r="3623" spans="1:6">
      <c r="A3623" s="1">
        <v>9132163</v>
      </c>
      <c r="B3623">
        <f t="shared" ca="1" si="273"/>
        <v>0.85639452345473543</v>
      </c>
      <c r="C3623" s="1">
        <f t="shared" ca="1" si="277"/>
        <v>29</v>
      </c>
      <c r="D3623" s="1">
        <f t="shared" ca="1" si="274"/>
        <v>514</v>
      </c>
      <c r="E3623" s="2">
        <f t="shared" ca="1" si="275"/>
        <v>43103</v>
      </c>
      <c r="F3623" s="6">
        <f t="shared" ca="1" si="276"/>
        <v>15.844071180227834</v>
      </c>
    </row>
    <row r="3624" spans="1:6">
      <c r="A3624" s="1">
        <v>9132166</v>
      </c>
      <c r="B3624">
        <f t="shared" ca="1" si="273"/>
        <v>0.24470203514729338</v>
      </c>
      <c r="C3624" s="1">
        <f t="shared" ca="1" si="277"/>
        <v>76</v>
      </c>
      <c r="D3624" s="1">
        <f t="shared" ca="1" si="274"/>
        <v>293</v>
      </c>
      <c r="E3624" s="2">
        <f t="shared" ca="1" si="275"/>
        <v>43383</v>
      </c>
      <c r="F3624" s="6">
        <f t="shared" ca="1" si="276"/>
        <v>26.43507290776693</v>
      </c>
    </row>
    <row r="3625" spans="1:6">
      <c r="A3625" s="1">
        <v>9132169</v>
      </c>
      <c r="B3625">
        <f t="shared" ca="1" si="273"/>
        <v>0.53742436346601685</v>
      </c>
      <c r="C3625" s="1">
        <f t="shared" ca="1" si="277"/>
        <v>258</v>
      </c>
      <c r="D3625" s="1">
        <f t="shared" ca="1" si="274"/>
        <v>483</v>
      </c>
      <c r="E3625" s="2">
        <f t="shared" ca="1" si="275"/>
        <v>43415</v>
      </c>
      <c r="F3625" s="6">
        <f t="shared" ca="1" si="276"/>
        <v>9.6417457249974223</v>
      </c>
    </row>
    <row r="3626" spans="1:6">
      <c r="A3626" s="1">
        <v>9132172</v>
      </c>
      <c r="B3626">
        <f t="shared" ca="1" si="273"/>
        <v>1.529892045550918E-2</v>
      </c>
      <c r="C3626" s="1">
        <f t="shared" ca="1" si="277"/>
        <v>11</v>
      </c>
      <c r="D3626" s="1">
        <f t="shared" ca="1" si="274"/>
        <v>437</v>
      </c>
      <c r="E3626" s="2">
        <f t="shared" ca="1" si="275"/>
        <v>43003</v>
      </c>
      <c r="F3626" s="6">
        <f t="shared" ca="1" si="276"/>
        <v>18.346370466256438</v>
      </c>
    </row>
    <row r="3627" spans="1:6">
      <c r="A3627" s="1">
        <v>9132175</v>
      </c>
      <c r="B3627">
        <f t="shared" ca="1" si="273"/>
        <v>0.86326405434069786</v>
      </c>
      <c r="C3627" s="1">
        <f t="shared" ca="1" si="277"/>
        <v>17</v>
      </c>
      <c r="D3627" s="1">
        <f t="shared" ca="1" si="274"/>
        <v>165</v>
      </c>
      <c r="E3627" s="2">
        <f t="shared" ca="1" si="275"/>
        <v>43113</v>
      </c>
      <c r="F3627" s="6">
        <f t="shared" ca="1" si="276"/>
        <v>140.47115169189996</v>
      </c>
    </row>
    <row r="3628" spans="1:6">
      <c r="A3628" s="1">
        <v>9132178</v>
      </c>
      <c r="B3628">
        <f t="shared" ca="1" si="273"/>
        <v>0.61132001437570727</v>
      </c>
      <c r="C3628" s="1">
        <f t="shared" ca="1" si="277"/>
        <v>93</v>
      </c>
      <c r="D3628" s="1">
        <f t="shared" ca="1" si="274"/>
        <v>518</v>
      </c>
      <c r="E3628" s="2">
        <f t="shared" ca="1" si="275"/>
        <v>43043</v>
      </c>
      <c r="F3628" s="6">
        <f t="shared" ca="1" si="276"/>
        <v>23.044557305654333</v>
      </c>
    </row>
    <row r="3629" spans="1:6">
      <c r="A3629" s="1">
        <v>9132181</v>
      </c>
      <c r="B3629">
        <f t="shared" ca="1" si="273"/>
        <v>0.76643454940900602</v>
      </c>
      <c r="C3629" s="1">
        <f t="shared" ca="1" si="277"/>
        <v>58</v>
      </c>
      <c r="D3629" s="1">
        <f t="shared" ca="1" si="274"/>
        <v>19</v>
      </c>
      <c r="E3629" s="2">
        <f t="shared" ca="1" si="275"/>
        <v>43415</v>
      </c>
      <c r="F3629" s="6">
        <f t="shared" ca="1" si="276"/>
        <v>194.14264895633315</v>
      </c>
    </row>
    <row r="3630" spans="1:6">
      <c r="A3630" s="1">
        <v>9132184</v>
      </c>
      <c r="B3630">
        <f t="shared" ca="1" si="273"/>
        <v>0.32363607315488008</v>
      </c>
      <c r="C3630" s="1">
        <f t="shared" ca="1" si="277"/>
        <v>49</v>
      </c>
      <c r="D3630" s="1">
        <f t="shared" ca="1" si="274"/>
        <v>26</v>
      </c>
      <c r="E3630" s="2">
        <f t="shared" ca="1" si="275"/>
        <v>43371</v>
      </c>
      <c r="F3630" s="6">
        <f t="shared" ca="1" si="276"/>
        <v>3.894993248519258</v>
      </c>
    </row>
    <row r="3631" spans="1:6">
      <c r="A3631" s="1">
        <v>9132187</v>
      </c>
      <c r="B3631">
        <f t="shared" ca="1" si="273"/>
        <v>5.5656372001801735E-2</v>
      </c>
      <c r="C3631" s="1">
        <f t="shared" ca="1" si="277"/>
        <v>4</v>
      </c>
      <c r="D3631" s="1">
        <f t="shared" ca="1" si="274"/>
        <v>493</v>
      </c>
      <c r="E3631" s="2">
        <f t="shared" ca="1" si="275"/>
        <v>43398</v>
      </c>
      <c r="F3631" s="6">
        <f t="shared" ca="1" si="276"/>
        <v>30.086409711089875</v>
      </c>
    </row>
    <row r="3632" spans="1:6">
      <c r="A3632" s="1">
        <v>9132190</v>
      </c>
      <c r="B3632">
        <f t="shared" ca="1" si="273"/>
        <v>0.8736002854657674</v>
      </c>
      <c r="C3632" s="1">
        <f t="shared" ca="1" si="277"/>
        <v>97</v>
      </c>
      <c r="D3632" s="1">
        <f t="shared" ca="1" si="274"/>
        <v>460</v>
      </c>
      <c r="E3632" s="2">
        <f t="shared" ca="1" si="275"/>
        <v>43397</v>
      </c>
      <c r="F3632" s="6">
        <f t="shared" ca="1" si="276"/>
        <v>6.048158876877455</v>
      </c>
    </row>
    <row r="3633" spans="1:6">
      <c r="A3633" s="1">
        <v>9132193</v>
      </c>
      <c r="B3633">
        <f t="shared" ca="1" si="273"/>
        <v>0.74083718940788268</v>
      </c>
      <c r="C3633" s="1">
        <f t="shared" ca="1" si="277"/>
        <v>24</v>
      </c>
      <c r="D3633" s="1">
        <f t="shared" ca="1" si="274"/>
        <v>334</v>
      </c>
      <c r="E3633" s="2">
        <f t="shared" ca="1" si="275"/>
        <v>42899</v>
      </c>
      <c r="F3633" s="6">
        <f t="shared" ca="1" si="276"/>
        <v>22.453166382983554</v>
      </c>
    </row>
    <row r="3634" spans="1:6">
      <c r="A3634" s="1">
        <v>9132196</v>
      </c>
      <c r="B3634">
        <f t="shared" ca="1" si="273"/>
        <v>0.49284387170311983</v>
      </c>
      <c r="C3634" s="1">
        <f t="shared" ca="1" si="277"/>
        <v>73</v>
      </c>
      <c r="D3634" s="1">
        <f t="shared" ca="1" si="274"/>
        <v>591</v>
      </c>
      <c r="E3634" s="2">
        <f t="shared" ca="1" si="275"/>
        <v>43246</v>
      </c>
      <c r="F3634" s="6">
        <f t="shared" ca="1" si="276"/>
        <v>232.43639591654494</v>
      </c>
    </row>
    <row r="3635" spans="1:6">
      <c r="A3635" s="1">
        <v>9132199</v>
      </c>
      <c r="B3635">
        <f t="shared" ca="1" si="273"/>
        <v>0.45244984693988211</v>
      </c>
      <c r="C3635" s="1">
        <f t="shared" ca="1" si="277"/>
        <v>26</v>
      </c>
      <c r="D3635" s="1">
        <f t="shared" ca="1" si="274"/>
        <v>88</v>
      </c>
      <c r="E3635" s="2">
        <f t="shared" ca="1" si="275"/>
        <v>43460</v>
      </c>
      <c r="F3635" s="6">
        <f t="shared" ca="1" si="276"/>
        <v>90.518375165196034</v>
      </c>
    </row>
    <row r="3636" spans="1:6">
      <c r="A3636" s="1">
        <v>9132202</v>
      </c>
      <c r="B3636">
        <f t="shared" ca="1" si="273"/>
        <v>0.74916909028955714</v>
      </c>
      <c r="C3636" s="1">
        <f t="shared" ca="1" si="277"/>
        <v>3</v>
      </c>
      <c r="D3636" s="1">
        <f t="shared" ca="1" si="274"/>
        <v>263</v>
      </c>
      <c r="E3636" s="2">
        <f t="shared" ca="1" si="275"/>
        <v>43439</v>
      </c>
      <c r="F3636" s="6">
        <f t="shared" ca="1" si="276"/>
        <v>33.569913793368556</v>
      </c>
    </row>
    <row r="3637" spans="1:6">
      <c r="A3637" s="1">
        <v>9132205</v>
      </c>
      <c r="B3637">
        <f t="shared" ca="1" si="273"/>
        <v>0.3432456355689768</v>
      </c>
      <c r="C3637" s="1">
        <f t="shared" ca="1" si="277"/>
        <v>63</v>
      </c>
      <c r="D3637" s="1">
        <f t="shared" ca="1" si="274"/>
        <v>571</v>
      </c>
      <c r="E3637" s="2">
        <f t="shared" ca="1" si="275"/>
        <v>43108</v>
      </c>
      <c r="F3637" s="6">
        <f t="shared" ca="1" si="276"/>
        <v>3.1752808331055271</v>
      </c>
    </row>
    <row r="3638" spans="1:6">
      <c r="A3638" s="1">
        <v>9132208</v>
      </c>
      <c r="B3638">
        <f t="shared" ca="1" si="273"/>
        <v>0.80543381361674748</v>
      </c>
      <c r="C3638" s="1">
        <f t="shared" ca="1" si="277"/>
        <v>37</v>
      </c>
      <c r="D3638" s="1">
        <f t="shared" ca="1" si="274"/>
        <v>517</v>
      </c>
      <c r="E3638" s="2">
        <f t="shared" ca="1" si="275"/>
        <v>43435</v>
      </c>
      <c r="F3638" s="6">
        <f t="shared" ca="1" si="276"/>
        <v>61.408697104614518</v>
      </c>
    </row>
    <row r="3639" spans="1:6">
      <c r="A3639" s="1">
        <v>9132211</v>
      </c>
      <c r="B3639">
        <f t="shared" ca="1" si="273"/>
        <v>0.70047822106277458</v>
      </c>
      <c r="C3639" s="1">
        <f t="shared" ca="1" si="277"/>
        <v>1</v>
      </c>
      <c r="D3639" s="1">
        <f t="shared" ca="1" si="274"/>
        <v>474</v>
      </c>
      <c r="E3639" s="2">
        <f t="shared" ca="1" si="275"/>
        <v>42854</v>
      </c>
      <c r="F3639" s="6">
        <f t="shared" ca="1" si="276"/>
        <v>27.020334509435195</v>
      </c>
    </row>
    <row r="3640" spans="1:6">
      <c r="A3640" s="1">
        <v>9132214</v>
      </c>
      <c r="B3640">
        <f t="shared" ca="1" si="273"/>
        <v>9.4241069452950521E-2</v>
      </c>
      <c r="C3640" s="1">
        <f t="shared" ca="1" si="277"/>
        <v>122</v>
      </c>
      <c r="D3640" s="1">
        <f t="shared" ca="1" si="274"/>
        <v>33</v>
      </c>
      <c r="E3640" s="2">
        <f t="shared" ca="1" si="275"/>
        <v>42885</v>
      </c>
      <c r="F3640" s="6">
        <f t="shared" ca="1" si="276"/>
        <v>142.82929614829092</v>
      </c>
    </row>
    <row r="3641" spans="1:6">
      <c r="A3641" s="1">
        <v>9132217</v>
      </c>
      <c r="B3641">
        <f t="shared" ca="1" si="273"/>
        <v>0.1610485823543869</v>
      </c>
      <c r="C3641" s="1">
        <f t="shared" ca="1" si="277"/>
        <v>81</v>
      </c>
      <c r="D3641" s="1">
        <f t="shared" ca="1" si="274"/>
        <v>119</v>
      </c>
      <c r="E3641" s="2">
        <f t="shared" ca="1" si="275"/>
        <v>42781</v>
      </c>
      <c r="F3641" s="6">
        <f t="shared" ca="1" si="276"/>
        <v>50.073163406288536</v>
      </c>
    </row>
    <row r="3642" spans="1:6">
      <c r="A3642" s="1">
        <v>9132220</v>
      </c>
      <c r="B3642">
        <f t="shared" ca="1" si="273"/>
        <v>0.63188579690901969</v>
      </c>
      <c r="C3642" s="1">
        <f t="shared" ca="1" si="277"/>
        <v>24</v>
      </c>
      <c r="D3642" s="1">
        <f t="shared" ca="1" si="274"/>
        <v>334</v>
      </c>
      <c r="E3642" s="2">
        <f t="shared" ca="1" si="275"/>
        <v>43146</v>
      </c>
      <c r="F3642" s="6">
        <f t="shared" ca="1" si="276"/>
        <v>9.6619512652528172</v>
      </c>
    </row>
    <row r="3643" spans="1:6">
      <c r="A3643" s="1">
        <v>9132223</v>
      </c>
      <c r="B3643">
        <f t="shared" ca="1" si="273"/>
        <v>0.25874007946797772</v>
      </c>
      <c r="C3643" s="1">
        <f t="shared" ca="1" si="277"/>
        <v>92</v>
      </c>
      <c r="D3643" s="1">
        <f t="shared" ca="1" si="274"/>
        <v>458</v>
      </c>
      <c r="E3643" s="2">
        <f t="shared" ca="1" si="275"/>
        <v>43032</v>
      </c>
      <c r="F3643" s="6">
        <f t="shared" ca="1" si="276"/>
        <v>104.58936311737806</v>
      </c>
    </row>
    <row r="3644" spans="1:6">
      <c r="A3644" s="1">
        <v>9132226</v>
      </c>
      <c r="B3644">
        <f t="shared" ref="B3644:B3707" ca="1" si="278">RAND()</f>
        <v>0.67790071385116513</v>
      </c>
      <c r="C3644" s="1">
        <f t="shared" ca="1" si="277"/>
        <v>15</v>
      </c>
      <c r="D3644" s="1">
        <f t="shared" ref="D3644:D3707" ca="1" si="279">VLOOKUP(SMALL($B$2:$B$601,C3644),$B$2:$C$601,2,FALSE)</f>
        <v>284</v>
      </c>
      <c r="E3644" s="2">
        <f t="shared" ca="1" si="275"/>
        <v>43193</v>
      </c>
      <c r="F3644" s="6">
        <f t="shared" ca="1" si="276"/>
        <v>26.323249132946906</v>
      </c>
    </row>
    <row r="3645" spans="1:6">
      <c r="A3645" s="1">
        <v>9132229</v>
      </c>
      <c r="B3645">
        <f t="shared" ca="1" si="278"/>
        <v>0.92214814657166944</v>
      </c>
      <c r="C3645" s="1">
        <f t="shared" ca="1" si="277"/>
        <v>18</v>
      </c>
      <c r="D3645" s="1">
        <f t="shared" ca="1" si="279"/>
        <v>511</v>
      </c>
      <c r="E3645" s="2">
        <f t="shared" ca="1" si="275"/>
        <v>42843</v>
      </c>
      <c r="F3645" s="6">
        <f t="shared" ca="1" si="276"/>
        <v>60.10676033154801</v>
      </c>
    </row>
    <row r="3646" spans="1:6">
      <c r="A3646" s="1">
        <v>9132232</v>
      </c>
      <c r="B3646">
        <f t="shared" ca="1" si="278"/>
        <v>0.96284476284428466</v>
      </c>
      <c r="C3646" s="1">
        <f t="shared" ca="1" si="277"/>
        <v>12</v>
      </c>
      <c r="D3646" s="1">
        <f t="shared" ca="1" si="279"/>
        <v>292</v>
      </c>
      <c r="E3646" s="2">
        <f t="shared" ca="1" si="275"/>
        <v>43187</v>
      </c>
      <c r="F3646" s="6">
        <f t="shared" ca="1" si="276"/>
        <v>19.765559972547237</v>
      </c>
    </row>
    <row r="3647" spans="1:6">
      <c r="A3647" s="1">
        <v>9132235</v>
      </c>
      <c r="B3647">
        <f t="shared" ca="1" si="278"/>
        <v>0.33019852178201392</v>
      </c>
      <c r="C3647" s="1">
        <f t="shared" ca="1" si="277"/>
        <v>48</v>
      </c>
      <c r="D3647" s="1">
        <f t="shared" ca="1" si="279"/>
        <v>424</v>
      </c>
      <c r="E3647" s="2">
        <f t="shared" ca="1" si="275"/>
        <v>43405</v>
      </c>
      <c r="F3647" s="6">
        <f t="shared" ca="1" si="276"/>
        <v>36.850423128212114</v>
      </c>
    </row>
    <row r="3648" spans="1:6">
      <c r="A3648" s="1">
        <v>9132238</v>
      </c>
      <c r="B3648">
        <f t="shared" ca="1" si="278"/>
        <v>0.48210984375860322</v>
      </c>
      <c r="C3648" s="1">
        <f t="shared" ca="1" si="277"/>
        <v>1</v>
      </c>
      <c r="D3648" s="1">
        <f t="shared" ca="1" si="279"/>
        <v>474</v>
      </c>
      <c r="E3648" s="2">
        <f t="shared" ca="1" si="275"/>
        <v>43194</v>
      </c>
      <c r="F3648" s="6">
        <f t="shared" ca="1" si="276"/>
        <v>76.399006322202212</v>
      </c>
    </row>
    <row r="3649" spans="1:6">
      <c r="A3649" s="1">
        <v>9132241</v>
      </c>
      <c r="B3649">
        <f t="shared" ca="1" si="278"/>
        <v>0.8722829746437808</v>
      </c>
      <c r="C3649" s="1">
        <f t="shared" ca="1" si="277"/>
        <v>64</v>
      </c>
      <c r="D3649" s="1">
        <f t="shared" ca="1" si="279"/>
        <v>1</v>
      </c>
      <c r="E3649" s="2">
        <f t="shared" ca="1" si="275"/>
        <v>42917</v>
      </c>
      <c r="F3649" s="6">
        <f t="shared" ca="1" si="276"/>
        <v>67.416316042463762</v>
      </c>
    </row>
    <row r="3650" spans="1:6">
      <c r="A3650" s="1">
        <v>9132244</v>
      </c>
      <c r="B3650">
        <f t="shared" ca="1" si="278"/>
        <v>0.93117229386411204</v>
      </c>
      <c r="C3650" s="1">
        <f t="shared" ca="1" si="277"/>
        <v>6</v>
      </c>
      <c r="D3650" s="1">
        <f t="shared" ca="1" si="279"/>
        <v>208</v>
      </c>
      <c r="E3650" s="2">
        <f t="shared" ca="1" si="275"/>
        <v>43115</v>
      </c>
      <c r="F3650" s="6">
        <f t="shared" ca="1" si="276"/>
        <v>41.164422718724758</v>
      </c>
    </row>
    <row r="3651" spans="1:6">
      <c r="A3651" s="1">
        <v>9132247</v>
      </c>
      <c r="B3651">
        <f t="shared" ca="1" si="278"/>
        <v>0.87538966443288424</v>
      </c>
      <c r="C3651" s="1">
        <f t="shared" ca="1" si="277"/>
        <v>1</v>
      </c>
      <c r="D3651" s="1">
        <f t="shared" ca="1" si="279"/>
        <v>474</v>
      </c>
      <c r="E3651" s="2">
        <f t="shared" ref="E3651:E3714" ca="1" si="280">RANDBETWEEN("1/1/17","2/1/19")</f>
        <v>42995</v>
      </c>
      <c r="F3651" s="6">
        <f t="shared" ref="F3651:F3714" ca="1" si="281">_xlfn.GAMMA.INV(RAND(),$J$6,$J$7)*100+3</f>
        <v>15.04571692896238</v>
      </c>
    </row>
    <row r="3652" spans="1:6">
      <c r="A3652" s="1">
        <v>9132250</v>
      </c>
      <c r="B3652">
        <f t="shared" ca="1" si="278"/>
        <v>0.94728344730797498</v>
      </c>
      <c r="C3652" s="1">
        <f t="shared" ca="1" si="277"/>
        <v>74</v>
      </c>
      <c r="D3652" s="1">
        <f t="shared" ca="1" si="279"/>
        <v>450</v>
      </c>
      <c r="E3652" s="2">
        <f t="shared" ca="1" si="280"/>
        <v>43225</v>
      </c>
      <c r="F3652" s="6">
        <f t="shared" ca="1" si="281"/>
        <v>79.186614856241235</v>
      </c>
    </row>
    <row r="3653" spans="1:6">
      <c r="A3653" s="1">
        <v>9132253</v>
      </c>
      <c r="B3653">
        <f t="shared" ca="1" si="278"/>
        <v>0.64443146847239297</v>
      </c>
      <c r="C3653" s="1">
        <f t="shared" ca="1" si="277"/>
        <v>3</v>
      </c>
      <c r="D3653" s="1">
        <f t="shared" ca="1" si="279"/>
        <v>263</v>
      </c>
      <c r="E3653" s="2">
        <f t="shared" ca="1" si="280"/>
        <v>43056</v>
      </c>
      <c r="F3653" s="6">
        <f t="shared" ca="1" si="281"/>
        <v>20.494041560894274</v>
      </c>
    </row>
    <row r="3654" spans="1:6">
      <c r="A3654" s="1">
        <v>9132256</v>
      </c>
      <c r="B3654">
        <f t="shared" ca="1" si="278"/>
        <v>0.81504026143445019</v>
      </c>
      <c r="C3654" s="1">
        <f t="shared" ca="1" si="277"/>
        <v>9</v>
      </c>
      <c r="D3654" s="1">
        <f t="shared" ca="1" si="279"/>
        <v>278</v>
      </c>
      <c r="E3654" s="2">
        <f t="shared" ca="1" si="280"/>
        <v>43442</v>
      </c>
      <c r="F3654" s="6">
        <f t="shared" ca="1" si="281"/>
        <v>38.770420105046917</v>
      </c>
    </row>
    <row r="3655" spans="1:6">
      <c r="A3655" s="1">
        <v>9132259</v>
      </c>
      <c r="B3655">
        <f t="shared" ca="1" si="278"/>
        <v>0.26566047247032576</v>
      </c>
      <c r="C3655" s="1">
        <f t="shared" ca="1" si="277"/>
        <v>82</v>
      </c>
      <c r="D3655" s="1">
        <f t="shared" ca="1" si="279"/>
        <v>143</v>
      </c>
      <c r="E3655" s="2">
        <f t="shared" ca="1" si="280"/>
        <v>43119</v>
      </c>
      <c r="F3655" s="6">
        <f t="shared" ca="1" si="281"/>
        <v>52.549966176508576</v>
      </c>
    </row>
    <row r="3656" spans="1:6">
      <c r="A3656" s="1">
        <v>9132262</v>
      </c>
      <c r="B3656">
        <f t="shared" ca="1" si="278"/>
        <v>0.3007873064047849</v>
      </c>
      <c r="C3656" s="1">
        <f t="shared" ca="1" si="277"/>
        <v>19</v>
      </c>
      <c r="D3656" s="1">
        <f t="shared" ca="1" si="279"/>
        <v>42</v>
      </c>
      <c r="E3656" s="2">
        <f t="shared" ca="1" si="280"/>
        <v>43430</v>
      </c>
      <c r="F3656" s="6">
        <f t="shared" ca="1" si="281"/>
        <v>3.0796914885938764</v>
      </c>
    </row>
    <row r="3657" spans="1:6">
      <c r="A3657" s="1">
        <v>9132265</v>
      </c>
      <c r="B3657">
        <f t="shared" ca="1" si="278"/>
        <v>0.9966518240373714</v>
      </c>
      <c r="C3657" s="1">
        <f t="shared" ca="1" si="277"/>
        <v>10</v>
      </c>
      <c r="D3657" s="1">
        <f t="shared" ca="1" si="279"/>
        <v>236</v>
      </c>
      <c r="E3657" s="2">
        <f t="shared" ca="1" si="280"/>
        <v>42742</v>
      </c>
      <c r="F3657" s="6">
        <f t="shared" ca="1" si="281"/>
        <v>3.0188492489549783</v>
      </c>
    </row>
    <row r="3658" spans="1:6">
      <c r="A3658" s="1">
        <v>9132268</v>
      </c>
      <c r="B3658">
        <f t="shared" ca="1" si="278"/>
        <v>0.30430930710154869</v>
      </c>
      <c r="C3658" s="1">
        <f t="shared" ca="1" si="277"/>
        <v>14</v>
      </c>
      <c r="D3658" s="1">
        <f t="shared" ca="1" si="279"/>
        <v>576</v>
      </c>
      <c r="E3658" s="2">
        <f t="shared" ca="1" si="280"/>
        <v>43401</v>
      </c>
      <c r="F3658" s="6">
        <f t="shared" ca="1" si="281"/>
        <v>13.776600270759532</v>
      </c>
    </row>
    <row r="3659" spans="1:6">
      <c r="A3659" s="1">
        <v>9132271</v>
      </c>
      <c r="B3659">
        <f t="shared" ca="1" si="278"/>
        <v>0.9190326207490993</v>
      </c>
      <c r="C3659" s="1">
        <f t="shared" ca="1" si="277"/>
        <v>7</v>
      </c>
      <c r="D3659" s="1">
        <f t="shared" ca="1" si="279"/>
        <v>138</v>
      </c>
      <c r="E3659" s="2">
        <f t="shared" ca="1" si="280"/>
        <v>42866</v>
      </c>
      <c r="F3659" s="6">
        <f t="shared" ca="1" si="281"/>
        <v>39.219299604526448</v>
      </c>
    </row>
    <row r="3660" spans="1:6">
      <c r="A3660" s="1">
        <v>9132274</v>
      </c>
      <c r="B3660">
        <f t="shared" ca="1" si="278"/>
        <v>6.7413498360648139E-2</v>
      </c>
      <c r="C3660" s="1">
        <f t="shared" ca="1" si="277"/>
        <v>47</v>
      </c>
      <c r="D3660" s="1">
        <f t="shared" ca="1" si="279"/>
        <v>515</v>
      </c>
      <c r="E3660" s="2">
        <f t="shared" ca="1" si="280"/>
        <v>43290</v>
      </c>
      <c r="F3660" s="6">
        <f t="shared" ca="1" si="281"/>
        <v>3.8992215463387145</v>
      </c>
    </row>
    <row r="3661" spans="1:6">
      <c r="A3661" s="1">
        <v>9132277</v>
      </c>
      <c r="B3661">
        <f t="shared" ca="1" si="278"/>
        <v>0.47220715659547041</v>
      </c>
      <c r="C3661" s="1">
        <f t="shared" ca="1" si="277"/>
        <v>8</v>
      </c>
      <c r="D3661" s="1">
        <f t="shared" ca="1" si="279"/>
        <v>456</v>
      </c>
      <c r="E3661" s="2">
        <f t="shared" ca="1" si="280"/>
        <v>43472</v>
      </c>
      <c r="F3661" s="6">
        <f t="shared" ca="1" si="281"/>
        <v>23.965239952501868</v>
      </c>
    </row>
    <row r="3662" spans="1:6">
      <c r="A3662" s="1">
        <v>9132280</v>
      </c>
      <c r="B3662">
        <f t="shared" ca="1" si="278"/>
        <v>0.58341018822519697</v>
      </c>
      <c r="C3662" s="1">
        <f t="shared" ca="1" si="277"/>
        <v>6</v>
      </c>
      <c r="D3662" s="1">
        <f t="shared" ca="1" si="279"/>
        <v>208</v>
      </c>
      <c r="E3662" s="2">
        <f t="shared" ca="1" si="280"/>
        <v>43414</v>
      </c>
      <c r="F3662" s="6">
        <f t="shared" ca="1" si="281"/>
        <v>56.809977682390773</v>
      </c>
    </row>
    <row r="3663" spans="1:6">
      <c r="A3663" s="1">
        <v>9132283</v>
      </c>
      <c r="B3663">
        <f t="shared" ca="1" si="278"/>
        <v>0.82495457840358111</v>
      </c>
      <c r="C3663" s="1">
        <f t="shared" ca="1" si="277"/>
        <v>17</v>
      </c>
      <c r="D3663" s="1">
        <f t="shared" ca="1" si="279"/>
        <v>165</v>
      </c>
      <c r="E3663" s="2">
        <f t="shared" ca="1" si="280"/>
        <v>42904</v>
      </c>
      <c r="F3663" s="6">
        <f t="shared" ca="1" si="281"/>
        <v>86.200889829275724</v>
      </c>
    </row>
    <row r="3664" spans="1:6">
      <c r="A3664" s="1">
        <v>9132286</v>
      </c>
      <c r="B3664">
        <f t="shared" ca="1" si="278"/>
        <v>9.6168420892639439E-2</v>
      </c>
      <c r="C3664" s="1">
        <f t="shared" ca="1" si="277"/>
        <v>76</v>
      </c>
      <c r="D3664" s="1">
        <f t="shared" ca="1" si="279"/>
        <v>293</v>
      </c>
      <c r="E3664" s="2">
        <f t="shared" ca="1" si="280"/>
        <v>43080</v>
      </c>
      <c r="F3664" s="6">
        <f t="shared" ca="1" si="281"/>
        <v>71.836284337845299</v>
      </c>
    </row>
    <row r="3665" spans="1:6">
      <c r="A3665" s="1">
        <v>9132289</v>
      </c>
      <c r="B3665">
        <f t="shared" ca="1" si="278"/>
        <v>0.66979063309591724</v>
      </c>
      <c r="C3665" s="1">
        <f t="shared" ca="1" si="277"/>
        <v>54</v>
      </c>
      <c r="D3665" s="1">
        <f t="shared" ca="1" si="279"/>
        <v>168</v>
      </c>
      <c r="E3665" s="2">
        <f t="shared" ca="1" si="280"/>
        <v>43036</v>
      </c>
      <c r="F3665" s="6">
        <f t="shared" ca="1" si="281"/>
        <v>10.842900201400141</v>
      </c>
    </row>
    <row r="3666" spans="1:6">
      <c r="A3666" s="1">
        <v>9132292</v>
      </c>
      <c r="B3666">
        <f t="shared" ca="1" si="278"/>
        <v>0.61571048099249914</v>
      </c>
      <c r="C3666" s="1">
        <f t="shared" ca="1" si="277"/>
        <v>3</v>
      </c>
      <c r="D3666" s="1">
        <f t="shared" ca="1" si="279"/>
        <v>263</v>
      </c>
      <c r="E3666" s="2">
        <f t="shared" ca="1" si="280"/>
        <v>42799</v>
      </c>
      <c r="F3666" s="6">
        <f t="shared" ca="1" si="281"/>
        <v>97.21448151378236</v>
      </c>
    </row>
    <row r="3667" spans="1:6">
      <c r="A3667" s="1">
        <v>9132295</v>
      </c>
      <c r="B3667">
        <f t="shared" ca="1" si="278"/>
        <v>0.8032040777115349</v>
      </c>
      <c r="C3667" s="1">
        <f t="shared" ca="1" si="277"/>
        <v>20</v>
      </c>
      <c r="D3667" s="1">
        <f t="shared" ca="1" si="279"/>
        <v>444</v>
      </c>
      <c r="E3667" s="2">
        <f t="shared" ca="1" si="280"/>
        <v>43053</v>
      </c>
      <c r="F3667" s="6">
        <f t="shared" ca="1" si="281"/>
        <v>5.1902691160924253</v>
      </c>
    </row>
    <row r="3668" spans="1:6">
      <c r="A3668" s="1">
        <v>9132298</v>
      </c>
      <c r="B3668">
        <f t="shared" ca="1" si="278"/>
        <v>0.22235944876532243</v>
      </c>
      <c r="C3668" s="1">
        <f t="shared" ca="1" si="277"/>
        <v>30</v>
      </c>
      <c r="D3668" s="1">
        <f t="shared" ca="1" si="279"/>
        <v>53</v>
      </c>
      <c r="E3668" s="2">
        <f t="shared" ca="1" si="280"/>
        <v>42890</v>
      </c>
      <c r="F3668" s="6">
        <f t="shared" ca="1" si="281"/>
        <v>79.744408957547137</v>
      </c>
    </row>
    <row r="3669" spans="1:6">
      <c r="A3669" s="1">
        <v>9132301</v>
      </c>
      <c r="B3669">
        <f t="shared" ca="1" si="278"/>
        <v>0.13665542110773699</v>
      </c>
      <c r="C3669" s="1">
        <f t="shared" ca="1" si="277"/>
        <v>8</v>
      </c>
      <c r="D3669" s="1">
        <f t="shared" ca="1" si="279"/>
        <v>456</v>
      </c>
      <c r="E3669" s="2">
        <f t="shared" ca="1" si="280"/>
        <v>42864</v>
      </c>
      <c r="F3669" s="6">
        <f t="shared" ca="1" si="281"/>
        <v>24.331765347180308</v>
      </c>
    </row>
    <row r="3670" spans="1:6">
      <c r="A3670" s="1">
        <v>9132304</v>
      </c>
      <c r="B3670">
        <f t="shared" ca="1" si="278"/>
        <v>0.85627052492568922</v>
      </c>
      <c r="C3670" s="1">
        <f t="shared" ca="1" si="277"/>
        <v>349</v>
      </c>
      <c r="D3670" s="1">
        <f t="shared" ca="1" si="279"/>
        <v>556</v>
      </c>
      <c r="E3670" s="2">
        <f t="shared" ca="1" si="280"/>
        <v>43295</v>
      </c>
      <c r="F3670" s="6">
        <f t="shared" ca="1" si="281"/>
        <v>5.9817835342421821</v>
      </c>
    </row>
    <row r="3671" spans="1:6">
      <c r="A3671" s="1">
        <v>9132307</v>
      </c>
      <c r="B3671">
        <f t="shared" ca="1" si="278"/>
        <v>0.59589991419863486</v>
      </c>
      <c r="C3671" s="1">
        <f t="shared" ca="1" si="277"/>
        <v>34</v>
      </c>
      <c r="D3671" s="1">
        <f t="shared" ca="1" si="279"/>
        <v>503</v>
      </c>
      <c r="E3671" s="2">
        <f t="shared" ca="1" si="280"/>
        <v>43103</v>
      </c>
      <c r="F3671" s="6">
        <f t="shared" ca="1" si="281"/>
        <v>97.186704704736684</v>
      </c>
    </row>
    <row r="3672" spans="1:6">
      <c r="A3672" s="1">
        <v>9132310</v>
      </c>
      <c r="B3672">
        <f t="shared" ca="1" si="278"/>
        <v>0.9052696747359319</v>
      </c>
      <c r="C3672" s="1">
        <f t="shared" ca="1" si="277"/>
        <v>56</v>
      </c>
      <c r="D3672" s="1">
        <f t="shared" ca="1" si="279"/>
        <v>57</v>
      </c>
      <c r="E3672" s="2">
        <f t="shared" ca="1" si="280"/>
        <v>43248</v>
      </c>
      <c r="F3672" s="6">
        <f t="shared" ca="1" si="281"/>
        <v>24.567686981323313</v>
      </c>
    </row>
    <row r="3673" spans="1:6">
      <c r="A3673" s="1">
        <v>9132313</v>
      </c>
      <c r="B3673">
        <f t="shared" ca="1" si="278"/>
        <v>0.81923040704140893</v>
      </c>
      <c r="C3673" s="1">
        <f t="shared" ca="1" si="277"/>
        <v>1</v>
      </c>
      <c r="D3673" s="1">
        <f t="shared" ca="1" si="279"/>
        <v>474</v>
      </c>
      <c r="E3673" s="2">
        <f t="shared" ca="1" si="280"/>
        <v>43158</v>
      </c>
      <c r="F3673" s="6">
        <f t="shared" ca="1" si="281"/>
        <v>9.2893111882677175</v>
      </c>
    </row>
    <row r="3674" spans="1:6">
      <c r="A3674" s="1">
        <v>9132316</v>
      </c>
      <c r="B3674">
        <f t="shared" ca="1" si="278"/>
        <v>0.16152153278106718</v>
      </c>
      <c r="C3674" s="1">
        <f t="shared" ca="1" si="277"/>
        <v>53</v>
      </c>
      <c r="D3674" s="1">
        <f t="shared" ca="1" si="279"/>
        <v>155</v>
      </c>
      <c r="E3674" s="2">
        <f t="shared" ca="1" si="280"/>
        <v>43120</v>
      </c>
      <c r="F3674" s="6">
        <f t="shared" ca="1" si="281"/>
        <v>180.93014749606019</v>
      </c>
    </row>
    <row r="3675" spans="1:6">
      <c r="A3675" s="1">
        <v>9132319</v>
      </c>
      <c r="B3675">
        <f t="shared" ca="1" si="278"/>
        <v>0.74808968820033439</v>
      </c>
      <c r="C3675" s="1">
        <f t="shared" ref="C3675:C3738" ca="1" si="282">ROUND(_xlfn.GAMMA.INV(RAND(),$J$11,$J$12)*100,0)+1</f>
        <v>37</v>
      </c>
      <c r="D3675" s="1">
        <f t="shared" ca="1" si="279"/>
        <v>517</v>
      </c>
      <c r="E3675" s="2">
        <f t="shared" ca="1" si="280"/>
        <v>43320</v>
      </c>
      <c r="F3675" s="6">
        <f t="shared" ca="1" si="281"/>
        <v>28.781037589026269</v>
      </c>
    </row>
    <row r="3676" spans="1:6">
      <c r="A3676" s="1">
        <v>9132322</v>
      </c>
      <c r="B3676">
        <f t="shared" ca="1" si="278"/>
        <v>0.98058369771067655</v>
      </c>
      <c r="C3676" s="1">
        <f t="shared" ca="1" si="282"/>
        <v>2</v>
      </c>
      <c r="D3676" s="1">
        <f t="shared" ca="1" si="279"/>
        <v>30</v>
      </c>
      <c r="E3676" s="2">
        <f t="shared" ca="1" si="280"/>
        <v>43193</v>
      </c>
      <c r="F3676" s="6">
        <f t="shared" ca="1" si="281"/>
        <v>4.8929029793684364</v>
      </c>
    </row>
    <row r="3677" spans="1:6">
      <c r="A3677" s="1">
        <v>9132325</v>
      </c>
      <c r="B3677">
        <f t="shared" ca="1" si="278"/>
        <v>0.36250411395416415</v>
      </c>
      <c r="C3677" s="1">
        <f t="shared" ca="1" si="282"/>
        <v>3</v>
      </c>
      <c r="D3677" s="1">
        <f t="shared" ca="1" si="279"/>
        <v>263</v>
      </c>
      <c r="E3677" s="2">
        <f t="shared" ca="1" si="280"/>
        <v>43068</v>
      </c>
      <c r="F3677" s="6">
        <f t="shared" ca="1" si="281"/>
        <v>4.335424758272981</v>
      </c>
    </row>
    <row r="3678" spans="1:6">
      <c r="A3678" s="1">
        <v>9132328</v>
      </c>
      <c r="B3678">
        <f t="shared" ca="1" si="278"/>
        <v>0.51007189340733305</v>
      </c>
      <c r="C3678" s="1">
        <f t="shared" ca="1" si="282"/>
        <v>179</v>
      </c>
      <c r="D3678" s="1">
        <f t="shared" ca="1" si="279"/>
        <v>378</v>
      </c>
      <c r="E3678" s="2">
        <f t="shared" ca="1" si="280"/>
        <v>42792</v>
      </c>
      <c r="F3678" s="6">
        <f t="shared" ca="1" si="281"/>
        <v>19.231924482819117</v>
      </c>
    </row>
    <row r="3679" spans="1:6">
      <c r="A3679" s="1">
        <v>9132331</v>
      </c>
      <c r="B3679">
        <f t="shared" ca="1" si="278"/>
        <v>0.65188436025123897</v>
      </c>
      <c r="C3679" s="1">
        <f t="shared" ca="1" si="282"/>
        <v>31</v>
      </c>
      <c r="D3679" s="1">
        <f t="shared" ca="1" si="279"/>
        <v>535</v>
      </c>
      <c r="E3679" s="2">
        <f t="shared" ca="1" si="280"/>
        <v>43295</v>
      </c>
      <c r="F3679" s="6">
        <f t="shared" ca="1" si="281"/>
        <v>19.169044680429039</v>
      </c>
    </row>
    <row r="3680" spans="1:6">
      <c r="A3680" s="1">
        <v>9132334</v>
      </c>
      <c r="B3680">
        <f t="shared" ca="1" si="278"/>
        <v>0.77564926828948666</v>
      </c>
      <c r="C3680" s="1">
        <f t="shared" ca="1" si="282"/>
        <v>13</v>
      </c>
      <c r="D3680" s="1">
        <f t="shared" ca="1" si="279"/>
        <v>80</v>
      </c>
      <c r="E3680" s="2">
        <f t="shared" ca="1" si="280"/>
        <v>43021</v>
      </c>
      <c r="F3680" s="6">
        <f t="shared" ca="1" si="281"/>
        <v>5.7872135006457377</v>
      </c>
    </row>
    <row r="3681" spans="1:6">
      <c r="A3681" s="1">
        <v>9132337</v>
      </c>
      <c r="B3681">
        <f t="shared" ca="1" si="278"/>
        <v>0.69999449656189139</v>
      </c>
      <c r="C3681" s="1">
        <f t="shared" ca="1" si="282"/>
        <v>5</v>
      </c>
      <c r="D3681" s="1">
        <f t="shared" ca="1" si="279"/>
        <v>363</v>
      </c>
      <c r="E3681" s="2">
        <f t="shared" ca="1" si="280"/>
        <v>43312</v>
      </c>
      <c r="F3681" s="6">
        <f t="shared" ca="1" si="281"/>
        <v>164.91076200072229</v>
      </c>
    </row>
    <row r="3682" spans="1:6">
      <c r="A3682" s="1">
        <v>9132340</v>
      </c>
      <c r="B3682">
        <f t="shared" ca="1" si="278"/>
        <v>0.98820374867033411</v>
      </c>
      <c r="C3682" s="1">
        <f t="shared" ca="1" si="282"/>
        <v>2</v>
      </c>
      <c r="D3682" s="1">
        <f t="shared" ca="1" si="279"/>
        <v>30</v>
      </c>
      <c r="E3682" s="2">
        <f t="shared" ca="1" si="280"/>
        <v>43139</v>
      </c>
      <c r="F3682" s="6">
        <f t="shared" ca="1" si="281"/>
        <v>30.245957720682089</v>
      </c>
    </row>
    <row r="3683" spans="1:6">
      <c r="A3683" s="1">
        <v>9132343</v>
      </c>
      <c r="B3683">
        <f t="shared" ca="1" si="278"/>
        <v>0.45802470876971813</v>
      </c>
      <c r="C3683" s="1">
        <f t="shared" ca="1" si="282"/>
        <v>2</v>
      </c>
      <c r="D3683" s="1">
        <f t="shared" ca="1" si="279"/>
        <v>30</v>
      </c>
      <c r="E3683" s="2">
        <f t="shared" ca="1" si="280"/>
        <v>43042</v>
      </c>
      <c r="F3683" s="6">
        <f t="shared" ca="1" si="281"/>
        <v>54.624335538713396</v>
      </c>
    </row>
    <row r="3684" spans="1:6">
      <c r="A3684" s="1">
        <v>9132346</v>
      </c>
      <c r="B3684">
        <f t="shared" ca="1" si="278"/>
        <v>0.52446897404611259</v>
      </c>
      <c r="C3684" s="1">
        <f t="shared" ca="1" si="282"/>
        <v>37</v>
      </c>
      <c r="D3684" s="1">
        <f t="shared" ca="1" si="279"/>
        <v>517</v>
      </c>
      <c r="E3684" s="2">
        <f t="shared" ca="1" si="280"/>
        <v>43428</v>
      </c>
      <c r="F3684" s="6">
        <f t="shared" ca="1" si="281"/>
        <v>84.83145989919781</v>
      </c>
    </row>
    <row r="3685" spans="1:6">
      <c r="A3685" s="1">
        <v>9132349</v>
      </c>
      <c r="B3685">
        <f t="shared" ca="1" si="278"/>
        <v>0.63269988763406948</v>
      </c>
      <c r="C3685" s="1">
        <f t="shared" ca="1" si="282"/>
        <v>23</v>
      </c>
      <c r="D3685" s="1">
        <f t="shared" ca="1" si="279"/>
        <v>516</v>
      </c>
      <c r="E3685" s="2">
        <f t="shared" ca="1" si="280"/>
        <v>43308</v>
      </c>
      <c r="F3685" s="6">
        <f t="shared" ca="1" si="281"/>
        <v>46.258882700907265</v>
      </c>
    </row>
    <row r="3686" spans="1:6">
      <c r="A3686" s="1">
        <v>9132352</v>
      </c>
      <c r="B3686">
        <f t="shared" ca="1" si="278"/>
        <v>0.93317862264684981</v>
      </c>
      <c r="C3686" s="1">
        <f t="shared" ca="1" si="282"/>
        <v>30</v>
      </c>
      <c r="D3686" s="1">
        <f t="shared" ca="1" si="279"/>
        <v>53</v>
      </c>
      <c r="E3686" s="2">
        <f t="shared" ca="1" si="280"/>
        <v>43452</v>
      </c>
      <c r="F3686" s="6">
        <f t="shared" ca="1" si="281"/>
        <v>140.37367916797228</v>
      </c>
    </row>
    <row r="3687" spans="1:6">
      <c r="A3687" s="1">
        <v>9132355</v>
      </c>
      <c r="B3687">
        <f t="shared" ca="1" si="278"/>
        <v>0.32005515321082623</v>
      </c>
      <c r="C3687" s="1">
        <f t="shared" ca="1" si="282"/>
        <v>36</v>
      </c>
      <c r="D3687" s="1">
        <f t="shared" ca="1" si="279"/>
        <v>529</v>
      </c>
      <c r="E3687" s="2">
        <f t="shared" ca="1" si="280"/>
        <v>42832</v>
      </c>
      <c r="F3687" s="6">
        <f t="shared" ca="1" si="281"/>
        <v>3.266403147991447</v>
      </c>
    </row>
    <row r="3688" spans="1:6">
      <c r="A3688" s="1">
        <v>9132358</v>
      </c>
      <c r="B3688">
        <f t="shared" ca="1" si="278"/>
        <v>0.1415383717890627</v>
      </c>
      <c r="C3688" s="1">
        <f t="shared" ca="1" si="282"/>
        <v>33</v>
      </c>
      <c r="D3688" s="1">
        <f t="shared" ca="1" si="279"/>
        <v>501</v>
      </c>
      <c r="E3688" s="2">
        <f t="shared" ca="1" si="280"/>
        <v>43306</v>
      </c>
      <c r="F3688" s="6">
        <f t="shared" ca="1" si="281"/>
        <v>159.33631326592175</v>
      </c>
    </row>
    <row r="3689" spans="1:6">
      <c r="A3689" s="1">
        <v>9132361</v>
      </c>
      <c r="B3689">
        <f t="shared" ca="1" si="278"/>
        <v>0.30467386686398912</v>
      </c>
      <c r="C3689" s="1">
        <f t="shared" ca="1" si="282"/>
        <v>136</v>
      </c>
      <c r="D3689" s="1">
        <f t="shared" ca="1" si="279"/>
        <v>416</v>
      </c>
      <c r="E3689" s="2">
        <f t="shared" ca="1" si="280"/>
        <v>42758</v>
      </c>
      <c r="F3689" s="6">
        <f t="shared" ca="1" si="281"/>
        <v>4.3603497216240399</v>
      </c>
    </row>
    <row r="3690" spans="1:6">
      <c r="A3690" s="1">
        <v>9132364</v>
      </c>
      <c r="B3690">
        <f t="shared" ca="1" si="278"/>
        <v>0.91806637376480016</v>
      </c>
      <c r="C3690" s="1">
        <f t="shared" ca="1" si="282"/>
        <v>22</v>
      </c>
      <c r="D3690" s="1">
        <f t="shared" ca="1" si="279"/>
        <v>413</v>
      </c>
      <c r="E3690" s="2">
        <f t="shared" ca="1" si="280"/>
        <v>42785</v>
      </c>
      <c r="F3690" s="6">
        <f t="shared" ca="1" si="281"/>
        <v>40.599499897940966</v>
      </c>
    </row>
    <row r="3691" spans="1:6">
      <c r="A3691" s="1">
        <v>9132367</v>
      </c>
      <c r="B3691">
        <f t="shared" ca="1" si="278"/>
        <v>0.67900425292631028</v>
      </c>
      <c r="C3691" s="1">
        <f t="shared" ca="1" si="282"/>
        <v>113</v>
      </c>
      <c r="D3691" s="1">
        <f t="shared" ca="1" si="279"/>
        <v>330</v>
      </c>
      <c r="E3691" s="2">
        <f t="shared" ca="1" si="280"/>
        <v>43468</v>
      </c>
      <c r="F3691" s="6">
        <f t="shared" ca="1" si="281"/>
        <v>3.2128721165801561</v>
      </c>
    </row>
    <row r="3692" spans="1:6">
      <c r="A3692" s="1">
        <v>9132370</v>
      </c>
      <c r="B3692">
        <f t="shared" ca="1" si="278"/>
        <v>0.5167156610517637</v>
      </c>
      <c r="C3692" s="1">
        <f t="shared" ca="1" si="282"/>
        <v>25</v>
      </c>
      <c r="D3692" s="1">
        <f t="shared" ca="1" si="279"/>
        <v>257</v>
      </c>
      <c r="E3692" s="2">
        <f t="shared" ca="1" si="280"/>
        <v>43196</v>
      </c>
      <c r="F3692" s="6">
        <f t="shared" ca="1" si="281"/>
        <v>7.1371146565180101</v>
      </c>
    </row>
    <row r="3693" spans="1:6">
      <c r="A3693" s="1">
        <v>9132373</v>
      </c>
      <c r="B3693">
        <f t="shared" ca="1" si="278"/>
        <v>0.39904118590161763</v>
      </c>
      <c r="C3693" s="1">
        <f t="shared" ca="1" si="282"/>
        <v>10</v>
      </c>
      <c r="D3693" s="1">
        <f t="shared" ca="1" si="279"/>
        <v>236</v>
      </c>
      <c r="E3693" s="2">
        <f t="shared" ca="1" si="280"/>
        <v>43233</v>
      </c>
      <c r="F3693" s="6">
        <f t="shared" ca="1" si="281"/>
        <v>4.3516199180353023</v>
      </c>
    </row>
    <row r="3694" spans="1:6">
      <c r="A3694" s="1">
        <v>9132376</v>
      </c>
      <c r="B3694">
        <f t="shared" ca="1" si="278"/>
        <v>5.532294603531529E-2</v>
      </c>
      <c r="C3694" s="1">
        <f t="shared" ca="1" si="282"/>
        <v>97</v>
      </c>
      <c r="D3694" s="1">
        <f t="shared" ca="1" si="279"/>
        <v>460</v>
      </c>
      <c r="E3694" s="2">
        <f t="shared" ca="1" si="280"/>
        <v>43018</v>
      </c>
      <c r="F3694" s="6">
        <f t="shared" ca="1" si="281"/>
        <v>28.362025907785974</v>
      </c>
    </row>
    <row r="3695" spans="1:6">
      <c r="A3695" s="1">
        <v>9132379</v>
      </c>
      <c r="B3695">
        <f t="shared" ca="1" si="278"/>
        <v>6.3857608238437447E-2</v>
      </c>
      <c r="C3695" s="1">
        <f t="shared" ca="1" si="282"/>
        <v>155</v>
      </c>
      <c r="D3695" s="1">
        <f t="shared" ca="1" si="279"/>
        <v>12</v>
      </c>
      <c r="E3695" s="2">
        <f t="shared" ca="1" si="280"/>
        <v>43099</v>
      </c>
      <c r="F3695" s="6">
        <f t="shared" ca="1" si="281"/>
        <v>8.2911462886652245</v>
      </c>
    </row>
    <row r="3696" spans="1:6">
      <c r="A3696" s="1">
        <v>9132382</v>
      </c>
      <c r="B3696">
        <f t="shared" ca="1" si="278"/>
        <v>0.52765930132230709</v>
      </c>
      <c r="C3696" s="1">
        <f t="shared" ca="1" si="282"/>
        <v>61</v>
      </c>
      <c r="D3696" s="1">
        <f t="shared" ca="1" si="279"/>
        <v>92</v>
      </c>
      <c r="E3696" s="2">
        <f t="shared" ca="1" si="280"/>
        <v>43241</v>
      </c>
      <c r="F3696" s="6">
        <f t="shared" ca="1" si="281"/>
        <v>42.468652965591197</v>
      </c>
    </row>
    <row r="3697" spans="1:6">
      <c r="A3697" s="1">
        <v>9132385</v>
      </c>
      <c r="B3697">
        <f t="shared" ca="1" si="278"/>
        <v>0.63143733254763823</v>
      </c>
      <c r="C3697" s="1">
        <f t="shared" ca="1" si="282"/>
        <v>47</v>
      </c>
      <c r="D3697" s="1">
        <f t="shared" ca="1" si="279"/>
        <v>515</v>
      </c>
      <c r="E3697" s="2">
        <f t="shared" ca="1" si="280"/>
        <v>42996</v>
      </c>
      <c r="F3697" s="6">
        <f t="shared" ca="1" si="281"/>
        <v>34.772292875842496</v>
      </c>
    </row>
    <row r="3698" spans="1:6">
      <c r="A3698" s="1">
        <v>9132388</v>
      </c>
      <c r="B3698">
        <f t="shared" ca="1" si="278"/>
        <v>4.6855634686525538E-2</v>
      </c>
      <c r="C3698" s="1">
        <f t="shared" ca="1" si="282"/>
        <v>133</v>
      </c>
      <c r="D3698" s="1">
        <f t="shared" ca="1" si="279"/>
        <v>124</v>
      </c>
      <c r="E3698" s="2">
        <f t="shared" ca="1" si="280"/>
        <v>43227</v>
      </c>
      <c r="F3698" s="6">
        <f t="shared" ca="1" si="281"/>
        <v>14.233546111509433</v>
      </c>
    </row>
    <row r="3699" spans="1:6">
      <c r="A3699" s="1">
        <v>9132391</v>
      </c>
      <c r="B3699">
        <f t="shared" ca="1" si="278"/>
        <v>0.15330645528301245</v>
      </c>
      <c r="C3699" s="1">
        <f t="shared" ca="1" si="282"/>
        <v>14</v>
      </c>
      <c r="D3699" s="1">
        <f t="shared" ca="1" si="279"/>
        <v>576</v>
      </c>
      <c r="E3699" s="2">
        <f t="shared" ca="1" si="280"/>
        <v>43445</v>
      </c>
      <c r="F3699" s="6">
        <f t="shared" ca="1" si="281"/>
        <v>99.418941824967646</v>
      </c>
    </row>
    <row r="3700" spans="1:6">
      <c r="A3700" s="1">
        <v>9132394</v>
      </c>
      <c r="B3700">
        <f t="shared" ca="1" si="278"/>
        <v>0.69504388444773624</v>
      </c>
      <c r="C3700" s="1">
        <f t="shared" ca="1" si="282"/>
        <v>6</v>
      </c>
      <c r="D3700" s="1">
        <f t="shared" ca="1" si="279"/>
        <v>208</v>
      </c>
      <c r="E3700" s="2">
        <f t="shared" ca="1" si="280"/>
        <v>42837</v>
      </c>
      <c r="F3700" s="6">
        <f t="shared" ca="1" si="281"/>
        <v>144.06080986887289</v>
      </c>
    </row>
    <row r="3701" spans="1:6">
      <c r="A3701" s="1">
        <v>9132397</v>
      </c>
      <c r="B3701">
        <f t="shared" ca="1" si="278"/>
        <v>0.23007847923045821</v>
      </c>
      <c r="C3701" s="1">
        <f t="shared" ca="1" si="282"/>
        <v>4</v>
      </c>
      <c r="D3701" s="1">
        <f t="shared" ca="1" si="279"/>
        <v>493</v>
      </c>
      <c r="E3701" s="2">
        <f t="shared" ca="1" si="280"/>
        <v>43399</v>
      </c>
      <c r="F3701" s="6">
        <f t="shared" ca="1" si="281"/>
        <v>13.506265034171431</v>
      </c>
    </row>
    <row r="3702" spans="1:6">
      <c r="A3702" s="1">
        <v>9132400</v>
      </c>
      <c r="B3702">
        <f t="shared" ca="1" si="278"/>
        <v>0.95525438815639574</v>
      </c>
      <c r="C3702" s="1">
        <f t="shared" ca="1" si="282"/>
        <v>41</v>
      </c>
      <c r="D3702" s="1">
        <f t="shared" ca="1" si="279"/>
        <v>37</v>
      </c>
      <c r="E3702" s="2">
        <f t="shared" ca="1" si="280"/>
        <v>42943</v>
      </c>
      <c r="F3702" s="6">
        <f t="shared" ca="1" si="281"/>
        <v>4.264413403059633</v>
      </c>
    </row>
    <row r="3703" spans="1:6">
      <c r="A3703" s="1">
        <v>9132403</v>
      </c>
      <c r="B3703">
        <f t="shared" ca="1" si="278"/>
        <v>0.64476853895765063</v>
      </c>
      <c r="C3703" s="1">
        <f t="shared" ca="1" si="282"/>
        <v>4</v>
      </c>
      <c r="D3703" s="1">
        <f t="shared" ca="1" si="279"/>
        <v>493</v>
      </c>
      <c r="E3703" s="2">
        <f t="shared" ca="1" si="280"/>
        <v>43268</v>
      </c>
      <c r="F3703" s="6">
        <f t="shared" ca="1" si="281"/>
        <v>15.964302680851086</v>
      </c>
    </row>
    <row r="3704" spans="1:6">
      <c r="A3704" s="1">
        <v>9132406</v>
      </c>
      <c r="B3704">
        <f t="shared" ca="1" si="278"/>
        <v>0.84319085474213495</v>
      </c>
      <c r="C3704" s="1">
        <f t="shared" ca="1" si="282"/>
        <v>88</v>
      </c>
      <c r="D3704" s="1">
        <f t="shared" ca="1" si="279"/>
        <v>253</v>
      </c>
      <c r="E3704" s="2">
        <f t="shared" ca="1" si="280"/>
        <v>42884</v>
      </c>
      <c r="F3704" s="6">
        <f t="shared" ca="1" si="281"/>
        <v>87.055489935841649</v>
      </c>
    </row>
    <row r="3705" spans="1:6">
      <c r="A3705" s="1">
        <v>9132409</v>
      </c>
      <c r="B3705">
        <f t="shared" ca="1" si="278"/>
        <v>0.78636754349673976</v>
      </c>
      <c r="C3705" s="1">
        <f t="shared" ca="1" si="282"/>
        <v>3</v>
      </c>
      <c r="D3705" s="1">
        <f t="shared" ca="1" si="279"/>
        <v>263</v>
      </c>
      <c r="E3705" s="2">
        <f t="shared" ca="1" si="280"/>
        <v>43449</v>
      </c>
      <c r="F3705" s="6">
        <f t="shared" ca="1" si="281"/>
        <v>30.803752231610883</v>
      </c>
    </row>
    <row r="3706" spans="1:6">
      <c r="A3706" s="1">
        <v>9132412</v>
      </c>
      <c r="B3706">
        <f t="shared" ca="1" si="278"/>
        <v>3.949011263864266E-3</v>
      </c>
      <c r="C3706" s="1">
        <f t="shared" ca="1" si="282"/>
        <v>20</v>
      </c>
      <c r="D3706" s="1">
        <f t="shared" ca="1" si="279"/>
        <v>444</v>
      </c>
      <c r="E3706" s="2">
        <f t="shared" ca="1" si="280"/>
        <v>42854</v>
      </c>
      <c r="F3706" s="6">
        <f t="shared" ca="1" si="281"/>
        <v>11.610344935017878</v>
      </c>
    </row>
    <row r="3707" spans="1:6">
      <c r="A3707" s="1">
        <v>9132415</v>
      </c>
      <c r="B3707">
        <f t="shared" ca="1" si="278"/>
        <v>0.5720613952446707</v>
      </c>
      <c r="C3707" s="1">
        <f t="shared" ca="1" si="282"/>
        <v>41</v>
      </c>
      <c r="D3707" s="1">
        <f t="shared" ca="1" si="279"/>
        <v>37</v>
      </c>
      <c r="E3707" s="2">
        <f t="shared" ca="1" si="280"/>
        <v>42919</v>
      </c>
      <c r="F3707" s="6">
        <f t="shared" ca="1" si="281"/>
        <v>143.50161110388234</v>
      </c>
    </row>
    <row r="3708" spans="1:6">
      <c r="A3708" s="1">
        <v>9132418</v>
      </c>
      <c r="B3708">
        <f t="shared" ref="B3708:B3771" ca="1" si="283">RAND()</f>
        <v>0.23639096772045642</v>
      </c>
      <c r="C3708" s="1">
        <f t="shared" ca="1" si="282"/>
        <v>19</v>
      </c>
      <c r="D3708" s="1">
        <f t="shared" ref="D3708:D3771" ca="1" si="284">VLOOKUP(SMALL($B$2:$B$601,C3708),$B$2:$C$601,2,FALSE)</f>
        <v>42</v>
      </c>
      <c r="E3708" s="2">
        <f t="shared" ca="1" si="280"/>
        <v>42825</v>
      </c>
      <c r="F3708" s="6">
        <f t="shared" ca="1" si="281"/>
        <v>63.534849503827836</v>
      </c>
    </row>
    <row r="3709" spans="1:6">
      <c r="A3709" s="1">
        <v>9132421</v>
      </c>
      <c r="B3709">
        <f t="shared" ca="1" si="283"/>
        <v>0.82456539256948802</v>
      </c>
      <c r="C3709" s="1">
        <f t="shared" ca="1" si="282"/>
        <v>28</v>
      </c>
      <c r="D3709" s="1">
        <f t="shared" ca="1" si="284"/>
        <v>401</v>
      </c>
      <c r="E3709" s="2">
        <f t="shared" ca="1" si="280"/>
        <v>43088</v>
      </c>
      <c r="F3709" s="6">
        <f t="shared" ca="1" si="281"/>
        <v>30.886516140982621</v>
      </c>
    </row>
    <row r="3710" spans="1:6">
      <c r="A3710" s="1">
        <v>9132424</v>
      </c>
      <c r="B3710">
        <f t="shared" ca="1" si="283"/>
        <v>0.872137424643323</v>
      </c>
      <c r="C3710" s="1">
        <f t="shared" ca="1" si="282"/>
        <v>15</v>
      </c>
      <c r="D3710" s="1">
        <f t="shared" ca="1" si="284"/>
        <v>284</v>
      </c>
      <c r="E3710" s="2">
        <f t="shared" ca="1" si="280"/>
        <v>42779</v>
      </c>
      <c r="F3710" s="6">
        <f t="shared" ca="1" si="281"/>
        <v>83.714768039797377</v>
      </c>
    </row>
    <row r="3711" spans="1:6">
      <c r="A3711" s="1">
        <v>9132427</v>
      </c>
      <c r="B3711">
        <f t="shared" ca="1" si="283"/>
        <v>0.35420941516974702</v>
      </c>
      <c r="C3711" s="1">
        <f t="shared" ca="1" si="282"/>
        <v>5</v>
      </c>
      <c r="D3711" s="1">
        <f t="shared" ca="1" si="284"/>
        <v>363</v>
      </c>
      <c r="E3711" s="2">
        <f t="shared" ca="1" si="280"/>
        <v>43338</v>
      </c>
      <c r="F3711" s="6">
        <f t="shared" ca="1" si="281"/>
        <v>3.0565908446671526</v>
      </c>
    </row>
    <row r="3712" spans="1:6">
      <c r="A3712" s="1">
        <v>9132430</v>
      </c>
      <c r="B3712">
        <f t="shared" ca="1" si="283"/>
        <v>0.10534243609424376</v>
      </c>
      <c r="C3712" s="1">
        <f t="shared" ca="1" si="282"/>
        <v>4</v>
      </c>
      <c r="D3712" s="1">
        <f t="shared" ca="1" si="284"/>
        <v>493</v>
      </c>
      <c r="E3712" s="2">
        <f t="shared" ca="1" si="280"/>
        <v>43196</v>
      </c>
      <c r="F3712" s="6">
        <f t="shared" ca="1" si="281"/>
        <v>4.6720457639459134</v>
      </c>
    </row>
    <row r="3713" spans="1:6">
      <c r="A3713" s="1">
        <v>9132433</v>
      </c>
      <c r="B3713">
        <f t="shared" ca="1" si="283"/>
        <v>0.38608256756855375</v>
      </c>
      <c r="C3713" s="1">
        <f t="shared" ca="1" si="282"/>
        <v>2</v>
      </c>
      <c r="D3713" s="1">
        <f t="shared" ca="1" si="284"/>
        <v>30</v>
      </c>
      <c r="E3713" s="2">
        <f t="shared" ca="1" si="280"/>
        <v>42749</v>
      </c>
      <c r="F3713" s="6">
        <f t="shared" ca="1" si="281"/>
        <v>3.0022971930097171</v>
      </c>
    </row>
    <row r="3714" spans="1:6">
      <c r="A3714" s="1">
        <v>9132436</v>
      </c>
      <c r="B3714">
        <f t="shared" ca="1" si="283"/>
        <v>0.35395636310675804</v>
      </c>
      <c r="C3714" s="1">
        <f t="shared" ca="1" si="282"/>
        <v>32</v>
      </c>
      <c r="D3714" s="1">
        <f t="shared" ca="1" si="284"/>
        <v>497</v>
      </c>
      <c r="E3714" s="2">
        <f t="shared" ca="1" si="280"/>
        <v>43135</v>
      </c>
      <c r="F3714" s="6">
        <f t="shared" ca="1" si="281"/>
        <v>290.55238561228975</v>
      </c>
    </row>
    <row r="3715" spans="1:6">
      <c r="A3715" s="1">
        <v>9132439</v>
      </c>
      <c r="B3715">
        <f t="shared" ca="1" si="283"/>
        <v>0.55706639459371898</v>
      </c>
      <c r="C3715" s="1">
        <f t="shared" ca="1" si="282"/>
        <v>50</v>
      </c>
      <c r="D3715" s="1">
        <f t="shared" ca="1" si="284"/>
        <v>415</v>
      </c>
      <c r="E3715" s="2">
        <f t="shared" ref="E3715:E3778" ca="1" si="285">RANDBETWEEN("1/1/17","2/1/19")</f>
        <v>43087</v>
      </c>
      <c r="F3715" s="6">
        <f t="shared" ref="F3715:F3778" ca="1" si="286">_xlfn.GAMMA.INV(RAND(),$J$6,$J$7)*100+3</f>
        <v>8.185593691482417</v>
      </c>
    </row>
    <row r="3716" spans="1:6">
      <c r="A3716" s="1">
        <v>9132442</v>
      </c>
      <c r="B3716">
        <f t="shared" ca="1" si="283"/>
        <v>0.30823283077822117</v>
      </c>
      <c r="C3716" s="1">
        <f t="shared" ca="1" si="282"/>
        <v>3</v>
      </c>
      <c r="D3716" s="1">
        <f t="shared" ca="1" si="284"/>
        <v>263</v>
      </c>
      <c r="E3716" s="2">
        <f t="shared" ca="1" si="285"/>
        <v>43241</v>
      </c>
      <c r="F3716" s="6">
        <f t="shared" ca="1" si="286"/>
        <v>47.475124363873093</v>
      </c>
    </row>
    <row r="3717" spans="1:6">
      <c r="A3717" s="1">
        <v>9132445</v>
      </c>
      <c r="B3717">
        <f t="shared" ca="1" si="283"/>
        <v>0.85627701323667915</v>
      </c>
      <c r="C3717" s="1">
        <f t="shared" ca="1" si="282"/>
        <v>30</v>
      </c>
      <c r="D3717" s="1">
        <f t="shared" ca="1" si="284"/>
        <v>53</v>
      </c>
      <c r="E3717" s="2">
        <f t="shared" ca="1" si="285"/>
        <v>43493</v>
      </c>
      <c r="F3717" s="6">
        <f t="shared" ca="1" si="286"/>
        <v>19.914679657469438</v>
      </c>
    </row>
    <row r="3718" spans="1:6">
      <c r="A3718" s="1">
        <v>9132448</v>
      </c>
      <c r="B3718">
        <f t="shared" ca="1" si="283"/>
        <v>0.44516932763717121</v>
      </c>
      <c r="C3718" s="1">
        <f t="shared" ca="1" si="282"/>
        <v>23</v>
      </c>
      <c r="D3718" s="1">
        <f t="shared" ca="1" si="284"/>
        <v>516</v>
      </c>
      <c r="E3718" s="2">
        <f t="shared" ca="1" si="285"/>
        <v>43165</v>
      </c>
      <c r="F3718" s="6">
        <f t="shared" ca="1" si="286"/>
        <v>45.203213314249055</v>
      </c>
    </row>
    <row r="3719" spans="1:6">
      <c r="A3719" s="1">
        <v>9132451</v>
      </c>
      <c r="B3719">
        <f t="shared" ca="1" si="283"/>
        <v>0.7001439448550657</v>
      </c>
      <c r="C3719" s="1">
        <f t="shared" ca="1" si="282"/>
        <v>2</v>
      </c>
      <c r="D3719" s="1">
        <f t="shared" ca="1" si="284"/>
        <v>30</v>
      </c>
      <c r="E3719" s="2">
        <f t="shared" ca="1" si="285"/>
        <v>42752</v>
      </c>
      <c r="F3719" s="6">
        <f t="shared" ca="1" si="286"/>
        <v>78.067323324711552</v>
      </c>
    </row>
    <row r="3720" spans="1:6">
      <c r="A3720" s="1">
        <v>9132454</v>
      </c>
      <c r="B3720">
        <f t="shared" ca="1" si="283"/>
        <v>0.96211298807270984</v>
      </c>
      <c r="C3720" s="1">
        <f t="shared" ca="1" si="282"/>
        <v>4</v>
      </c>
      <c r="D3720" s="1">
        <f t="shared" ca="1" si="284"/>
        <v>493</v>
      </c>
      <c r="E3720" s="2">
        <f t="shared" ca="1" si="285"/>
        <v>43095</v>
      </c>
      <c r="F3720" s="6">
        <f t="shared" ca="1" si="286"/>
        <v>34.596979793450046</v>
      </c>
    </row>
    <row r="3721" spans="1:6">
      <c r="A3721" s="1">
        <v>9132457</v>
      </c>
      <c r="B3721">
        <f t="shared" ca="1" si="283"/>
        <v>0.40345006567053843</v>
      </c>
      <c r="C3721" s="1">
        <f t="shared" ca="1" si="282"/>
        <v>25</v>
      </c>
      <c r="D3721" s="1">
        <f t="shared" ca="1" si="284"/>
        <v>257</v>
      </c>
      <c r="E3721" s="2">
        <f t="shared" ca="1" si="285"/>
        <v>42780</v>
      </c>
      <c r="F3721" s="6">
        <f t="shared" ca="1" si="286"/>
        <v>16.387523969525759</v>
      </c>
    </row>
    <row r="3722" spans="1:6">
      <c r="A3722" s="1">
        <v>9132460</v>
      </c>
      <c r="B3722">
        <f t="shared" ca="1" si="283"/>
        <v>0.11765135441846031</v>
      </c>
      <c r="C3722" s="1">
        <f t="shared" ca="1" si="282"/>
        <v>7</v>
      </c>
      <c r="D3722" s="1">
        <f t="shared" ca="1" si="284"/>
        <v>138</v>
      </c>
      <c r="E3722" s="2">
        <f t="shared" ca="1" si="285"/>
        <v>43039</v>
      </c>
      <c r="F3722" s="6">
        <f t="shared" ca="1" si="286"/>
        <v>318.40855073801379</v>
      </c>
    </row>
    <row r="3723" spans="1:6">
      <c r="A3723" s="1">
        <v>9132463</v>
      </c>
      <c r="B3723">
        <f t="shared" ca="1" si="283"/>
        <v>0.37377159493752132</v>
      </c>
      <c r="C3723" s="1">
        <f t="shared" ca="1" si="282"/>
        <v>13</v>
      </c>
      <c r="D3723" s="1">
        <f t="shared" ca="1" si="284"/>
        <v>80</v>
      </c>
      <c r="E3723" s="2">
        <f t="shared" ca="1" si="285"/>
        <v>42738</v>
      </c>
      <c r="F3723" s="6">
        <f t="shared" ca="1" si="286"/>
        <v>6.513832081811362</v>
      </c>
    </row>
    <row r="3724" spans="1:6">
      <c r="A3724" s="1">
        <v>9132466</v>
      </c>
      <c r="B3724">
        <f t="shared" ca="1" si="283"/>
        <v>0.27200158510660799</v>
      </c>
      <c r="C3724" s="1">
        <f t="shared" ca="1" si="282"/>
        <v>7</v>
      </c>
      <c r="D3724" s="1">
        <f t="shared" ca="1" si="284"/>
        <v>138</v>
      </c>
      <c r="E3724" s="2">
        <f t="shared" ca="1" si="285"/>
        <v>43360</v>
      </c>
      <c r="F3724" s="6">
        <f t="shared" ca="1" si="286"/>
        <v>6.2384757606256711</v>
      </c>
    </row>
    <row r="3725" spans="1:6">
      <c r="A3725" s="1">
        <v>9132469</v>
      </c>
      <c r="B3725">
        <f t="shared" ca="1" si="283"/>
        <v>0.86233241440317177</v>
      </c>
      <c r="C3725" s="1">
        <f t="shared" ca="1" si="282"/>
        <v>82</v>
      </c>
      <c r="D3725" s="1">
        <f t="shared" ca="1" si="284"/>
        <v>143</v>
      </c>
      <c r="E3725" s="2">
        <f t="shared" ca="1" si="285"/>
        <v>43212</v>
      </c>
      <c r="F3725" s="6">
        <f t="shared" ca="1" si="286"/>
        <v>3.7629197677728672</v>
      </c>
    </row>
    <row r="3726" spans="1:6">
      <c r="A3726" s="1">
        <v>9132472</v>
      </c>
      <c r="B3726">
        <f t="shared" ca="1" si="283"/>
        <v>0.37361804683525679</v>
      </c>
      <c r="C3726" s="1">
        <f t="shared" ca="1" si="282"/>
        <v>5</v>
      </c>
      <c r="D3726" s="1">
        <f t="shared" ca="1" si="284"/>
        <v>363</v>
      </c>
      <c r="E3726" s="2">
        <f t="shared" ca="1" si="285"/>
        <v>43299</v>
      </c>
      <c r="F3726" s="6">
        <f t="shared" ca="1" si="286"/>
        <v>37.096704625090155</v>
      </c>
    </row>
    <row r="3727" spans="1:6">
      <c r="A3727" s="1">
        <v>9132475</v>
      </c>
      <c r="B3727">
        <f t="shared" ca="1" si="283"/>
        <v>0.58879256979651751</v>
      </c>
      <c r="C3727" s="1">
        <f t="shared" ca="1" si="282"/>
        <v>1</v>
      </c>
      <c r="D3727" s="1">
        <f t="shared" ca="1" si="284"/>
        <v>474</v>
      </c>
      <c r="E3727" s="2">
        <f t="shared" ca="1" si="285"/>
        <v>43305</v>
      </c>
      <c r="F3727" s="6">
        <f t="shared" ca="1" si="286"/>
        <v>20.901400940086901</v>
      </c>
    </row>
    <row r="3728" spans="1:6">
      <c r="A3728" s="1">
        <v>9132478</v>
      </c>
      <c r="B3728">
        <f t="shared" ca="1" si="283"/>
        <v>0.68452124373616152</v>
      </c>
      <c r="C3728" s="1">
        <f t="shared" ca="1" si="282"/>
        <v>87</v>
      </c>
      <c r="D3728" s="1">
        <f t="shared" ca="1" si="284"/>
        <v>551</v>
      </c>
      <c r="E3728" s="2">
        <f t="shared" ca="1" si="285"/>
        <v>43470</v>
      </c>
      <c r="F3728" s="6">
        <f t="shared" ca="1" si="286"/>
        <v>81.008615720689207</v>
      </c>
    </row>
    <row r="3729" spans="1:6">
      <c r="A3729" s="1">
        <v>9132481</v>
      </c>
      <c r="B3729">
        <f t="shared" ca="1" si="283"/>
        <v>0.33501640632451968</v>
      </c>
      <c r="C3729" s="1">
        <f t="shared" ca="1" si="282"/>
        <v>13</v>
      </c>
      <c r="D3729" s="1">
        <f t="shared" ca="1" si="284"/>
        <v>80</v>
      </c>
      <c r="E3729" s="2">
        <f t="shared" ca="1" si="285"/>
        <v>43088</v>
      </c>
      <c r="F3729" s="6">
        <f t="shared" ca="1" si="286"/>
        <v>6.6139325429469071</v>
      </c>
    </row>
    <row r="3730" spans="1:6">
      <c r="A3730" s="1">
        <v>9132484</v>
      </c>
      <c r="B3730">
        <f t="shared" ca="1" si="283"/>
        <v>0.63847253976494489</v>
      </c>
      <c r="C3730" s="1">
        <f t="shared" ca="1" si="282"/>
        <v>1</v>
      </c>
      <c r="D3730" s="1">
        <f t="shared" ca="1" si="284"/>
        <v>474</v>
      </c>
      <c r="E3730" s="2">
        <f t="shared" ca="1" si="285"/>
        <v>42778</v>
      </c>
      <c r="F3730" s="6">
        <f t="shared" ca="1" si="286"/>
        <v>35.114657295004406</v>
      </c>
    </row>
    <row r="3731" spans="1:6">
      <c r="A3731" s="1">
        <v>9132487</v>
      </c>
      <c r="B3731">
        <f t="shared" ca="1" si="283"/>
        <v>0.58619288699641192</v>
      </c>
      <c r="C3731" s="1">
        <f t="shared" ca="1" si="282"/>
        <v>16</v>
      </c>
      <c r="D3731" s="1">
        <f t="shared" ca="1" si="284"/>
        <v>465</v>
      </c>
      <c r="E3731" s="2">
        <f t="shared" ca="1" si="285"/>
        <v>43121</v>
      </c>
      <c r="F3731" s="6">
        <f t="shared" ca="1" si="286"/>
        <v>50.382188698187832</v>
      </c>
    </row>
    <row r="3732" spans="1:6">
      <c r="A3732" s="1">
        <v>9132490</v>
      </c>
      <c r="B3732">
        <f t="shared" ca="1" si="283"/>
        <v>0.93935932860263949</v>
      </c>
      <c r="C3732" s="1">
        <f t="shared" ca="1" si="282"/>
        <v>165</v>
      </c>
      <c r="D3732" s="1">
        <f t="shared" ca="1" si="284"/>
        <v>354</v>
      </c>
      <c r="E3732" s="2">
        <f t="shared" ca="1" si="285"/>
        <v>42988</v>
      </c>
      <c r="F3732" s="6">
        <f t="shared" ca="1" si="286"/>
        <v>27.599256688129888</v>
      </c>
    </row>
    <row r="3733" spans="1:6">
      <c r="A3733" s="1">
        <v>9132493</v>
      </c>
      <c r="B3733">
        <f t="shared" ca="1" si="283"/>
        <v>0.71469304302469328</v>
      </c>
      <c r="C3733" s="1">
        <f t="shared" ca="1" si="282"/>
        <v>81</v>
      </c>
      <c r="D3733" s="1">
        <f t="shared" ca="1" si="284"/>
        <v>119</v>
      </c>
      <c r="E3733" s="2">
        <f t="shared" ca="1" si="285"/>
        <v>42972</v>
      </c>
      <c r="F3733" s="6">
        <f t="shared" ca="1" si="286"/>
        <v>178.17045088857071</v>
      </c>
    </row>
    <row r="3734" spans="1:6">
      <c r="A3734" s="1">
        <v>9132496</v>
      </c>
      <c r="B3734">
        <f t="shared" ca="1" si="283"/>
        <v>0.11559135157984246</v>
      </c>
      <c r="C3734" s="1">
        <f t="shared" ca="1" si="282"/>
        <v>6</v>
      </c>
      <c r="D3734" s="1">
        <f t="shared" ca="1" si="284"/>
        <v>208</v>
      </c>
      <c r="E3734" s="2">
        <f t="shared" ca="1" si="285"/>
        <v>43194</v>
      </c>
      <c r="F3734" s="6">
        <f t="shared" ca="1" si="286"/>
        <v>11.12140326502425</v>
      </c>
    </row>
    <row r="3735" spans="1:6">
      <c r="A3735" s="1">
        <v>9132499</v>
      </c>
      <c r="B3735">
        <f t="shared" ca="1" si="283"/>
        <v>0.75817667736110206</v>
      </c>
      <c r="C3735" s="1">
        <f t="shared" ca="1" si="282"/>
        <v>4</v>
      </c>
      <c r="D3735" s="1">
        <f t="shared" ca="1" si="284"/>
        <v>493</v>
      </c>
      <c r="E3735" s="2">
        <f t="shared" ca="1" si="285"/>
        <v>42914</v>
      </c>
      <c r="F3735" s="6">
        <f t="shared" ca="1" si="286"/>
        <v>5.471164355215075</v>
      </c>
    </row>
    <row r="3736" spans="1:6">
      <c r="A3736" s="1">
        <v>9132502</v>
      </c>
      <c r="B3736">
        <f t="shared" ca="1" si="283"/>
        <v>0.28253170629154223</v>
      </c>
      <c r="C3736" s="1">
        <f t="shared" ca="1" si="282"/>
        <v>7</v>
      </c>
      <c r="D3736" s="1">
        <f t="shared" ca="1" si="284"/>
        <v>138</v>
      </c>
      <c r="E3736" s="2">
        <f t="shared" ca="1" si="285"/>
        <v>42811</v>
      </c>
      <c r="F3736" s="6">
        <f t="shared" ca="1" si="286"/>
        <v>16.129345963081654</v>
      </c>
    </row>
    <row r="3737" spans="1:6">
      <c r="A3737" s="1">
        <v>9132505</v>
      </c>
      <c r="B3737">
        <f t="shared" ca="1" si="283"/>
        <v>7.0202684848102215E-2</v>
      </c>
      <c r="C3737" s="1">
        <f t="shared" ca="1" si="282"/>
        <v>53</v>
      </c>
      <c r="D3737" s="1">
        <f t="shared" ca="1" si="284"/>
        <v>155</v>
      </c>
      <c r="E3737" s="2">
        <f t="shared" ca="1" si="285"/>
        <v>42902</v>
      </c>
      <c r="F3737" s="6">
        <f t="shared" ca="1" si="286"/>
        <v>10.485009760887873</v>
      </c>
    </row>
    <row r="3738" spans="1:6">
      <c r="A3738" s="1">
        <v>9132508</v>
      </c>
      <c r="B3738">
        <f t="shared" ca="1" si="283"/>
        <v>0.46524499418407594</v>
      </c>
      <c r="C3738" s="1">
        <f t="shared" ca="1" si="282"/>
        <v>109</v>
      </c>
      <c r="D3738" s="1">
        <f t="shared" ca="1" si="284"/>
        <v>245</v>
      </c>
      <c r="E3738" s="2">
        <f t="shared" ca="1" si="285"/>
        <v>43487</v>
      </c>
      <c r="F3738" s="6">
        <f t="shared" ca="1" si="286"/>
        <v>38.371843920242831</v>
      </c>
    </row>
    <row r="3739" spans="1:6">
      <c r="A3739" s="1">
        <v>9132511</v>
      </c>
      <c r="B3739">
        <f t="shared" ca="1" si="283"/>
        <v>0.92944941766672906</v>
      </c>
      <c r="C3739" s="1">
        <f t="shared" ref="C3739:C3802" ca="1" si="287">ROUND(_xlfn.GAMMA.INV(RAND(),$J$11,$J$12)*100,0)+1</f>
        <v>95</v>
      </c>
      <c r="D3739" s="1">
        <f t="shared" ca="1" si="284"/>
        <v>62</v>
      </c>
      <c r="E3739" s="2">
        <f t="shared" ca="1" si="285"/>
        <v>42884</v>
      </c>
      <c r="F3739" s="6">
        <f t="shared" ca="1" si="286"/>
        <v>4.3761952312393815</v>
      </c>
    </row>
    <row r="3740" spans="1:6">
      <c r="A3740" s="1">
        <v>9132514</v>
      </c>
      <c r="B3740">
        <f t="shared" ca="1" si="283"/>
        <v>0.32226229283624785</v>
      </c>
      <c r="C3740" s="1">
        <f t="shared" ca="1" si="287"/>
        <v>21</v>
      </c>
      <c r="D3740" s="1">
        <f t="shared" ca="1" si="284"/>
        <v>566</v>
      </c>
      <c r="E3740" s="2">
        <f t="shared" ca="1" si="285"/>
        <v>43072</v>
      </c>
      <c r="F3740" s="6">
        <f t="shared" ca="1" si="286"/>
        <v>11.162200187899327</v>
      </c>
    </row>
    <row r="3741" spans="1:6">
      <c r="A3741" s="1">
        <v>9132517</v>
      </c>
      <c r="B3741">
        <f t="shared" ca="1" si="283"/>
        <v>0.13273387951949789</v>
      </c>
      <c r="C3741" s="1">
        <f t="shared" ca="1" si="287"/>
        <v>177</v>
      </c>
      <c r="D3741" s="1">
        <f t="shared" ca="1" si="284"/>
        <v>527</v>
      </c>
      <c r="E3741" s="2">
        <f t="shared" ca="1" si="285"/>
        <v>42794</v>
      </c>
      <c r="F3741" s="6">
        <f t="shared" ca="1" si="286"/>
        <v>9.1488557096272487</v>
      </c>
    </row>
    <row r="3742" spans="1:6">
      <c r="A3742" s="1">
        <v>9132520</v>
      </c>
      <c r="B3742">
        <f t="shared" ca="1" si="283"/>
        <v>0.42758197828784295</v>
      </c>
      <c r="C3742" s="1">
        <f t="shared" ca="1" si="287"/>
        <v>30</v>
      </c>
      <c r="D3742" s="1">
        <f t="shared" ca="1" si="284"/>
        <v>53</v>
      </c>
      <c r="E3742" s="2">
        <f t="shared" ca="1" si="285"/>
        <v>43078</v>
      </c>
      <c r="F3742" s="6">
        <f t="shared" ca="1" si="286"/>
        <v>19.743643507098398</v>
      </c>
    </row>
    <row r="3743" spans="1:6">
      <c r="A3743" s="1">
        <v>9132523</v>
      </c>
      <c r="B3743">
        <f t="shared" ca="1" si="283"/>
        <v>0.35433152332736451</v>
      </c>
      <c r="C3743" s="1">
        <f t="shared" ca="1" si="287"/>
        <v>100</v>
      </c>
      <c r="D3743" s="1">
        <f t="shared" ca="1" si="284"/>
        <v>183</v>
      </c>
      <c r="E3743" s="2">
        <f t="shared" ca="1" si="285"/>
        <v>43304</v>
      </c>
      <c r="F3743" s="6">
        <f t="shared" ca="1" si="286"/>
        <v>14.231844339532177</v>
      </c>
    </row>
    <row r="3744" spans="1:6">
      <c r="A3744" s="1">
        <v>9132526</v>
      </c>
      <c r="B3744">
        <f t="shared" ca="1" si="283"/>
        <v>0.10245056227716443</v>
      </c>
      <c r="C3744" s="1">
        <f t="shared" ca="1" si="287"/>
        <v>58</v>
      </c>
      <c r="D3744" s="1">
        <f t="shared" ca="1" si="284"/>
        <v>19</v>
      </c>
      <c r="E3744" s="2">
        <f t="shared" ca="1" si="285"/>
        <v>42999</v>
      </c>
      <c r="F3744" s="6">
        <f t="shared" ca="1" si="286"/>
        <v>9.6482938189957306</v>
      </c>
    </row>
    <row r="3745" spans="1:6">
      <c r="A3745" s="1">
        <v>9132529</v>
      </c>
      <c r="B3745">
        <f t="shared" ca="1" si="283"/>
        <v>0.49415384734338408</v>
      </c>
      <c r="C3745" s="1">
        <f t="shared" ca="1" si="287"/>
        <v>2</v>
      </c>
      <c r="D3745" s="1">
        <f t="shared" ca="1" si="284"/>
        <v>30</v>
      </c>
      <c r="E3745" s="2">
        <f t="shared" ca="1" si="285"/>
        <v>42923</v>
      </c>
      <c r="F3745" s="6">
        <f t="shared" ca="1" si="286"/>
        <v>40.512782466225637</v>
      </c>
    </row>
    <row r="3746" spans="1:6">
      <c r="A3746" s="1">
        <v>9132532</v>
      </c>
      <c r="B3746">
        <f t="shared" ca="1" si="283"/>
        <v>0.44654371813534044</v>
      </c>
      <c r="C3746" s="1">
        <f t="shared" ca="1" si="287"/>
        <v>93</v>
      </c>
      <c r="D3746" s="1">
        <f t="shared" ca="1" si="284"/>
        <v>518</v>
      </c>
      <c r="E3746" s="2">
        <f t="shared" ca="1" si="285"/>
        <v>43436</v>
      </c>
      <c r="F3746" s="6">
        <f t="shared" ca="1" si="286"/>
        <v>3.4277335336421006</v>
      </c>
    </row>
    <row r="3747" spans="1:6">
      <c r="A3747" s="1">
        <v>9132535</v>
      </c>
      <c r="B3747">
        <f t="shared" ca="1" si="283"/>
        <v>0.63125423273614467</v>
      </c>
      <c r="C3747" s="1">
        <f t="shared" ca="1" si="287"/>
        <v>115</v>
      </c>
      <c r="D3747" s="1">
        <f t="shared" ca="1" si="284"/>
        <v>508</v>
      </c>
      <c r="E3747" s="2">
        <f t="shared" ca="1" si="285"/>
        <v>42756</v>
      </c>
      <c r="F3747" s="6">
        <f t="shared" ca="1" si="286"/>
        <v>63.017239236697208</v>
      </c>
    </row>
    <row r="3748" spans="1:6">
      <c r="A3748" s="1">
        <v>9132538</v>
      </c>
      <c r="B3748">
        <f t="shared" ca="1" si="283"/>
        <v>0.61334627182749013</v>
      </c>
      <c r="C3748" s="1">
        <f t="shared" ca="1" si="287"/>
        <v>27</v>
      </c>
      <c r="D3748" s="1">
        <f t="shared" ca="1" si="284"/>
        <v>398</v>
      </c>
      <c r="E3748" s="2">
        <f t="shared" ca="1" si="285"/>
        <v>42750</v>
      </c>
      <c r="F3748" s="6">
        <f t="shared" ca="1" si="286"/>
        <v>361.82225090394144</v>
      </c>
    </row>
    <row r="3749" spans="1:6">
      <c r="A3749" s="1">
        <v>9132541</v>
      </c>
      <c r="B3749">
        <f t="shared" ca="1" si="283"/>
        <v>0.72153625231623975</v>
      </c>
      <c r="C3749" s="1">
        <f t="shared" ca="1" si="287"/>
        <v>139</v>
      </c>
      <c r="D3749" s="1">
        <f t="shared" ca="1" si="284"/>
        <v>49</v>
      </c>
      <c r="E3749" s="2">
        <f t="shared" ca="1" si="285"/>
        <v>42754</v>
      </c>
      <c r="F3749" s="6">
        <f t="shared" ca="1" si="286"/>
        <v>74.729511721535332</v>
      </c>
    </row>
    <row r="3750" spans="1:6">
      <c r="A3750" s="1">
        <v>9132544</v>
      </c>
      <c r="B3750">
        <f t="shared" ca="1" si="283"/>
        <v>8.3918330493980342E-2</v>
      </c>
      <c r="C3750" s="1">
        <f t="shared" ca="1" si="287"/>
        <v>1</v>
      </c>
      <c r="D3750" s="1">
        <f t="shared" ca="1" si="284"/>
        <v>474</v>
      </c>
      <c r="E3750" s="2">
        <f t="shared" ca="1" si="285"/>
        <v>43339</v>
      </c>
      <c r="F3750" s="6">
        <f t="shared" ca="1" si="286"/>
        <v>4.9349094217374443</v>
      </c>
    </row>
    <row r="3751" spans="1:6">
      <c r="A3751" s="1">
        <v>9132547</v>
      </c>
      <c r="B3751">
        <f t="shared" ca="1" si="283"/>
        <v>0.89007352346075475</v>
      </c>
      <c r="C3751" s="1">
        <f t="shared" ca="1" si="287"/>
        <v>16</v>
      </c>
      <c r="D3751" s="1">
        <f t="shared" ca="1" si="284"/>
        <v>465</v>
      </c>
      <c r="E3751" s="2">
        <f t="shared" ca="1" si="285"/>
        <v>42742</v>
      </c>
      <c r="F3751" s="6">
        <f t="shared" ca="1" si="286"/>
        <v>9.1839395422486874</v>
      </c>
    </row>
    <row r="3752" spans="1:6">
      <c r="A3752" s="1">
        <v>9132550</v>
      </c>
      <c r="B3752">
        <f t="shared" ca="1" si="283"/>
        <v>0.57142582678068954</v>
      </c>
      <c r="C3752" s="1">
        <f t="shared" ca="1" si="287"/>
        <v>2</v>
      </c>
      <c r="D3752" s="1">
        <f t="shared" ca="1" si="284"/>
        <v>30</v>
      </c>
      <c r="E3752" s="2">
        <f t="shared" ca="1" si="285"/>
        <v>43335</v>
      </c>
      <c r="F3752" s="6">
        <f t="shared" ca="1" si="286"/>
        <v>11.747745838449648</v>
      </c>
    </row>
    <row r="3753" spans="1:6">
      <c r="A3753" s="1">
        <v>9132553</v>
      </c>
      <c r="B3753">
        <f t="shared" ca="1" si="283"/>
        <v>9.6325868119884306E-2</v>
      </c>
      <c r="C3753" s="1">
        <f t="shared" ca="1" si="287"/>
        <v>15</v>
      </c>
      <c r="D3753" s="1">
        <f t="shared" ca="1" si="284"/>
        <v>284</v>
      </c>
      <c r="E3753" s="2">
        <f t="shared" ca="1" si="285"/>
        <v>42861</v>
      </c>
      <c r="F3753" s="6">
        <f t="shared" ca="1" si="286"/>
        <v>94.438654053169898</v>
      </c>
    </row>
    <row r="3754" spans="1:6">
      <c r="A3754" s="1">
        <v>9132556</v>
      </c>
      <c r="B3754">
        <f t="shared" ca="1" si="283"/>
        <v>5.814663379827445E-2</v>
      </c>
      <c r="C3754" s="1">
        <f t="shared" ca="1" si="287"/>
        <v>32</v>
      </c>
      <c r="D3754" s="1">
        <f t="shared" ca="1" si="284"/>
        <v>497</v>
      </c>
      <c r="E3754" s="2">
        <f t="shared" ca="1" si="285"/>
        <v>43013</v>
      </c>
      <c r="F3754" s="6">
        <f t="shared" ca="1" si="286"/>
        <v>46.403011185748944</v>
      </c>
    </row>
    <row r="3755" spans="1:6">
      <c r="A3755" s="1">
        <v>9132559</v>
      </c>
      <c r="B3755">
        <f t="shared" ca="1" si="283"/>
        <v>0.80906618109136907</v>
      </c>
      <c r="C3755" s="1">
        <f t="shared" ca="1" si="287"/>
        <v>43</v>
      </c>
      <c r="D3755" s="1">
        <f t="shared" ca="1" si="284"/>
        <v>73</v>
      </c>
      <c r="E3755" s="2">
        <f t="shared" ca="1" si="285"/>
        <v>43225</v>
      </c>
      <c r="F3755" s="6">
        <f t="shared" ca="1" si="286"/>
        <v>8.4145473133752677</v>
      </c>
    </row>
    <row r="3756" spans="1:6">
      <c r="A3756" s="1">
        <v>9132562</v>
      </c>
      <c r="B3756">
        <f t="shared" ca="1" si="283"/>
        <v>0.13844342477240434</v>
      </c>
      <c r="C3756" s="1">
        <f t="shared" ca="1" si="287"/>
        <v>27</v>
      </c>
      <c r="D3756" s="1">
        <f t="shared" ca="1" si="284"/>
        <v>398</v>
      </c>
      <c r="E3756" s="2">
        <f t="shared" ca="1" si="285"/>
        <v>43279</v>
      </c>
      <c r="F3756" s="6">
        <f t="shared" ca="1" si="286"/>
        <v>27.405498161045756</v>
      </c>
    </row>
    <row r="3757" spans="1:6">
      <c r="A3757" s="1">
        <v>9132565</v>
      </c>
      <c r="B3757">
        <f t="shared" ca="1" si="283"/>
        <v>0.79039204192425083</v>
      </c>
      <c r="C3757" s="1">
        <f t="shared" ca="1" si="287"/>
        <v>4</v>
      </c>
      <c r="D3757" s="1">
        <f t="shared" ca="1" si="284"/>
        <v>493</v>
      </c>
      <c r="E3757" s="2">
        <f t="shared" ca="1" si="285"/>
        <v>43481</v>
      </c>
      <c r="F3757" s="6">
        <f t="shared" ca="1" si="286"/>
        <v>65.093847055303101</v>
      </c>
    </row>
    <row r="3758" spans="1:6">
      <c r="A3758" s="1">
        <v>9132568</v>
      </c>
      <c r="B3758">
        <f t="shared" ca="1" si="283"/>
        <v>0.78022009588931818</v>
      </c>
      <c r="C3758" s="1">
        <f t="shared" ca="1" si="287"/>
        <v>139</v>
      </c>
      <c r="D3758" s="1">
        <f t="shared" ca="1" si="284"/>
        <v>49</v>
      </c>
      <c r="E3758" s="2">
        <f t="shared" ca="1" si="285"/>
        <v>43161</v>
      </c>
      <c r="F3758" s="6">
        <f t="shared" ca="1" si="286"/>
        <v>9.8517054153308425</v>
      </c>
    </row>
    <row r="3759" spans="1:6">
      <c r="A3759" s="1">
        <v>9132571</v>
      </c>
      <c r="B3759">
        <f t="shared" ca="1" si="283"/>
        <v>0.85386727715164001</v>
      </c>
      <c r="C3759" s="1">
        <f t="shared" ca="1" si="287"/>
        <v>48</v>
      </c>
      <c r="D3759" s="1">
        <f t="shared" ca="1" si="284"/>
        <v>424</v>
      </c>
      <c r="E3759" s="2">
        <f t="shared" ca="1" si="285"/>
        <v>42934</v>
      </c>
      <c r="F3759" s="6">
        <f t="shared" ca="1" si="286"/>
        <v>4.2528420396266267</v>
      </c>
    </row>
    <row r="3760" spans="1:6">
      <c r="A3760" s="1">
        <v>9132574</v>
      </c>
      <c r="B3760">
        <f t="shared" ca="1" si="283"/>
        <v>0.52404386166298</v>
      </c>
      <c r="C3760" s="1">
        <f t="shared" ca="1" si="287"/>
        <v>49</v>
      </c>
      <c r="D3760" s="1">
        <f t="shared" ca="1" si="284"/>
        <v>26</v>
      </c>
      <c r="E3760" s="2">
        <f t="shared" ca="1" si="285"/>
        <v>43291</v>
      </c>
      <c r="F3760" s="6">
        <f t="shared" ca="1" si="286"/>
        <v>32.048751225390816</v>
      </c>
    </row>
    <row r="3761" spans="1:6">
      <c r="A3761" s="1">
        <v>9132577</v>
      </c>
      <c r="B3761">
        <f t="shared" ca="1" si="283"/>
        <v>0.59578708922863322</v>
      </c>
      <c r="C3761" s="1">
        <f t="shared" ca="1" si="287"/>
        <v>18</v>
      </c>
      <c r="D3761" s="1">
        <f t="shared" ca="1" si="284"/>
        <v>511</v>
      </c>
      <c r="E3761" s="2">
        <f t="shared" ca="1" si="285"/>
        <v>43473</v>
      </c>
      <c r="F3761" s="6">
        <f t="shared" ca="1" si="286"/>
        <v>3.4135784285168769</v>
      </c>
    </row>
    <row r="3762" spans="1:6">
      <c r="A3762" s="1">
        <v>9132580</v>
      </c>
      <c r="B3762">
        <f t="shared" ca="1" si="283"/>
        <v>0.59600840395917698</v>
      </c>
      <c r="C3762" s="1">
        <f t="shared" ca="1" si="287"/>
        <v>52</v>
      </c>
      <c r="D3762" s="1">
        <f t="shared" ca="1" si="284"/>
        <v>574</v>
      </c>
      <c r="E3762" s="2">
        <f t="shared" ca="1" si="285"/>
        <v>43044</v>
      </c>
      <c r="F3762" s="6">
        <f t="shared" ca="1" si="286"/>
        <v>3.4742722117500389</v>
      </c>
    </row>
    <row r="3763" spans="1:6">
      <c r="A3763" s="1">
        <v>9132583</v>
      </c>
      <c r="B3763">
        <f t="shared" ca="1" si="283"/>
        <v>0.8133877193276714</v>
      </c>
      <c r="C3763" s="1">
        <f t="shared" ca="1" si="287"/>
        <v>74</v>
      </c>
      <c r="D3763" s="1">
        <f t="shared" ca="1" si="284"/>
        <v>450</v>
      </c>
      <c r="E3763" s="2">
        <f t="shared" ca="1" si="285"/>
        <v>43360</v>
      </c>
      <c r="F3763" s="6">
        <f t="shared" ca="1" si="286"/>
        <v>57.714769778975821</v>
      </c>
    </row>
    <row r="3764" spans="1:6">
      <c r="A3764" s="1">
        <v>9132586</v>
      </c>
      <c r="B3764">
        <f t="shared" ca="1" si="283"/>
        <v>0.83713617016145836</v>
      </c>
      <c r="C3764" s="1">
        <f t="shared" ca="1" si="287"/>
        <v>46</v>
      </c>
      <c r="D3764" s="1">
        <f t="shared" ca="1" si="284"/>
        <v>192</v>
      </c>
      <c r="E3764" s="2">
        <f t="shared" ca="1" si="285"/>
        <v>43012</v>
      </c>
      <c r="F3764" s="6">
        <f t="shared" ca="1" si="286"/>
        <v>12.244500829428755</v>
      </c>
    </row>
    <row r="3765" spans="1:6">
      <c r="A3765" s="1">
        <v>9132589</v>
      </c>
      <c r="B3765">
        <f t="shared" ca="1" si="283"/>
        <v>0.24953131424576924</v>
      </c>
      <c r="C3765" s="1">
        <f t="shared" ca="1" si="287"/>
        <v>31</v>
      </c>
      <c r="D3765" s="1">
        <f t="shared" ca="1" si="284"/>
        <v>535</v>
      </c>
      <c r="E3765" s="2">
        <f t="shared" ca="1" si="285"/>
        <v>43250</v>
      </c>
      <c r="F3765" s="6">
        <f t="shared" ca="1" si="286"/>
        <v>52.414913619957105</v>
      </c>
    </row>
    <row r="3766" spans="1:6">
      <c r="A3766" s="1">
        <v>9132592</v>
      </c>
      <c r="B3766">
        <f t="shared" ca="1" si="283"/>
        <v>0.7022905318767092</v>
      </c>
      <c r="C3766" s="1">
        <f t="shared" ca="1" si="287"/>
        <v>18</v>
      </c>
      <c r="D3766" s="1">
        <f t="shared" ca="1" si="284"/>
        <v>511</v>
      </c>
      <c r="E3766" s="2">
        <f t="shared" ca="1" si="285"/>
        <v>42945</v>
      </c>
      <c r="F3766" s="6">
        <f t="shared" ca="1" si="286"/>
        <v>51.851206914735293</v>
      </c>
    </row>
    <row r="3767" spans="1:6">
      <c r="A3767" s="1">
        <v>9132595</v>
      </c>
      <c r="B3767">
        <f t="shared" ca="1" si="283"/>
        <v>3.9797007305286458E-2</v>
      </c>
      <c r="C3767" s="1">
        <f t="shared" ca="1" si="287"/>
        <v>357</v>
      </c>
      <c r="D3767" s="1">
        <f t="shared" ca="1" si="284"/>
        <v>46</v>
      </c>
      <c r="E3767" s="2">
        <f t="shared" ca="1" si="285"/>
        <v>43073</v>
      </c>
      <c r="F3767" s="6">
        <f t="shared" ca="1" si="286"/>
        <v>12.390347422465565</v>
      </c>
    </row>
    <row r="3768" spans="1:6">
      <c r="A3768" s="1">
        <v>9132598</v>
      </c>
      <c r="B3768">
        <f t="shared" ca="1" si="283"/>
        <v>0.20699401724904876</v>
      </c>
      <c r="C3768" s="1">
        <f t="shared" ca="1" si="287"/>
        <v>32</v>
      </c>
      <c r="D3768" s="1">
        <f t="shared" ca="1" si="284"/>
        <v>497</v>
      </c>
      <c r="E3768" s="2">
        <f t="shared" ca="1" si="285"/>
        <v>43040</v>
      </c>
      <c r="F3768" s="6">
        <f t="shared" ca="1" si="286"/>
        <v>5.8941423839252618</v>
      </c>
    </row>
    <row r="3769" spans="1:6">
      <c r="A3769" s="1">
        <v>9132601</v>
      </c>
      <c r="B3769">
        <f t="shared" ca="1" si="283"/>
        <v>0.21842183088422595</v>
      </c>
      <c r="C3769" s="1">
        <f t="shared" ca="1" si="287"/>
        <v>9</v>
      </c>
      <c r="D3769" s="1">
        <f t="shared" ca="1" si="284"/>
        <v>278</v>
      </c>
      <c r="E3769" s="2">
        <f t="shared" ca="1" si="285"/>
        <v>43333</v>
      </c>
      <c r="F3769" s="6">
        <f t="shared" ca="1" si="286"/>
        <v>4.9697384768521227</v>
      </c>
    </row>
    <row r="3770" spans="1:6">
      <c r="A3770" s="1">
        <v>9132604</v>
      </c>
      <c r="B3770">
        <f t="shared" ca="1" si="283"/>
        <v>0.87519718898645849</v>
      </c>
      <c r="C3770" s="1">
        <f t="shared" ca="1" si="287"/>
        <v>1</v>
      </c>
      <c r="D3770" s="1">
        <f t="shared" ca="1" si="284"/>
        <v>474</v>
      </c>
      <c r="E3770" s="2">
        <f t="shared" ca="1" si="285"/>
        <v>43475</v>
      </c>
      <c r="F3770" s="6">
        <f t="shared" ca="1" si="286"/>
        <v>3.1402164451248469</v>
      </c>
    </row>
    <row r="3771" spans="1:6">
      <c r="A3771" s="1">
        <v>9132607</v>
      </c>
      <c r="B3771">
        <f t="shared" ca="1" si="283"/>
        <v>0.88117692455263819</v>
      </c>
      <c r="C3771" s="1">
        <f t="shared" ca="1" si="287"/>
        <v>3</v>
      </c>
      <c r="D3771" s="1">
        <f t="shared" ca="1" si="284"/>
        <v>263</v>
      </c>
      <c r="E3771" s="2">
        <f t="shared" ca="1" si="285"/>
        <v>43163</v>
      </c>
      <c r="F3771" s="6">
        <f t="shared" ca="1" si="286"/>
        <v>74.751000507935814</v>
      </c>
    </row>
    <row r="3772" spans="1:6">
      <c r="A3772" s="1">
        <v>9132610</v>
      </c>
      <c r="B3772">
        <f t="shared" ref="B3772:B3835" ca="1" si="288">RAND()</f>
        <v>0.21290712882045193</v>
      </c>
      <c r="C3772" s="1">
        <f t="shared" ca="1" si="287"/>
        <v>8</v>
      </c>
      <c r="D3772" s="1">
        <f t="shared" ref="D3772:D3835" ca="1" si="289">VLOOKUP(SMALL($B$2:$B$601,C3772),$B$2:$C$601,2,FALSE)</f>
        <v>456</v>
      </c>
      <c r="E3772" s="2">
        <f t="shared" ca="1" si="285"/>
        <v>42932</v>
      </c>
      <c r="F3772" s="6">
        <f t="shared" ca="1" si="286"/>
        <v>47.11903543802827</v>
      </c>
    </row>
    <row r="3773" spans="1:6">
      <c r="A3773" s="1">
        <v>9132613</v>
      </c>
      <c r="B3773">
        <f t="shared" ca="1" si="288"/>
        <v>0.70445526249598978</v>
      </c>
      <c r="C3773" s="1">
        <f t="shared" ca="1" si="287"/>
        <v>74</v>
      </c>
      <c r="D3773" s="1">
        <f t="shared" ca="1" si="289"/>
        <v>450</v>
      </c>
      <c r="E3773" s="2">
        <f t="shared" ca="1" si="285"/>
        <v>43152</v>
      </c>
      <c r="F3773" s="6">
        <f t="shared" ca="1" si="286"/>
        <v>49.571444351253113</v>
      </c>
    </row>
    <row r="3774" spans="1:6">
      <c r="A3774" s="1">
        <v>9132616</v>
      </c>
      <c r="B3774">
        <f t="shared" ca="1" si="288"/>
        <v>0.17845780817526768</v>
      </c>
      <c r="C3774" s="1">
        <f t="shared" ca="1" si="287"/>
        <v>78</v>
      </c>
      <c r="D3774" s="1">
        <f t="shared" ca="1" si="289"/>
        <v>224</v>
      </c>
      <c r="E3774" s="2">
        <f t="shared" ca="1" si="285"/>
        <v>42915</v>
      </c>
      <c r="F3774" s="6">
        <f t="shared" ca="1" si="286"/>
        <v>3.0973121282559073</v>
      </c>
    </row>
    <row r="3775" spans="1:6">
      <c r="A3775" s="1">
        <v>9132619</v>
      </c>
      <c r="B3775">
        <f t="shared" ca="1" si="288"/>
        <v>0.77341629050849003</v>
      </c>
      <c r="C3775" s="1">
        <f t="shared" ca="1" si="287"/>
        <v>5</v>
      </c>
      <c r="D3775" s="1">
        <f t="shared" ca="1" si="289"/>
        <v>363</v>
      </c>
      <c r="E3775" s="2">
        <f t="shared" ca="1" si="285"/>
        <v>42912</v>
      </c>
      <c r="F3775" s="6">
        <f t="shared" ca="1" si="286"/>
        <v>48.685260643375329</v>
      </c>
    </row>
    <row r="3776" spans="1:6">
      <c r="A3776" s="1">
        <v>9132622</v>
      </c>
      <c r="B3776">
        <f t="shared" ca="1" si="288"/>
        <v>0.77772394234627773</v>
      </c>
      <c r="C3776" s="1">
        <f t="shared" ca="1" si="287"/>
        <v>161</v>
      </c>
      <c r="D3776" s="1">
        <f t="shared" ca="1" si="289"/>
        <v>318</v>
      </c>
      <c r="E3776" s="2">
        <f t="shared" ca="1" si="285"/>
        <v>42924</v>
      </c>
      <c r="F3776" s="6">
        <f t="shared" ca="1" si="286"/>
        <v>10.976713510026375</v>
      </c>
    </row>
    <row r="3777" spans="1:6">
      <c r="A3777" s="1">
        <v>9132625</v>
      </c>
      <c r="B3777">
        <f t="shared" ca="1" si="288"/>
        <v>0.88301898329912143</v>
      </c>
      <c r="C3777" s="1">
        <f t="shared" ca="1" si="287"/>
        <v>80</v>
      </c>
      <c r="D3777" s="1">
        <f t="shared" ca="1" si="289"/>
        <v>163</v>
      </c>
      <c r="E3777" s="2">
        <f t="shared" ca="1" si="285"/>
        <v>43080</v>
      </c>
      <c r="F3777" s="6">
        <f t="shared" ca="1" si="286"/>
        <v>133.82513574066866</v>
      </c>
    </row>
    <row r="3778" spans="1:6">
      <c r="A3778" s="1">
        <v>9132628</v>
      </c>
      <c r="B3778">
        <f t="shared" ca="1" si="288"/>
        <v>0.27120564998981034</v>
      </c>
      <c r="C3778" s="1">
        <f t="shared" ca="1" si="287"/>
        <v>1</v>
      </c>
      <c r="D3778" s="1">
        <f t="shared" ca="1" si="289"/>
        <v>474</v>
      </c>
      <c r="E3778" s="2">
        <f t="shared" ca="1" si="285"/>
        <v>43354</v>
      </c>
      <c r="F3778" s="6">
        <f t="shared" ca="1" si="286"/>
        <v>22.527758719009153</v>
      </c>
    </row>
    <row r="3779" spans="1:6">
      <c r="A3779" s="1">
        <v>9132631</v>
      </c>
      <c r="B3779">
        <f t="shared" ca="1" si="288"/>
        <v>0.58698516665712164</v>
      </c>
      <c r="C3779" s="1">
        <f t="shared" ca="1" si="287"/>
        <v>41</v>
      </c>
      <c r="D3779" s="1">
        <f t="shared" ca="1" si="289"/>
        <v>37</v>
      </c>
      <c r="E3779" s="2">
        <f t="shared" ref="E3779:E3842" ca="1" si="290">RANDBETWEEN("1/1/17","2/1/19")</f>
        <v>43251</v>
      </c>
      <c r="F3779" s="6">
        <f t="shared" ref="F3779:F3842" ca="1" si="291">_xlfn.GAMMA.INV(RAND(),$J$6,$J$7)*100+3</f>
        <v>17.349540033133742</v>
      </c>
    </row>
    <row r="3780" spans="1:6">
      <c r="A3780" s="1">
        <v>9132634</v>
      </c>
      <c r="B3780">
        <f t="shared" ca="1" si="288"/>
        <v>0.95421876152035257</v>
      </c>
      <c r="C3780" s="1">
        <f t="shared" ca="1" si="287"/>
        <v>11</v>
      </c>
      <c r="D3780" s="1">
        <f t="shared" ca="1" si="289"/>
        <v>437</v>
      </c>
      <c r="E3780" s="2">
        <f t="shared" ca="1" si="290"/>
        <v>43090</v>
      </c>
      <c r="F3780" s="6">
        <f t="shared" ca="1" si="291"/>
        <v>50.092510694125615</v>
      </c>
    </row>
    <row r="3781" spans="1:6">
      <c r="A3781" s="1">
        <v>9132637</v>
      </c>
      <c r="B3781">
        <f t="shared" ca="1" si="288"/>
        <v>0.98166450242510395</v>
      </c>
      <c r="C3781" s="1">
        <f t="shared" ca="1" si="287"/>
        <v>1</v>
      </c>
      <c r="D3781" s="1">
        <f t="shared" ca="1" si="289"/>
        <v>474</v>
      </c>
      <c r="E3781" s="2">
        <f t="shared" ca="1" si="290"/>
        <v>43122</v>
      </c>
      <c r="F3781" s="6">
        <f t="shared" ca="1" si="291"/>
        <v>9.9185499532953898</v>
      </c>
    </row>
    <row r="3782" spans="1:6">
      <c r="A3782" s="1">
        <v>9132640</v>
      </c>
      <c r="B3782">
        <f t="shared" ca="1" si="288"/>
        <v>0.56423900346410183</v>
      </c>
      <c r="C3782" s="1">
        <f t="shared" ca="1" si="287"/>
        <v>71</v>
      </c>
      <c r="D3782" s="1">
        <f t="shared" ca="1" si="289"/>
        <v>281</v>
      </c>
      <c r="E3782" s="2">
        <f t="shared" ca="1" si="290"/>
        <v>43146</v>
      </c>
      <c r="F3782" s="6">
        <f t="shared" ca="1" si="291"/>
        <v>12.520303998462449</v>
      </c>
    </row>
    <row r="3783" spans="1:6">
      <c r="A3783" s="1">
        <v>9132643</v>
      </c>
      <c r="B3783">
        <f t="shared" ca="1" si="288"/>
        <v>0.44211259159451965</v>
      </c>
      <c r="C3783" s="1">
        <f t="shared" ca="1" si="287"/>
        <v>129</v>
      </c>
      <c r="D3783" s="1">
        <f t="shared" ca="1" si="289"/>
        <v>393</v>
      </c>
      <c r="E3783" s="2">
        <f t="shared" ca="1" si="290"/>
        <v>43051</v>
      </c>
      <c r="F3783" s="6">
        <f t="shared" ca="1" si="291"/>
        <v>33.158794410552574</v>
      </c>
    </row>
    <row r="3784" spans="1:6">
      <c r="A3784" s="1">
        <v>9132646</v>
      </c>
      <c r="B3784">
        <f t="shared" ca="1" si="288"/>
        <v>0.47854700196820754</v>
      </c>
      <c r="C3784" s="1">
        <f t="shared" ca="1" si="287"/>
        <v>117</v>
      </c>
      <c r="D3784" s="1">
        <f t="shared" ca="1" si="289"/>
        <v>600</v>
      </c>
      <c r="E3784" s="2">
        <f t="shared" ca="1" si="290"/>
        <v>42854</v>
      </c>
      <c r="F3784" s="6">
        <f t="shared" ca="1" si="291"/>
        <v>259.6231573071222</v>
      </c>
    </row>
    <row r="3785" spans="1:6">
      <c r="A3785" s="1">
        <v>9132649</v>
      </c>
      <c r="B3785">
        <f t="shared" ca="1" si="288"/>
        <v>0.40245084033064504</v>
      </c>
      <c r="C3785" s="1">
        <f t="shared" ca="1" si="287"/>
        <v>15</v>
      </c>
      <c r="D3785" s="1">
        <f t="shared" ca="1" si="289"/>
        <v>284</v>
      </c>
      <c r="E3785" s="2">
        <f t="shared" ca="1" si="290"/>
        <v>43072</v>
      </c>
      <c r="F3785" s="6">
        <f t="shared" ca="1" si="291"/>
        <v>20.786921305947047</v>
      </c>
    </row>
    <row r="3786" spans="1:6">
      <c r="A3786" s="1">
        <v>9132652</v>
      </c>
      <c r="B3786">
        <f t="shared" ca="1" si="288"/>
        <v>0.35738905163912393</v>
      </c>
      <c r="C3786" s="1">
        <f t="shared" ca="1" si="287"/>
        <v>10</v>
      </c>
      <c r="D3786" s="1">
        <f t="shared" ca="1" si="289"/>
        <v>236</v>
      </c>
      <c r="E3786" s="2">
        <f t="shared" ca="1" si="290"/>
        <v>43471</v>
      </c>
      <c r="F3786" s="6">
        <f t="shared" ca="1" si="291"/>
        <v>3.0000777567013976</v>
      </c>
    </row>
    <row r="3787" spans="1:6">
      <c r="A3787" s="1">
        <v>9132655</v>
      </c>
      <c r="B3787">
        <f t="shared" ca="1" si="288"/>
        <v>0.21599019473347014</v>
      </c>
      <c r="C3787" s="1">
        <f t="shared" ca="1" si="287"/>
        <v>134</v>
      </c>
      <c r="D3787" s="1">
        <f t="shared" ca="1" si="289"/>
        <v>374</v>
      </c>
      <c r="E3787" s="2">
        <f t="shared" ca="1" si="290"/>
        <v>43313</v>
      </c>
      <c r="F3787" s="6">
        <f t="shared" ca="1" si="291"/>
        <v>36.9789129423622</v>
      </c>
    </row>
    <row r="3788" spans="1:6">
      <c r="A3788" s="1">
        <v>9132658</v>
      </c>
      <c r="B3788">
        <f t="shared" ca="1" si="288"/>
        <v>0.90215070487876681</v>
      </c>
      <c r="C3788" s="1">
        <f t="shared" ca="1" si="287"/>
        <v>2</v>
      </c>
      <c r="D3788" s="1">
        <f t="shared" ca="1" si="289"/>
        <v>30</v>
      </c>
      <c r="E3788" s="2">
        <f t="shared" ca="1" si="290"/>
        <v>43492</v>
      </c>
      <c r="F3788" s="6">
        <f t="shared" ca="1" si="291"/>
        <v>99.93796341580989</v>
      </c>
    </row>
    <row r="3789" spans="1:6">
      <c r="A3789" s="1">
        <v>9132661</v>
      </c>
      <c r="B3789">
        <f t="shared" ca="1" si="288"/>
        <v>0.1343502212220129</v>
      </c>
      <c r="C3789" s="1">
        <f t="shared" ca="1" si="287"/>
        <v>11</v>
      </c>
      <c r="D3789" s="1">
        <f t="shared" ca="1" si="289"/>
        <v>437</v>
      </c>
      <c r="E3789" s="2">
        <f t="shared" ca="1" si="290"/>
        <v>43003</v>
      </c>
      <c r="F3789" s="6">
        <f t="shared" ca="1" si="291"/>
        <v>28.895916144413871</v>
      </c>
    </row>
    <row r="3790" spans="1:6">
      <c r="A3790" s="1">
        <v>9132664</v>
      </c>
      <c r="B3790">
        <f t="shared" ca="1" si="288"/>
        <v>0.71501728294589983</v>
      </c>
      <c r="C3790" s="1">
        <f t="shared" ca="1" si="287"/>
        <v>22</v>
      </c>
      <c r="D3790" s="1">
        <f t="shared" ca="1" si="289"/>
        <v>413</v>
      </c>
      <c r="E3790" s="2">
        <f t="shared" ca="1" si="290"/>
        <v>42756</v>
      </c>
      <c r="F3790" s="6">
        <f t="shared" ca="1" si="291"/>
        <v>5.5443319316962789</v>
      </c>
    </row>
    <row r="3791" spans="1:6">
      <c r="A3791" s="1">
        <v>9132667</v>
      </c>
      <c r="B3791">
        <f t="shared" ca="1" si="288"/>
        <v>0.1847043290307413</v>
      </c>
      <c r="C3791" s="1">
        <f t="shared" ca="1" si="287"/>
        <v>2</v>
      </c>
      <c r="D3791" s="1">
        <f t="shared" ca="1" si="289"/>
        <v>30</v>
      </c>
      <c r="E3791" s="2">
        <f t="shared" ca="1" si="290"/>
        <v>43195</v>
      </c>
      <c r="F3791" s="6">
        <f t="shared" ca="1" si="291"/>
        <v>9.6073335163322078</v>
      </c>
    </row>
    <row r="3792" spans="1:6">
      <c r="A3792" s="1">
        <v>9132670</v>
      </c>
      <c r="B3792">
        <f t="shared" ca="1" si="288"/>
        <v>0.7098716230130192</v>
      </c>
      <c r="C3792" s="1">
        <f t="shared" ca="1" si="287"/>
        <v>24</v>
      </c>
      <c r="D3792" s="1">
        <f t="shared" ca="1" si="289"/>
        <v>334</v>
      </c>
      <c r="E3792" s="2">
        <f t="shared" ca="1" si="290"/>
        <v>43294</v>
      </c>
      <c r="F3792" s="6">
        <f t="shared" ca="1" si="291"/>
        <v>138.8182397480671</v>
      </c>
    </row>
    <row r="3793" spans="1:6">
      <c r="A3793" s="1">
        <v>9132673</v>
      </c>
      <c r="B3793">
        <f t="shared" ca="1" si="288"/>
        <v>0.89364549264099602</v>
      </c>
      <c r="C3793" s="1">
        <f t="shared" ca="1" si="287"/>
        <v>1</v>
      </c>
      <c r="D3793" s="1">
        <f t="shared" ca="1" si="289"/>
        <v>474</v>
      </c>
      <c r="E3793" s="2">
        <f t="shared" ca="1" si="290"/>
        <v>42955</v>
      </c>
      <c r="F3793" s="6">
        <f t="shared" ca="1" si="291"/>
        <v>39.305796981053717</v>
      </c>
    </row>
    <row r="3794" spans="1:6">
      <c r="A3794" s="1">
        <v>9132676</v>
      </c>
      <c r="B3794">
        <f t="shared" ca="1" si="288"/>
        <v>0.29902822663957762</v>
      </c>
      <c r="C3794" s="1">
        <f t="shared" ca="1" si="287"/>
        <v>135</v>
      </c>
      <c r="D3794" s="1">
        <f t="shared" ca="1" si="289"/>
        <v>231</v>
      </c>
      <c r="E3794" s="2">
        <f t="shared" ca="1" si="290"/>
        <v>43384</v>
      </c>
      <c r="F3794" s="6">
        <f t="shared" ca="1" si="291"/>
        <v>3.2276217051923513</v>
      </c>
    </row>
    <row r="3795" spans="1:6">
      <c r="A3795" s="1">
        <v>9132679</v>
      </c>
      <c r="B3795">
        <f t="shared" ca="1" si="288"/>
        <v>0.74704126299083895</v>
      </c>
      <c r="C3795" s="1">
        <f t="shared" ca="1" si="287"/>
        <v>25</v>
      </c>
      <c r="D3795" s="1">
        <f t="shared" ca="1" si="289"/>
        <v>257</v>
      </c>
      <c r="E3795" s="2">
        <f t="shared" ca="1" si="290"/>
        <v>43278</v>
      </c>
      <c r="F3795" s="6">
        <f t="shared" ca="1" si="291"/>
        <v>31.836048895153422</v>
      </c>
    </row>
    <row r="3796" spans="1:6">
      <c r="A3796" s="1">
        <v>9132682</v>
      </c>
      <c r="B3796">
        <f t="shared" ca="1" si="288"/>
        <v>0.79244881181618942</v>
      </c>
      <c r="C3796" s="1">
        <f t="shared" ca="1" si="287"/>
        <v>113</v>
      </c>
      <c r="D3796" s="1">
        <f t="shared" ca="1" si="289"/>
        <v>330</v>
      </c>
      <c r="E3796" s="2">
        <f t="shared" ca="1" si="290"/>
        <v>43142</v>
      </c>
      <c r="F3796" s="6">
        <f t="shared" ca="1" si="291"/>
        <v>40.349135204924607</v>
      </c>
    </row>
    <row r="3797" spans="1:6">
      <c r="A3797" s="1">
        <v>9132685</v>
      </c>
      <c r="B3797">
        <f t="shared" ca="1" si="288"/>
        <v>0.99369002197948142</v>
      </c>
      <c r="C3797" s="1">
        <f t="shared" ca="1" si="287"/>
        <v>1</v>
      </c>
      <c r="D3797" s="1">
        <f t="shared" ca="1" si="289"/>
        <v>474</v>
      </c>
      <c r="E3797" s="2">
        <f t="shared" ca="1" si="290"/>
        <v>42790</v>
      </c>
      <c r="F3797" s="6">
        <f t="shared" ca="1" si="291"/>
        <v>3.8349282280214174</v>
      </c>
    </row>
    <row r="3798" spans="1:6">
      <c r="A3798" s="1">
        <v>9132688</v>
      </c>
      <c r="B3798">
        <f t="shared" ca="1" si="288"/>
        <v>0.2315294592105378</v>
      </c>
      <c r="C3798" s="1">
        <f t="shared" ca="1" si="287"/>
        <v>5</v>
      </c>
      <c r="D3798" s="1">
        <f t="shared" ca="1" si="289"/>
        <v>363</v>
      </c>
      <c r="E3798" s="2">
        <f t="shared" ca="1" si="290"/>
        <v>43094</v>
      </c>
      <c r="F3798" s="6">
        <f t="shared" ca="1" si="291"/>
        <v>81.244154102918401</v>
      </c>
    </row>
    <row r="3799" spans="1:6">
      <c r="A3799" s="1">
        <v>9132691</v>
      </c>
      <c r="B3799">
        <f t="shared" ca="1" si="288"/>
        <v>0.42845955923766355</v>
      </c>
      <c r="C3799" s="1">
        <f t="shared" ca="1" si="287"/>
        <v>19</v>
      </c>
      <c r="D3799" s="1">
        <f t="shared" ca="1" si="289"/>
        <v>42</v>
      </c>
      <c r="E3799" s="2">
        <f t="shared" ca="1" si="290"/>
        <v>43492</v>
      </c>
      <c r="F3799" s="6">
        <f t="shared" ca="1" si="291"/>
        <v>177.57435054765182</v>
      </c>
    </row>
    <row r="3800" spans="1:6">
      <c r="A3800" s="1">
        <v>9132694</v>
      </c>
      <c r="B3800">
        <f t="shared" ca="1" si="288"/>
        <v>0.23239618387967964</v>
      </c>
      <c r="C3800" s="1">
        <f t="shared" ca="1" si="287"/>
        <v>74</v>
      </c>
      <c r="D3800" s="1">
        <f t="shared" ca="1" si="289"/>
        <v>450</v>
      </c>
      <c r="E3800" s="2">
        <f t="shared" ca="1" si="290"/>
        <v>42800</v>
      </c>
      <c r="F3800" s="6">
        <f t="shared" ca="1" si="291"/>
        <v>6.1855339828106537</v>
      </c>
    </row>
    <row r="3801" spans="1:6">
      <c r="A3801" s="1">
        <v>9132697</v>
      </c>
      <c r="B3801">
        <f t="shared" ca="1" si="288"/>
        <v>0.20889827085804158</v>
      </c>
      <c r="C3801" s="1">
        <f t="shared" ca="1" si="287"/>
        <v>40</v>
      </c>
      <c r="D3801" s="1">
        <f t="shared" ca="1" si="289"/>
        <v>426</v>
      </c>
      <c r="E3801" s="2">
        <f t="shared" ca="1" si="290"/>
        <v>42786</v>
      </c>
      <c r="F3801" s="6">
        <f t="shared" ca="1" si="291"/>
        <v>11.337759074983946</v>
      </c>
    </row>
    <row r="3802" spans="1:6">
      <c r="A3802" s="1">
        <v>9132700</v>
      </c>
      <c r="B3802">
        <f t="shared" ca="1" si="288"/>
        <v>0.32672536679140673</v>
      </c>
      <c r="C3802" s="1">
        <f t="shared" ca="1" si="287"/>
        <v>1</v>
      </c>
      <c r="D3802" s="1">
        <f t="shared" ca="1" si="289"/>
        <v>474</v>
      </c>
      <c r="E3802" s="2">
        <f t="shared" ca="1" si="290"/>
        <v>43134</v>
      </c>
      <c r="F3802" s="6">
        <f t="shared" ca="1" si="291"/>
        <v>3.0625575400214053</v>
      </c>
    </row>
    <row r="3803" spans="1:6">
      <c r="A3803" s="1">
        <v>9132703</v>
      </c>
      <c r="B3803">
        <f t="shared" ca="1" si="288"/>
        <v>0.88622961285956314</v>
      </c>
      <c r="C3803" s="1">
        <f t="shared" ref="C3803:C3866" ca="1" si="292">ROUND(_xlfn.GAMMA.INV(RAND(),$J$11,$J$12)*100,0)+1</f>
        <v>1</v>
      </c>
      <c r="D3803" s="1">
        <f t="shared" ca="1" si="289"/>
        <v>474</v>
      </c>
      <c r="E3803" s="2">
        <f t="shared" ca="1" si="290"/>
        <v>43167</v>
      </c>
      <c r="F3803" s="6">
        <f t="shared" ca="1" si="291"/>
        <v>126.80923001160409</v>
      </c>
    </row>
    <row r="3804" spans="1:6">
      <c r="A3804" s="1">
        <v>9132706</v>
      </c>
      <c r="B3804">
        <f t="shared" ca="1" si="288"/>
        <v>0.87645491641350848</v>
      </c>
      <c r="C3804" s="1">
        <f t="shared" ca="1" si="292"/>
        <v>24</v>
      </c>
      <c r="D3804" s="1">
        <f t="shared" ca="1" si="289"/>
        <v>334</v>
      </c>
      <c r="E3804" s="2">
        <f t="shared" ca="1" si="290"/>
        <v>43139</v>
      </c>
      <c r="F3804" s="6">
        <f t="shared" ca="1" si="291"/>
        <v>14.074910515017617</v>
      </c>
    </row>
    <row r="3805" spans="1:6">
      <c r="A3805" s="1">
        <v>9132709</v>
      </c>
      <c r="B3805">
        <f t="shared" ca="1" si="288"/>
        <v>0.47457650722585099</v>
      </c>
      <c r="C3805" s="1">
        <f t="shared" ca="1" si="292"/>
        <v>76</v>
      </c>
      <c r="D3805" s="1">
        <f t="shared" ca="1" si="289"/>
        <v>293</v>
      </c>
      <c r="E3805" s="2">
        <f t="shared" ca="1" si="290"/>
        <v>43286</v>
      </c>
      <c r="F3805" s="6">
        <f t="shared" ca="1" si="291"/>
        <v>60.525060316663676</v>
      </c>
    </row>
    <row r="3806" spans="1:6">
      <c r="A3806" s="1">
        <v>9132712</v>
      </c>
      <c r="B3806">
        <f t="shared" ca="1" si="288"/>
        <v>0.36133034809283182</v>
      </c>
      <c r="C3806" s="1">
        <f t="shared" ca="1" si="292"/>
        <v>19</v>
      </c>
      <c r="D3806" s="1">
        <f t="shared" ca="1" si="289"/>
        <v>42</v>
      </c>
      <c r="E3806" s="2">
        <f t="shared" ca="1" si="290"/>
        <v>42795</v>
      </c>
      <c r="F3806" s="6">
        <f t="shared" ca="1" si="291"/>
        <v>30.173665489702024</v>
      </c>
    </row>
    <row r="3807" spans="1:6">
      <c r="A3807" s="1">
        <v>9132715</v>
      </c>
      <c r="B3807">
        <f t="shared" ca="1" si="288"/>
        <v>0.93177821940997119</v>
      </c>
      <c r="C3807" s="1">
        <f t="shared" ca="1" si="292"/>
        <v>7</v>
      </c>
      <c r="D3807" s="1">
        <f t="shared" ca="1" si="289"/>
        <v>138</v>
      </c>
      <c r="E3807" s="2">
        <f t="shared" ca="1" si="290"/>
        <v>43115</v>
      </c>
      <c r="F3807" s="6">
        <f t="shared" ca="1" si="291"/>
        <v>6.0193497098170994</v>
      </c>
    </row>
    <row r="3808" spans="1:6">
      <c r="A3808" s="1">
        <v>9132718</v>
      </c>
      <c r="B3808">
        <f t="shared" ca="1" si="288"/>
        <v>0.47421112210728533</v>
      </c>
      <c r="C3808" s="1">
        <f t="shared" ca="1" si="292"/>
        <v>66</v>
      </c>
      <c r="D3808" s="1">
        <f t="shared" ca="1" si="289"/>
        <v>128</v>
      </c>
      <c r="E3808" s="2">
        <f t="shared" ca="1" si="290"/>
        <v>43270</v>
      </c>
      <c r="F3808" s="6">
        <f t="shared" ca="1" si="291"/>
        <v>32.197119970822826</v>
      </c>
    </row>
    <row r="3809" spans="1:6">
      <c r="A3809" s="1">
        <v>9132721</v>
      </c>
      <c r="B3809">
        <f t="shared" ca="1" si="288"/>
        <v>0.96304888221266549</v>
      </c>
      <c r="C3809" s="1">
        <f t="shared" ca="1" si="292"/>
        <v>12</v>
      </c>
      <c r="D3809" s="1">
        <f t="shared" ca="1" si="289"/>
        <v>292</v>
      </c>
      <c r="E3809" s="2">
        <f t="shared" ca="1" si="290"/>
        <v>42929</v>
      </c>
      <c r="F3809" s="6">
        <f t="shared" ca="1" si="291"/>
        <v>62.862397547100564</v>
      </c>
    </row>
    <row r="3810" spans="1:6">
      <c r="A3810" s="1">
        <v>9132724</v>
      </c>
      <c r="B3810">
        <f t="shared" ca="1" si="288"/>
        <v>0.50453255236405636</v>
      </c>
      <c r="C3810" s="1">
        <f t="shared" ca="1" si="292"/>
        <v>3</v>
      </c>
      <c r="D3810" s="1">
        <f t="shared" ca="1" si="289"/>
        <v>263</v>
      </c>
      <c r="E3810" s="2">
        <f t="shared" ca="1" si="290"/>
        <v>43227</v>
      </c>
      <c r="F3810" s="6">
        <f t="shared" ca="1" si="291"/>
        <v>12.594776245229561</v>
      </c>
    </row>
    <row r="3811" spans="1:6">
      <c r="A3811" s="1">
        <v>9132727</v>
      </c>
      <c r="B3811">
        <f t="shared" ca="1" si="288"/>
        <v>0.17296659762425404</v>
      </c>
      <c r="C3811" s="1">
        <f t="shared" ca="1" si="292"/>
        <v>49</v>
      </c>
      <c r="D3811" s="1">
        <f t="shared" ca="1" si="289"/>
        <v>26</v>
      </c>
      <c r="E3811" s="2">
        <f t="shared" ca="1" si="290"/>
        <v>43228</v>
      </c>
      <c r="F3811" s="6">
        <f t="shared" ca="1" si="291"/>
        <v>38.030380562920364</v>
      </c>
    </row>
    <row r="3812" spans="1:6">
      <c r="A3812" s="1">
        <v>9132730</v>
      </c>
      <c r="B3812">
        <f t="shared" ca="1" si="288"/>
        <v>0.64058739627275185</v>
      </c>
      <c r="C3812" s="1">
        <f t="shared" ca="1" si="292"/>
        <v>70</v>
      </c>
      <c r="D3812" s="1">
        <f t="shared" ca="1" si="289"/>
        <v>82</v>
      </c>
      <c r="E3812" s="2">
        <f t="shared" ca="1" si="290"/>
        <v>42871</v>
      </c>
      <c r="F3812" s="6">
        <f t="shared" ca="1" si="291"/>
        <v>61.620734373873674</v>
      </c>
    </row>
    <row r="3813" spans="1:6">
      <c r="A3813" s="1">
        <v>9132733</v>
      </c>
      <c r="B3813">
        <f t="shared" ca="1" si="288"/>
        <v>0.94750616195661141</v>
      </c>
      <c r="C3813" s="1">
        <f t="shared" ca="1" si="292"/>
        <v>41</v>
      </c>
      <c r="D3813" s="1">
        <f t="shared" ca="1" si="289"/>
        <v>37</v>
      </c>
      <c r="E3813" s="2">
        <f t="shared" ca="1" si="290"/>
        <v>42858</v>
      </c>
      <c r="F3813" s="6">
        <f t="shared" ca="1" si="291"/>
        <v>104.46858240858295</v>
      </c>
    </row>
    <row r="3814" spans="1:6">
      <c r="A3814" s="1">
        <v>9132736</v>
      </c>
      <c r="B3814">
        <f t="shared" ca="1" si="288"/>
        <v>0.43857976268310528</v>
      </c>
      <c r="C3814" s="1">
        <f t="shared" ca="1" si="292"/>
        <v>20</v>
      </c>
      <c r="D3814" s="1">
        <f t="shared" ca="1" si="289"/>
        <v>444</v>
      </c>
      <c r="E3814" s="2">
        <f t="shared" ca="1" si="290"/>
        <v>43356</v>
      </c>
      <c r="F3814" s="6">
        <f t="shared" ca="1" si="291"/>
        <v>4.1288011295104434</v>
      </c>
    </row>
    <row r="3815" spans="1:6">
      <c r="A3815" s="1">
        <v>9132739</v>
      </c>
      <c r="B3815">
        <f t="shared" ca="1" si="288"/>
        <v>0.80298907775567074</v>
      </c>
      <c r="C3815" s="1">
        <f t="shared" ca="1" si="292"/>
        <v>2</v>
      </c>
      <c r="D3815" s="1">
        <f t="shared" ca="1" si="289"/>
        <v>30</v>
      </c>
      <c r="E3815" s="2">
        <f t="shared" ca="1" si="290"/>
        <v>43430</v>
      </c>
      <c r="F3815" s="6">
        <f t="shared" ca="1" si="291"/>
        <v>206.3163709628918</v>
      </c>
    </row>
    <row r="3816" spans="1:6">
      <c r="A3816" s="1">
        <v>9132742</v>
      </c>
      <c r="B3816">
        <f t="shared" ca="1" si="288"/>
        <v>0.68796786323185888</v>
      </c>
      <c r="C3816" s="1">
        <f t="shared" ca="1" si="292"/>
        <v>6</v>
      </c>
      <c r="D3816" s="1">
        <f t="shared" ca="1" si="289"/>
        <v>208</v>
      </c>
      <c r="E3816" s="2">
        <f t="shared" ca="1" si="290"/>
        <v>42911</v>
      </c>
      <c r="F3816" s="6">
        <f t="shared" ca="1" si="291"/>
        <v>93.447230081019413</v>
      </c>
    </row>
    <row r="3817" spans="1:6">
      <c r="A3817" s="1">
        <v>9132745</v>
      </c>
      <c r="B3817">
        <f t="shared" ca="1" si="288"/>
        <v>0.65953874715608418</v>
      </c>
      <c r="C3817" s="1">
        <f t="shared" ca="1" si="292"/>
        <v>11</v>
      </c>
      <c r="D3817" s="1">
        <f t="shared" ca="1" si="289"/>
        <v>437</v>
      </c>
      <c r="E3817" s="2">
        <f t="shared" ca="1" si="290"/>
        <v>42868</v>
      </c>
      <c r="F3817" s="6">
        <f t="shared" ca="1" si="291"/>
        <v>28.182234922668208</v>
      </c>
    </row>
    <row r="3818" spans="1:6">
      <c r="A3818" s="1">
        <v>9132748</v>
      </c>
      <c r="B3818">
        <f t="shared" ca="1" si="288"/>
        <v>4.8584968423069919E-2</v>
      </c>
      <c r="C3818" s="1">
        <f t="shared" ca="1" si="292"/>
        <v>1</v>
      </c>
      <c r="D3818" s="1">
        <f t="shared" ca="1" si="289"/>
        <v>474</v>
      </c>
      <c r="E3818" s="2">
        <f t="shared" ca="1" si="290"/>
        <v>43406</v>
      </c>
      <c r="F3818" s="6">
        <f t="shared" ca="1" si="291"/>
        <v>179.57774740281914</v>
      </c>
    </row>
    <row r="3819" spans="1:6">
      <c r="A3819" s="1">
        <v>9132751</v>
      </c>
      <c r="B3819">
        <f t="shared" ca="1" si="288"/>
        <v>0.14522164577100805</v>
      </c>
      <c r="C3819" s="1">
        <f t="shared" ca="1" si="292"/>
        <v>1</v>
      </c>
      <c r="D3819" s="1">
        <f t="shared" ca="1" si="289"/>
        <v>474</v>
      </c>
      <c r="E3819" s="2">
        <f t="shared" ca="1" si="290"/>
        <v>43236</v>
      </c>
      <c r="F3819" s="6">
        <f t="shared" ca="1" si="291"/>
        <v>72.68235487869589</v>
      </c>
    </row>
    <row r="3820" spans="1:6">
      <c r="A3820" s="1">
        <v>9132754</v>
      </c>
      <c r="B3820">
        <f t="shared" ca="1" si="288"/>
        <v>0.94873735974902196</v>
      </c>
      <c r="C3820" s="1">
        <f t="shared" ca="1" si="292"/>
        <v>63</v>
      </c>
      <c r="D3820" s="1">
        <f t="shared" ca="1" si="289"/>
        <v>571</v>
      </c>
      <c r="E3820" s="2">
        <f t="shared" ca="1" si="290"/>
        <v>42833</v>
      </c>
      <c r="F3820" s="6">
        <f t="shared" ca="1" si="291"/>
        <v>8.6180239887459713</v>
      </c>
    </row>
    <row r="3821" spans="1:6">
      <c r="A3821" s="1">
        <v>9132757</v>
      </c>
      <c r="B3821">
        <f t="shared" ca="1" si="288"/>
        <v>0.91882375535457117</v>
      </c>
      <c r="C3821" s="1">
        <f t="shared" ca="1" si="292"/>
        <v>30</v>
      </c>
      <c r="D3821" s="1">
        <f t="shared" ca="1" si="289"/>
        <v>53</v>
      </c>
      <c r="E3821" s="2">
        <f t="shared" ca="1" si="290"/>
        <v>43094</v>
      </c>
      <c r="F3821" s="6">
        <f t="shared" ca="1" si="291"/>
        <v>99.06857998615385</v>
      </c>
    </row>
    <row r="3822" spans="1:6">
      <c r="A3822" s="1">
        <v>9132760</v>
      </c>
      <c r="B3822">
        <f t="shared" ca="1" si="288"/>
        <v>0.31783367013952657</v>
      </c>
      <c r="C3822" s="1">
        <f t="shared" ca="1" si="292"/>
        <v>21</v>
      </c>
      <c r="D3822" s="1">
        <f t="shared" ca="1" si="289"/>
        <v>566</v>
      </c>
      <c r="E3822" s="2">
        <f t="shared" ca="1" si="290"/>
        <v>43144</v>
      </c>
      <c r="F3822" s="6">
        <f t="shared" ca="1" si="291"/>
        <v>150.72120439033364</v>
      </c>
    </row>
    <row r="3823" spans="1:6">
      <c r="A3823" s="1">
        <v>9132763</v>
      </c>
      <c r="B3823">
        <f t="shared" ca="1" si="288"/>
        <v>0.94266206312110623</v>
      </c>
      <c r="C3823" s="1">
        <f t="shared" ca="1" si="292"/>
        <v>9</v>
      </c>
      <c r="D3823" s="1">
        <f t="shared" ca="1" si="289"/>
        <v>278</v>
      </c>
      <c r="E3823" s="2">
        <f t="shared" ca="1" si="290"/>
        <v>43298</v>
      </c>
      <c r="F3823" s="6">
        <f t="shared" ca="1" si="291"/>
        <v>164.15272263247479</v>
      </c>
    </row>
    <row r="3824" spans="1:6">
      <c r="A3824" s="1">
        <v>9132766</v>
      </c>
      <c r="B3824">
        <f t="shared" ca="1" si="288"/>
        <v>0.87442557610010507</v>
      </c>
      <c r="C3824" s="1">
        <f t="shared" ca="1" si="292"/>
        <v>140</v>
      </c>
      <c r="D3824" s="1">
        <f t="shared" ca="1" si="289"/>
        <v>195</v>
      </c>
      <c r="E3824" s="2">
        <f t="shared" ca="1" si="290"/>
        <v>43026</v>
      </c>
      <c r="F3824" s="6">
        <f t="shared" ca="1" si="291"/>
        <v>75.682749456078881</v>
      </c>
    </row>
    <row r="3825" spans="1:6">
      <c r="A3825" s="1">
        <v>9132769</v>
      </c>
      <c r="B3825">
        <f t="shared" ca="1" si="288"/>
        <v>0.89121547938821766</v>
      </c>
      <c r="C3825" s="1">
        <f t="shared" ca="1" si="292"/>
        <v>33</v>
      </c>
      <c r="D3825" s="1">
        <f t="shared" ca="1" si="289"/>
        <v>501</v>
      </c>
      <c r="E3825" s="2">
        <f t="shared" ca="1" si="290"/>
        <v>43385</v>
      </c>
      <c r="F3825" s="6">
        <f t="shared" ca="1" si="291"/>
        <v>347.89293138479371</v>
      </c>
    </row>
    <row r="3826" spans="1:6">
      <c r="A3826" s="1">
        <v>9132772</v>
      </c>
      <c r="B3826">
        <f t="shared" ca="1" si="288"/>
        <v>0.72057240703792202</v>
      </c>
      <c r="C3826" s="1">
        <f t="shared" ca="1" si="292"/>
        <v>58</v>
      </c>
      <c r="D3826" s="1">
        <f t="shared" ca="1" si="289"/>
        <v>19</v>
      </c>
      <c r="E3826" s="2">
        <f t="shared" ca="1" si="290"/>
        <v>42848</v>
      </c>
      <c r="F3826" s="6">
        <f t="shared" ca="1" si="291"/>
        <v>89.029585352068423</v>
      </c>
    </row>
    <row r="3827" spans="1:6">
      <c r="A3827" s="1">
        <v>9132775</v>
      </c>
      <c r="B3827">
        <f t="shared" ca="1" si="288"/>
        <v>0.17895989999087514</v>
      </c>
      <c r="C3827" s="1">
        <f t="shared" ca="1" si="292"/>
        <v>123</v>
      </c>
      <c r="D3827" s="1">
        <f t="shared" ca="1" si="289"/>
        <v>288</v>
      </c>
      <c r="E3827" s="2">
        <f t="shared" ca="1" si="290"/>
        <v>42993</v>
      </c>
      <c r="F3827" s="6">
        <f t="shared" ca="1" si="291"/>
        <v>3.0023236224917125</v>
      </c>
    </row>
    <row r="3828" spans="1:6">
      <c r="A3828" s="1">
        <v>9132778</v>
      </c>
      <c r="B3828">
        <f t="shared" ca="1" si="288"/>
        <v>0.75256883776300165</v>
      </c>
      <c r="C3828" s="1">
        <f t="shared" ca="1" si="292"/>
        <v>1</v>
      </c>
      <c r="D3828" s="1">
        <f t="shared" ca="1" si="289"/>
        <v>474</v>
      </c>
      <c r="E3828" s="2">
        <f t="shared" ca="1" si="290"/>
        <v>43117</v>
      </c>
      <c r="F3828" s="6">
        <f t="shared" ca="1" si="291"/>
        <v>5.85583992299616</v>
      </c>
    </row>
    <row r="3829" spans="1:6">
      <c r="A3829" s="1">
        <v>9132781</v>
      </c>
      <c r="B3829">
        <f t="shared" ca="1" si="288"/>
        <v>0.97835427826356081</v>
      </c>
      <c r="C3829" s="1">
        <f t="shared" ca="1" si="292"/>
        <v>5</v>
      </c>
      <c r="D3829" s="1">
        <f t="shared" ca="1" si="289"/>
        <v>363</v>
      </c>
      <c r="E3829" s="2">
        <f t="shared" ca="1" si="290"/>
        <v>43132</v>
      </c>
      <c r="F3829" s="6">
        <f t="shared" ca="1" si="291"/>
        <v>81.441846765632647</v>
      </c>
    </row>
    <row r="3830" spans="1:6">
      <c r="A3830" s="1">
        <v>9132784</v>
      </c>
      <c r="B3830">
        <f t="shared" ca="1" si="288"/>
        <v>0.61196113567719956</v>
      </c>
      <c r="C3830" s="1">
        <f t="shared" ca="1" si="292"/>
        <v>3</v>
      </c>
      <c r="D3830" s="1">
        <f t="shared" ca="1" si="289"/>
        <v>263</v>
      </c>
      <c r="E3830" s="2">
        <f t="shared" ca="1" si="290"/>
        <v>42876</v>
      </c>
      <c r="F3830" s="6">
        <f t="shared" ca="1" si="291"/>
        <v>4.0292966769982712</v>
      </c>
    </row>
    <row r="3831" spans="1:6">
      <c r="A3831" s="1">
        <v>9132787</v>
      </c>
      <c r="B3831">
        <f t="shared" ca="1" si="288"/>
        <v>0.25992896984916669</v>
      </c>
      <c r="C3831" s="1">
        <f t="shared" ca="1" si="292"/>
        <v>28</v>
      </c>
      <c r="D3831" s="1">
        <f t="shared" ca="1" si="289"/>
        <v>401</v>
      </c>
      <c r="E3831" s="2">
        <f t="shared" ca="1" si="290"/>
        <v>42826</v>
      </c>
      <c r="F3831" s="6">
        <f t="shared" ca="1" si="291"/>
        <v>58.028593460250129</v>
      </c>
    </row>
    <row r="3832" spans="1:6">
      <c r="A3832" s="1">
        <v>9132790</v>
      </c>
      <c r="B3832">
        <f t="shared" ca="1" si="288"/>
        <v>0.35005304529048287</v>
      </c>
      <c r="C3832" s="1">
        <f t="shared" ca="1" si="292"/>
        <v>61</v>
      </c>
      <c r="D3832" s="1">
        <f t="shared" ca="1" si="289"/>
        <v>92</v>
      </c>
      <c r="E3832" s="2">
        <f t="shared" ca="1" si="290"/>
        <v>42744</v>
      </c>
      <c r="F3832" s="6">
        <f t="shared" ca="1" si="291"/>
        <v>3.1494103658429533</v>
      </c>
    </row>
    <row r="3833" spans="1:6">
      <c r="A3833" s="1">
        <v>9132793</v>
      </c>
      <c r="B3833">
        <f t="shared" ca="1" si="288"/>
        <v>4.3816280188221701E-2</v>
      </c>
      <c r="C3833" s="1">
        <f t="shared" ca="1" si="292"/>
        <v>248</v>
      </c>
      <c r="D3833" s="1">
        <f t="shared" ca="1" si="289"/>
        <v>260</v>
      </c>
      <c r="E3833" s="2">
        <f t="shared" ca="1" si="290"/>
        <v>43423</v>
      </c>
      <c r="F3833" s="6">
        <f t="shared" ca="1" si="291"/>
        <v>3.0337396779754209</v>
      </c>
    </row>
    <row r="3834" spans="1:6">
      <c r="A3834" s="1">
        <v>9132796</v>
      </c>
      <c r="B3834">
        <f t="shared" ca="1" si="288"/>
        <v>0.36031763441892906</v>
      </c>
      <c r="C3834" s="1">
        <f t="shared" ca="1" si="292"/>
        <v>118</v>
      </c>
      <c r="D3834" s="1">
        <f t="shared" ca="1" si="289"/>
        <v>172</v>
      </c>
      <c r="E3834" s="2">
        <f t="shared" ca="1" si="290"/>
        <v>43010</v>
      </c>
      <c r="F3834" s="6">
        <f t="shared" ca="1" si="291"/>
        <v>16.981070168604731</v>
      </c>
    </row>
    <row r="3835" spans="1:6">
      <c r="A3835" s="1">
        <v>9132799</v>
      </c>
      <c r="B3835">
        <f t="shared" ca="1" si="288"/>
        <v>0.17704938303816775</v>
      </c>
      <c r="C3835" s="1">
        <f t="shared" ca="1" si="292"/>
        <v>6</v>
      </c>
      <c r="D3835" s="1">
        <f t="shared" ca="1" si="289"/>
        <v>208</v>
      </c>
      <c r="E3835" s="2">
        <f t="shared" ca="1" si="290"/>
        <v>42748</v>
      </c>
      <c r="F3835" s="6">
        <f t="shared" ca="1" si="291"/>
        <v>8.2054993196053339</v>
      </c>
    </row>
    <row r="3836" spans="1:6">
      <c r="A3836" s="1">
        <v>9132802</v>
      </c>
      <c r="B3836">
        <f t="shared" ref="B3836:B3899" ca="1" si="293">RAND()</f>
        <v>0.54371568047042573</v>
      </c>
      <c r="C3836" s="1">
        <f t="shared" ca="1" si="292"/>
        <v>30</v>
      </c>
      <c r="D3836" s="1">
        <f t="shared" ref="D3836:D3899" ca="1" si="294">VLOOKUP(SMALL($B$2:$B$601,C3836),$B$2:$C$601,2,FALSE)</f>
        <v>53</v>
      </c>
      <c r="E3836" s="2">
        <f t="shared" ca="1" si="290"/>
        <v>43332</v>
      </c>
      <c r="F3836" s="6">
        <f t="shared" ca="1" si="291"/>
        <v>44.562019223891554</v>
      </c>
    </row>
    <row r="3837" spans="1:6">
      <c r="A3837" s="1">
        <v>9132805</v>
      </c>
      <c r="B3837">
        <f t="shared" ca="1" si="293"/>
        <v>0.54663071456102652</v>
      </c>
      <c r="C3837" s="1">
        <f t="shared" ca="1" si="292"/>
        <v>43</v>
      </c>
      <c r="D3837" s="1">
        <f t="shared" ca="1" si="294"/>
        <v>73</v>
      </c>
      <c r="E3837" s="2">
        <f t="shared" ca="1" si="290"/>
        <v>42779</v>
      </c>
      <c r="F3837" s="6">
        <f t="shared" ca="1" si="291"/>
        <v>5.3958373583042754</v>
      </c>
    </row>
    <row r="3838" spans="1:6">
      <c r="A3838" s="1">
        <v>9132808</v>
      </c>
      <c r="B3838">
        <f t="shared" ca="1" si="293"/>
        <v>0.42211230895777985</v>
      </c>
      <c r="C3838" s="1">
        <f t="shared" ca="1" si="292"/>
        <v>30</v>
      </c>
      <c r="D3838" s="1">
        <f t="shared" ca="1" si="294"/>
        <v>53</v>
      </c>
      <c r="E3838" s="2">
        <f t="shared" ca="1" si="290"/>
        <v>42837</v>
      </c>
      <c r="F3838" s="6">
        <f t="shared" ca="1" si="291"/>
        <v>16.980561033491995</v>
      </c>
    </row>
    <row r="3839" spans="1:6">
      <c r="A3839" s="1">
        <v>9132811</v>
      </c>
      <c r="B3839">
        <f t="shared" ca="1" si="293"/>
        <v>0.75442380015039945</v>
      </c>
      <c r="C3839" s="1">
        <f t="shared" ca="1" si="292"/>
        <v>136</v>
      </c>
      <c r="D3839" s="1">
        <f t="shared" ca="1" si="294"/>
        <v>416</v>
      </c>
      <c r="E3839" s="2">
        <f t="shared" ca="1" si="290"/>
        <v>42824</v>
      </c>
      <c r="F3839" s="6">
        <f t="shared" ca="1" si="291"/>
        <v>5.1007553446238845</v>
      </c>
    </row>
    <row r="3840" spans="1:6">
      <c r="A3840" s="1">
        <v>9132814</v>
      </c>
      <c r="B3840">
        <f t="shared" ca="1" si="293"/>
        <v>0.43868978628046973</v>
      </c>
      <c r="C3840" s="1">
        <f t="shared" ca="1" si="292"/>
        <v>9</v>
      </c>
      <c r="D3840" s="1">
        <f t="shared" ca="1" si="294"/>
        <v>278</v>
      </c>
      <c r="E3840" s="2">
        <f t="shared" ca="1" si="290"/>
        <v>42827</v>
      </c>
      <c r="F3840" s="6">
        <f t="shared" ca="1" si="291"/>
        <v>3.1621933177043733</v>
      </c>
    </row>
    <row r="3841" spans="1:6">
      <c r="A3841" s="1">
        <v>9132817</v>
      </c>
      <c r="B3841">
        <f t="shared" ca="1" si="293"/>
        <v>0.96037375877167142</v>
      </c>
      <c r="C3841" s="1">
        <f t="shared" ca="1" si="292"/>
        <v>68</v>
      </c>
      <c r="D3841" s="1">
        <f t="shared" ca="1" si="294"/>
        <v>467</v>
      </c>
      <c r="E3841" s="2">
        <f t="shared" ca="1" si="290"/>
        <v>42984</v>
      </c>
      <c r="F3841" s="6">
        <f t="shared" ca="1" si="291"/>
        <v>280.04961579793189</v>
      </c>
    </row>
    <row r="3842" spans="1:6">
      <c r="A3842" s="1">
        <v>9132820</v>
      </c>
      <c r="B3842">
        <f t="shared" ca="1" si="293"/>
        <v>0.50348270278367191</v>
      </c>
      <c r="C3842" s="1">
        <f t="shared" ca="1" si="292"/>
        <v>19</v>
      </c>
      <c r="D3842" s="1">
        <f t="shared" ca="1" si="294"/>
        <v>42</v>
      </c>
      <c r="E3842" s="2">
        <f t="shared" ca="1" si="290"/>
        <v>42775</v>
      </c>
      <c r="F3842" s="6">
        <f t="shared" ca="1" si="291"/>
        <v>32.384534177971801</v>
      </c>
    </row>
    <row r="3843" spans="1:6">
      <c r="A3843" s="1">
        <v>9132823</v>
      </c>
      <c r="B3843">
        <f t="shared" ca="1" si="293"/>
        <v>0.23429914782120476</v>
      </c>
      <c r="C3843" s="1">
        <f t="shared" ca="1" si="292"/>
        <v>54</v>
      </c>
      <c r="D3843" s="1">
        <f t="shared" ca="1" si="294"/>
        <v>168</v>
      </c>
      <c r="E3843" s="2">
        <f t="shared" ref="E3843:E3906" ca="1" si="295">RANDBETWEEN("1/1/17","2/1/19")</f>
        <v>42808</v>
      </c>
      <c r="F3843" s="6">
        <f t="shared" ref="F3843:F3906" ca="1" si="296">_xlfn.GAMMA.INV(RAND(),$J$6,$J$7)*100+3</f>
        <v>8.2903961374553692</v>
      </c>
    </row>
    <row r="3844" spans="1:6">
      <c r="A3844" s="1">
        <v>9132826</v>
      </c>
      <c r="B3844">
        <f t="shared" ca="1" si="293"/>
        <v>0.82220552234789057</v>
      </c>
      <c r="C3844" s="1">
        <f t="shared" ca="1" si="292"/>
        <v>45</v>
      </c>
      <c r="D3844" s="1">
        <f t="shared" ca="1" si="294"/>
        <v>482</v>
      </c>
      <c r="E3844" s="2">
        <f t="shared" ca="1" si="295"/>
        <v>43199</v>
      </c>
      <c r="F3844" s="6">
        <f t="shared" ca="1" si="296"/>
        <v>16.700129773568278</v>
      </c>
    </row>
    <row r="3845" spans="1:6">
      <c r="A3845" s="1">
        <v>9132829</v>
      </c>
      <c r="B3845">
        <f t="shared" ca="1" si="293"/>
        <v>0.98665267063581263</v>
      </c>
      <c r="C3845" s="1">
        <f t="shared" ca="1" si="292"/>
        <v>29</v>
      </c>
      <c r="D3845" s="1">
        <f t="shared" ca="1" si="294"/>
        <v>514</v>
      </c>
      <c r="E3845" s="2">
        <f t="shared" ca="1" si="295"/>
        <v>42850</v>
      </c>
      <c r="F3845" s="6">
        <f t="shared" ca="1" si="296"/>
        <v>125.5035205039688</v>
      </c>
    </row>
    <row r="3846" spans="1:6">
      <c r="A3846" s="1">
        <v>9132832</v>
      </c>
      <c r="B3846">
        <f t="shared" ca="1" si="293"/>
        <v>9.9756545288363085E-3</v>
      </c>
      <c r="C3846" s="1">
        <f t="shared" ca="1" si="292"/>
        <v>57</v>
      </c>
      <c r="D3846" s="1">
        <f t="shared" ca="1" si="294"/>
        <v>24</v>
      </c>
      <c r="E3846" s="2">
        <f t="shared" ca="1" si="295"/>
        <v>43428</v>
      </c>
      <c r="F3846" s="6">
        <f t="shared" ca="1" si="296"/>
        <v>21.080753401931609</v>
      </c>
    </row>
    <row r="3847" spans="1:6">
      <c r="A3847" s="1">
        <v>9132835</v>
      </c>
      <c r="B3847">
        <f t="shared" ca="1" si="293"/>
        <v>0.90885426422672899</v>
      </c>
      <c r="C3847" s="1">
        <f t="shared" ca="1" si="292"/>
        <v>1</v>
      </c>
      <c r="D3847" s="1">
        <f t="shared" ca="1" si="294"/>
        <v>474</v>
      </c>
      <c r="E3847" s="2">
        <f t="shared" ca="1" si="295"/>
        <v>42867</v>
      </c>
      <c r="F3847" s="6">
        <f t="shared" ca="1" si="296"/>
        <v>6.8272518776461695</v>
      </c>
    </row>
    <row r="3848" spans="1:6">
      <c r="A3848" s="1">
        <v>9132838</v>
      </c>
      <c r="B3848">
        <f t="shared" ca="1" si="293"/>
        <v>0.86273628240331224</v>
      </c>
      <c r="C3848" s="1">
        <f t="shared" ca="1" si="292"/>
        <v>139</v>
      </c>
      <c r="D3848" s="1">
        <f t="shared" ca="1" si="294"/>
        <v>49</v>
      </c>
      <c r="E3848" s="2">
        <f t="shared" ca="1" si="295"/>
        <v>42955</v>
      </c>
      <c r="F3848" s="6">
        <f t="shared" ca="1" si="296"/>
        <v>7.6839366453883686</v>
      </c>
    </row>
    <row r="3849" spans="1:6">
      <c r="A3849" s="1">
        <v>9132841</v>
      </c>
      <c r="B3849">
        <f t="shared" ca="1" si="293"/>
        <v>0.89109833089179913</v>
      </c>
      <c r="C3849" s="1">
        <f t="shared" ca="1" si="292"/>
        <v>211</v>
      </c>
      <c r="D3849" s="1">
        <f t="shared" ca="1" si="294"/>
        <v>490</v>
      </c>
      <c r="E3849" s="2">
        <f t="shared" ca="1" si="295"/>
        <v>43399</v>
      </c>
      <c r="F3849" s="6">
        <f t="shared" ca="1" si="296"/>
        <v>45.295687912506139</v>
      </c>
    </row>
    <row r="3850" spans="1:6">
      <c r="A3850" s="1">
        <v>9132844</v>
      </c>
      <c r="B3850">
        <f t="shared" ca="1" si="293"/>
        <v>0.35799996136301226</v>
      </c>
      <c r="C3850" s="1">
        <f t="shared" ca="1" si="292"/>
        <v>10</v>
      </c>
      <c r="D3850" s="1">
        <f t="shared" ca="1" si="294"/>
        <v>236</v>
      </c>
      <c r="E3850" s="2">
        <f t="shared" ca="1" si="295"/>
        <v>42916</v>
      </c>
      <c r="F3850" s="6">
        <f t="shared" ca="1" si="296"/>
        <v>20.617971899961681</v>
      </c>
    </row>
    <row r="3851" spans="1:6">
      <c r="A3851" s="1">
        <v>9132847</v>
      </c>
      <c r="B3851">
        <f t="shared" ca="1" si="293"/>
        <v>0.54458315935641588</v>
      </c>
      <c r="C3851" s="1">
        <f t="shared" ca="1" si="292"/>
        <v>24</v>
      </c>
      <c r="D3851" s="1">
        <f t="shared" ca="1" si="294"/>
        <v>334</v>
      </c>
      <c r="E3851" s="2">
        <f t="shared" ca="1" si="295"/>
        <v>43100</v>
      </c>
      <c r="F3851" s="6">
        <f t="shared" ca="1" si="296"/>
        <v>30.121625318816228</v>
      </c>
    </row>
    <row r="3852" spans="1:6">
      <c r="A3852" s="1">
        <v>9132850</v>
      </c>
      <c r="B3852">
        <f t="shared" ca="1" si="293"/>
        <v>0.39808127759608047</v>
      </c>
      <c r="C3852" s="1">
        <f t="shared" ca="1" si="292"/>
        <v>5</v>
      </c>
      <c r="D3852" s="1">
        <f t="shared" ca="1" si="294"/>
        <v>363</v>
      </c>
      <c r="E3852" s="2">
        <f t="shared" ca="1" si="295"/>
        <v>43261</v>
      </c>
      <c r="F3852" s="6">
        <f t="shared" ca="1" si="296"/>
        <v>3.2062111975658918</v>
      </c>
    </row>
    <row r="3853" spans="1:6">
      <c r="A3853" s="1">
        <v>9132853</v>
      </c>
      <c r="B3853">
        <f t="shared" ca="1" si="293"/>
        <v>0.44334610738348068</v>
      </c>
      <c r="C3853" s="1">
        <f t="shared" ca="1" si="292"/>
        <v>192</v>
      </c>
      <c r="D3853" s="1">
        <f t="shared" ca="1" si="294"/>
        <v>570</v>
      </c>
      <c r="E3853" s="2">
        <f t="shared" ca="1" si="295"/>
        <v>43174</v>
      </c>
      <c r="F3853" s="6">
        <f t="shared" ca="1" si="296"/>
        <v>22.565643155889568</v>
      </c>
    </row>
    <row r="3854" spans="1:6">
      <c r="A3854" s="1">
        <v>9132856</v>
      </c>
      <c r="B3854">
        <f t="shared" ca="1" si="293"/>
        <v>0.20473740394752005</v>
      </c>
      <c r="C3854" s="1">
        <f t="shared" ca="1" si="292"/>
        <v>17</v>
      </c>
      <c r="D3854" s="1">
        <f t="shared" ca="1" si="294"/>
        <v>165</v>
      </c>
      <c r="E3854" s="2">
        <f t="shared" ca="1" si="295"/>
        <v>43383</v>
      </c>
      <c r="F3854" s="6">
        <f t="shared" ca="1" si="296"/>
        <v>10.895267149880858</v>
      </c>
    </row>
    <row r="3855" spans="1:6">
      <c r="A3855" s="1">
        <v>9132859</v>
      </c>
      <c r="B3855">
        <f t="shared" ca="1" si="293"/>
        <v>0.85944408712868392</v>
      </c>
      <c r="C3855" s="1">
        <f t="shared" ca="1" si="292"/>
        <v>7</v>
      </c>
      <c r="D3855" s="1">
        <f t="shared" ca="1" si="294"/>
        <v>138</v>
      </c>
      <c r="E3855" s="2">
        <f t="shared" ca="1" si="295"/>
        <v>42943</v>
      </c>
      <c r="F3855" s="6">
        <f t="shared" ca="1" si="296"/>
        <v>43.25096812696318</v>
      </c>
    </row>
    <row r="3856" spans="1:6">
      <c r="A3856" s="1">
        <v>9132862</v>
      </c>
      <c r="B3856">
        <f t="shared" ca="1" si="293"/>
        <v>0.80342697087196724</v>
      </c>
      <c r="C3856" s="1">
        <f t="shared" ca="1" si="292"/>
        <v>6</v>
      </c>
      <c r="D3856" s="1">
        <f t="shared" ca="1" si="294"/>
        <v>208</v>
      </c>
      <c r="E3856" s="2">
        <f t="shared" ca="1" si="295"/>
        <v>42969</v>
      </c>
      <c r="F3856" s="6">
        <f t="shared" ca="1" si="296"/>
        <v>3.0354729070197841</v>
      </c>
    </row>
    <row r="3857" spans="1:6">
      <c r="A3857" s="1">
        <v>9132865</v>
      </c>
      <c r="B3857">
        <f t="shared" ca="1" si="293"/>
        <v>0.33443426302136625</v>
      </c>
      <c r="C3857" s="1">
        <f t="shared" ca="1" si="292"/>
        <v>2</v>
      </c>
      <c r="D3857" s="1">
        <f t="shared" ca="1" si="294"/>
        <v>30</v>
      </c>
      <c r="E3857" s="2">
        <f t="shared" ca="1" si="295"/>
        <v>43271</v>
      </c>
      <c r="F3857" s="6">
        <f t="shared" ca="1" si="296"/>
        <v>6.1522914083690532</v>
      </c>
    </row>
    <row r="3858" spans="1:6">
      <c r="A3858" s="1">
        <v>9132868</v>
      </c>
      <c r="B3858">
        <f t="shared" ca="1" si="293"/>
        <v>0.57695755501586654</v>
      </c>
      <c r="C3858" s="1">
        <f t="shared" ca="1" si="292"/>
        <v>102</v>
      </c>
      <c r="D3858" s="1">
        <f t="shared" ca="1" si="294"/>
        <v>366</v>
      </c>
      <c r="E3858" s="2">
        <f t="shared" ca="1" si="295"/>
        <v>43038</v>
      </c>
      <c r="F3858" s="6">
        <f t="shared" ca="1" si="296"/>
        <v>158.05256692523147</v>
      </c>
    </row>
    <row r="3859" spans="1:6">
      <c r="A3859" s="1">
        <v>9132871</v>
      </c>
      <c r="B3859">
        <f t="shared" ca="1" si="293"/>
        <v>0.70808622015441658</v>
      </c>
      <c r="C3859" s="1">
        <f t="shared" ca="1" si="292"/>
        <v>15</v>
      </c>
      <c r="D3859" s="1">
        <f t="shared" ca="1" si="294"/>
        <v>284</v>
      </c>
      <c r="E3859" s="2">
        <f t="shared" ca="1" si="295"/>
        <v>42739</v>
      </c>
      <c r="F3859" s="6">
        <f t="shared" ca="1" si="296"/>
        <v>107.59622242856722</v>
      </c>
    </row>
    <row r="3860" spans="1:6">
      <c r="A3860" s="1">
        <v>9132874</v>
      </c>
      <c r="B3860">
        <f t="shared" ca="1" si="293"/>
        <v>0.69403073577897378</v>
      </c>
      <c r="C3860" s="1">
        <f t="shared" ca="1" si="292"/>
        <v>111</v>
      </c>
      <c r="D3860" s="1">
        <f t="shared" ca="1" si="294"/>
        <v>230</v>
      </c>
      <c r="E3860" s="2">
        <f t="shared" ca="1" si="295"/>
        <v>43466</v>
      </c>
      <c r="F3860" s="6">
        <f t="shared" ca="1" si="296"/>
        <v>17.096004558730293</v>
      </c>
    </row>
    <row r="3861" spans="1:6">
      <c r="A3861" s="1">
        <v>9132877</v>
      </c>
      <c r="B3861">
        <f t="shared" ca="1" si="293"/>
        <v>0.89789241793472252</v>
      </c>
      <c r="C3861" s="1">
        <f t="shared" ca="1" si="292"/>
        <v>185</v>
      </c>
      <c r="D3861" s="1">
        <f t="shared" ca="1" si="294"/>
        <v>169</v>
      </c>
      <c r="E3861" s="2">
        <f t="shared" ca="1" si="295"/>
        <v>43264</v>
      </c>
      <c r="F3861" s="6">
        <f t="shared" ca="1" si="296"/>
        <v>157.76866428806215</v>
      </c>
    </row>
    <row r="3862" spans="1:6">
      <c r="A3862" s="1">
        <v>9132880</v>
      </c>
      <c r="B3862">
        <f t="shared" ca="1" si="293"/>
        <v>2.3651765892489407E-2</v>
      </c>
      <c r="C3862" s="1">
        <f t="shared" ca="1" si="292"/>
        <v>87</v>
      </c>
      <c r="D3862" s="1">
        <f t="shared" ca="1" si="294"/>
        <v>551</v>
      </c>
      <c r="E3862" s="2">
        <f t="shared" ca="1" si="295"/>
        <v>43020</v>
      </c>
      <c r="F3862" s="6">
        <f t="shared" ca="1" si="296"/>
        <v>12.018784072127412</v>
      </c>
    </row>
    <row r="3863" spans="1:6">
      <c r="A3863" s="1">
        <v>9132883</v>
      </c>
      <c r="B3863">
        <f t="shared" ca="1" si="293"/>
        <v>0.97957354014089359</v>
      </c>
      <c r="C3863" s="1">
        <f t="shared" ca="1" si="292"/>
        <v>346</v>
      </c>
      <c r="D3863" s="1">
        <f t="shared" ca="1" si="294"/>
        <v>420</v>
      </c>
      <c r="E3863" s="2">
        <f t="shared" ca="1" si="295"/>
        <v>43318</v>
      </c>
      <c r="F3863" s="6">
        <f t="shared" ca="1" si="296"/>
        <v>3.1285329189201332</v>
      </c>
    </row>
    <row r="3864" spans="1:6">
      <c r="A3864" s="1">
        <v>9132886</v>
      </c>
      <c r="B3864">
        <f t="shared" ca="1" si="293"/>
        <v>0.6577334769605554</v>
      </c>
      <c r="C3864" s="1">
        <f t="shared" ca="1" si="292"/>
        <v>4</v>
      </c>
      <c r="D3864" s="1">
        <f t="shared" ca="1" si="294"/>
        <v>493</v>
      </c>
      <c r="E3864" s="2">
        <f t="shared" ca="1" si="295"/>
        <v>43005</v>
      </c>
      <c r="F3864" s="6">
        <f t="shared" ca="1" si="296"/>
        <v>68.659267470042337</v>
      </c>
    </row>
    <row r="3865" spans="1:6">
      <c r="A3865" s="1">
        <v>9132889</v>
      </c>
      <c r="B3865">
        <f t="shared" ca="1" si="293"/>
        <v>0.80137916485402116</v>
      </c>
      <c r="C3865" s="1">
        <f t="shared" ca="1" si="292"/>
        <v>4</v>
      </c>
      <c r="D3865" s="1">
        <f t="shared" ca="1" si="294"/>
        <v>493</v>
      </c>
      <c r="E3865" s="2">
        <f t="shared" ca="1" si="295"/>
        <v>42763</v>
      </c>
      <c r="F3865" s="6">
        <f t="shared" ca="1" si="296"/>
        <v>6.103767295047513</v>
      </c>
    </row>
    <row r="3866" spans="1:6">
      <c r="A3866" s="1">
        <v>9132892</v>
      </c>
      <c r="B3866">
        <f t="shared" ca="1" si="293"/>
        <v>0.1051017015758301</v>
      </c>
      <c r="C3866" s="1">
        <f t="shared" ca="1" si="292"/>
        <v>21</v>
      </c>
      <c r="D3866" s="1">
        <f t="shared" ca="1" si="294"/>
        <v>566</v>
      </c>
      <c r="E3866" s="2">
        <f t="shared" ca="1" si="295"/>
        <v>43018</v>
      </c>
      <c r="F3866" s="6">
        <f t="shared" ca="1" si="296"/>
        <v>36.422968080430884</v>
      </c>
    </row>
    <row r="3867" spans="1:6">
      <c r="A3867" s="1">
        <v>9132895</v>
      </c>
      <c r="B3867">
        <f t="shared" ca="1" si="293"/>
        <v>0.45099156963604325</v>
      </c>
      <c r="C3867" s="1">
        <f t="shared" ref="C3867:C3930" ca="1" si="297">ROUND(_xlfn.GAMMA.INV(RAND(),$J$11,$J$12)*100,0)+1</f>
        <v>9</v>
      </c>
      <c r="D3867" s="1">
        <f t="shared" ca="1" si="294"/>
        <v>278</v>
      </c>
      <c r="E3867" s="2">
        <f t="shared" ca="1" si="295"/>
        <v>43438</v>
      </c>
      <c r="F3867" s="6">
        <f t="shared" ca="1" si="296"/>
        <v>48.412932068608136</v>
      </c>
    </row>
    <row r="3868" spans="1:6">
      <c r="A3868" s="1">
        <v>9132898</v>
      </c>
      <c r="B3868">
        <f t="shared" ca="1" si="293"/>
        <v>0.78659093803139202</v>
      </c>
      <c r="C3868" s="1">
        <f t="shared" ca="1" si="297"/>
        <v>1</v>
      </c>
      <c r="D3868" s="1">
        <f t="shared" ca="1" si="294"/>
        <v>474</v>
      </c>
      <c r="E3868" s="2">
        <f t="shared" ca="1" si="295"/>
        <v>43214</v>
      </c>
      <c r="F3868" s="6">
        <f t="shared" ca="1" si="296"/>
        <v>41.935652029648942</v>
      </c>
    </row>
    <row r="3869" spans="1:6">
      <c r="A3869" s="1">
        <v>9132901</v>
      </c>
      <c r="B3869">
        <f t="shared" ca="1" si="293"/>
        <v>0.94776164562883403</v>
      </c>
      <c r="C3869" s="1">
        <f t="shared" ca="1" si="297"/>
        <v>287</v>
      </c>
      <c r="D3869" s="1">
        <f t="shared" ca="1" si="294"/>
        <v>3</v>
      </c>
      <c r="E3869" s="2">
        <f t="shared" ca="1" si="295"/>
        <v>43400</v>
      </c>
      <c r="F3869" s="6">
        <f t="shared" ca="1" si="296"/>
        <v>7.805381593826227</v>
      </c>
    </row>
    <row r="3870" spans="1:6">
      <c r="A3870" s="1">
        <v>9132904</v>
      </c>
      <c r="B3870">
        <f t="shared" ca="1" si="293"/>
        <v>0.43376324240408581</v>
      </c>
      <c r="C3870" s="1">
        <f t="shared" ca="1" si="297"/>
        <v>26</v>
      </c>
      <c r="D3870" s="1">
        <f t="shared" ca="1" si="294"/>
        <v>88</v>
      </c>
      <c r="E3870" s="2">
        <f t="shared" ca="1" si="295"/>
        <v>43452</v>
      </c>
      <c r="F3870" s="6">
        <f t="shared" ca="1" si="296"/>
        <v>11.753682777988873</v>
      </c>
    </row>
    <row r="3871" spans="1:6">
      <c r="A3871" s="1">
        <v>9132907</v>
      </c>
      <c r="B3871">
        <f t="shared" ca="1" si="293"/>
        <v>0.48479690497534922</v>
      </c>
      <c r="C3871" s="1">
        <f t="shared" ca="1" si="297"/>
        <v>1</v>
      </c>
      <c r="D3871" s="1">
        <f t="shared" ca="1" si="294"/>
        <v>474</v>
      </c>
      <c r="E3871" s="2">
        <f t="shared" ca="1" si="295"/>
        <v>43039</v>
      </c>
      <c r="F3871" s="6">
        <f t="shared" ca="1" si="296"/>
        <v>20.053930217850297</v>
      </c>
    </row>
    <row r="3872" spans="1:6">
      <c r="A3872" s="1">
        <v>9132910</v>
      </c>
      <c r="B3872">
        <f t="shared" ca="1" si="293"/>
        <v>0.85733460844594744</v>
      </c>
      <c r="C3872" s="1">
        <f t="shared" ca="1" si="297"/>
        <v>10</v>
      </c>
      <c r="D3872" s="1">
        <f t="shared" ca="1" si="294"/>
        <v>236</v>
      </c>
      <c r="E3872" s="2">
        <f t="shared" ca="1" si="295"/>
        <v>42814</v>
      </c>
      <c r="F3872" s="6">
        <f t="shared" ca="1" si="296"/>
        <v>48.832267413078768</v>
      </c>
    </row>
    <row r="3873" spans="1:6">
      <c r="A3873" s="1">
        <v>9132913</v>
      </c>
      <c r="B3873">
        <f t="shared" ca="1" si="293"/>
        <v>0.49477422709240071</v>
      </c>
      <c r="C3873" s="1">
        <f t="shared" ca="1" si="297"/>
        <v>146</v>
      </c>
      <c r="D3873" s="1">
        <f t="shared" ca="1" si="294"/>
        <v>216</v>
      </c>
      <c r="E3873" s="2">
        <f t="shared" ca="1" si="295"/>
        <v>43396</v>
      </c>
      <c r="F3873" s="6">
        <f t="shared" ca="1" si="296"/>
        <v>3.4400346238102659</v>
      </c>
    </row>
    <row r="3874" spans="1:6">
      <c r="A3874" s="1">
        <v>9132916</v>
      </c>
      <c r="B3874">
        <f t="shared" ca="1" si="293"/>
        <v>5.1468589330589176E-2</v>
      </c>
      <c r="C3874" s="1">
        <f t="shared" ca="1" si="297"/>
        <v>17</v>
      </c>
      <c r="D3874" s="1">
        <f t="shared" ca="1" si="294"/>
        <v>165</v>
      </c>
      <c r="E3874" s="2">
        <f t="shared" ca="1" si="295"/>
        <v>43072</v>
      </c>
      <c r="F3874" s="6">
        <f t="shared" ca="1" si="296"/>
        <v>14.163914124880868</v>
      </c>
    </row>
    <row r="3875" spans="1:6">
      <c r="A3875" s="1">
        <v>9132919</v>
      </c>
      <c r="B3875">
        <f t="shared" ca="1" si="293"/>
        <v>0.6174162580793795</v>
      </c>
      <c r="C3875" s="1">
        <f t="shared" ca="1" si="297"/>
        <v>23</v>
      </c>
      <c r="D3875" s="1">
        <f t="shared" ca="1" si="294"/>
        <v>516</v>
      </c>
      <c r="E3875" s="2">
        <f t="shared" ca="1" si="295"/>
        <v>42880</v>
      </c>
      <c r="F3875" s="6">
        <f t="shared" ca="1" si="296"/>
        <v>3.174104442492367</v>
      </c>
    </row>
    <row r="3876" spans="1:6">
      <c r="A3876" s="1">
        <v>9132922</v>
      </c>
      <c r="B3876">
        <f t="shared" ca="1" si="293"/>
        <v>0.46687668970601937</v>
      </c>
      <c r="C3876" s="1">
        <f t="shared" ca="1" si="297"/>
        <v>22</v>
      </c>
      <c r="D3876" s="1">
        <f t="shared" ca="1" si="294"/>
        <v>413</v>
      </c>
      <c r="E3876" s="2">
        <f t="shared" ca="1" si="295"/>
        <v>43080</v>
      </c>
      <c r="F3876" s="6">
        <f t="shared" ca="1" si="296"/>
        <v>4.6017648071904054</v>
      </c>
    </row>
    <row r="3877" spans="1:6">
      <c r="A3877" s="1">
        <v>9132925</v>
      </c>
      <c r="B3877">
        <f t="shared" ca="1" si="293"/>
        <v>0.88329933076340028</v>
      </c>
      <c r="C3877" s="1">
        <f t="shared" ca="1" si="297"/>
        <v>5</v>
      </c>
      <c r="D3877" s="1">
        <f t="shared" ca="1" si="294"/>
        <v>363</v>
      </c>
      <c r="E3877" s="2">
        <f t="shared" ca="1" si="295"/>
        <v>42828</v>
      </c>
      <c r="F3877" s="6">
        <f t="shared" ca="1" si="296"/>
        <v>5.8719441242459993</v>
      </c>
    </row>
    <row r="3878" spans="1:6">
      <c r="A3878" s="1">
        <v>9132928</v>
      </c>
      <c r="B3878">
        <f t="shared" ca="1" si="293"/>
        <v>0.65923968978979752</v>
      </c>
      <c r="C3878" s="1">
        <f t="shared" ca="1" si="297"/>
        <v>358</v>
      </c>
      <c r="D3878" s="1">
        <f t="shared" ca="1" si="294"/>
        <v>312</v>
      </c>
      <c r="E3878" s="2">
        <f t="shared" ca="1" si="295"/>
        <v>43423</v>
      </c>
      <c r="F3878" s="6">
        <f t="shared" ca="1" si="296"/>
        <v>28.101015179121138</v>
      </c>
    </row>
    <row r="3879" spans="1:6">
      <c r="A3879" s="1">
        <v>9132931</v>
      </c>
      <c r="B3879">
        <f t="shared" ca="1" si="293"/>
        <v>0.12893071256532351</v>
      </c>
      <c r="C3879" s="1">
        <f t="shared" ca="1" si="297"/>
        <v>42</v>
      </c>
      <c r="D3879" s="1">
        <f t="shared" ca="1" si="294"/>
        <v>36</v>
      </c>
      <c r="E3879" s="2">
        <f t="shared" ca="1" si="295"/>
        <v>42747</v>
      </c>
      <c r="F3879" s="6">
        <f t="shared" ca="1" si="296"/>
        <v>25.727587923540163</v>
      </c>
    </row>
    <row r="3880" spans="1:6">
      <c r="A3880" s="1">
        <v>9132934</v>
      </c>
      <c r="B3880">
        <f t="shared" ca="1" si="293"/>
        <v>7.701478607372314E-2</v>
      </c>
      <c r="C3880" s="1">
        <f t="shared" ca="1" si="297"/>
        <v>181</v>
      </c>
      <c r="D3880" s="1">
        <f t="shared" ca="1" si="294"/>
        <v>470</v>
      </c>
      <c r="E3880" s="2">
        <f t="shared" ca="1" si="295"/>
        <v>42832</v>
      </c>
      <c r="F3880" s="6">
        <f t="shared" ca="1" si="296"/>
        <v>70.183212970572399</v>
      </c>
    </row>
    <row r="3881" spans="1:6">
      <c r="A3881" s="1">
        <v>9132937</v>
      </c>
      <c r="B3881">
        <f t="shared" ca="1" si="293"/>
        <v>0.40049338332676476</v>
      </c>
      <c r="C3881" s="1">
        <f t="shared" ca="1" si="297"/>
        <v>111</v>
      </c>
      <c r="D3881" s="1">
        <f t="shared" ca="1" si="294"/>
        <v>230</v>
      </c>
      <c r="E3881" s="2">
        <f t="shared" ca="1" si="295"/>
        <v>42750</v>
      </c>
      <c r="F3881" s="6">
        <f t="shared" ca="1" si="296"/>
        <v>5.6779249051625609</v>
      </c>
    </row>
    <row r="3882" spans="1:6">
      <c r="A3882" s="1">
        <v>9132940</v>
      </c>
      <c r="B3882">
        <f t="shared" ca="1" si="293"/>
        <v>0.26266625032486945</v>
      </c>
      <c r="C3882" s="1">
        <f t="shared" ca="1" si="297"/>
        <v>70</v>
      </c>
      <c r="D3882" s="1">
        <f t="shared" ca="1" si="294"/>
        <v>82</v>
      </c>
      <c r="E3882" s="2">
        <f t="shared" ca="1" si="295"/>
        <v>42773</v>
      </c>
      <c r="F3882" s="6">
        <f t="shared" ca="1" si="296"/>
        <v>7.4757447283514793</v>
      </c>
    </row>
    <row r="3883" spans="1:6">
      <c r="A3883" s="1">
        <v>9132943</v>
      </c>
      <c r="B3883">
        <f t="shared" ca="1" si="293"/>
        <v>0.15922416989196497</v>
      </c>
      <c r="C3883" s="1">
        <f t="shared" ca="1" si="297"/>
        <v>74</v>
      </c>
      <c r="D3883" s="1">
        <f t="shared" ca="1" si="294"/>
        <v>450</v>
      </c>
      <c r="E3883" s="2">
        <f t="shared" ca="1" si="295"/>
        <v>42988</v>
      </c>
      <c r="F3883" s="6">
        <f t="shared" ca="1" si="296"/>
        <v>32.479796736237574</v>
      </c>
    </row>
    <row r="3884" spans="1:6">
      <c r="A3884" s="1">
        <v>9132946</v>
      </c>
      <c r="B3884">
        <f t="shared" ca="1" si="293"/>
        <v>0.39238812231432174</v>
      </c>
      <c r="C3884" s="1">
        <f t="shared" ca="1" si="297"/>
        <v>59</v>
      </c>
      <c r="D3884" s="1">
        <f t="shared" ca="1" si="294"/>
        <v>95</v>
      </c>
      <c r="E3884" s="2">
        <f t="shared" ca="1" si="295"/>
        <v>43482</v>
      </c>
      <c r="F3884" s="6">
        <f t="shared" ca="1" si="296"/>
        <v>46.266703339133372</v>
      </c>
    </row>
    <row r="3885" spans="1:6">
      <c r="A3885" s="1">
        <v>9132949</v>
      </c>
      <c r="B3885">
        <f t="shared" ca="1" si="293"/>
        <v>0.82529035933286965</v>
      </c>
      <c r="C3885" s="1">
        <f t="shared" ca="1" si="297"/>
        <v>50</v>
      </c>
      <c r="D3885" s="1">
        <f t="shared" ca="1" si="294"/>
        <v>415</v>
      </c>
      <c r="E3885" s="2">
        <f t="shared" ca="1" si="295"/>
        <v>43429</v>
      </c>
      <c r="F3885" s="6">
        <f t="shared" ca="1" si="296"/>
        <v>4.0653836818813991</v>
      </c>
    </row>
    <row r="3886" spans="1:6">
      <c r="A3886" s="1">
        <v>9132952</v>
      </c>
      <c r="B3886">
        <f t="shared" ca="1" si="293"/>
        <v>0.44453471589057614</v>
      </c>
      <c r="C3886" s="1">
        <f t="shared" ca="1" si="297"/>
        <v>2</v>
      </c>
      <c r="D3886" s="1">
        <f t="shared" ca="1" si="294"/>
        <v>30</v>
      </c>
      <c r="E3886" s="2">
        <f t="shared" ca="1" si="295"/>
        <v>42839</v>
      </c>
      <c r="F3886" s="6">
        <f t="shared" ca="1" si="296"/>
        <v>68.2987825397135</v>
      </c>
    </row>
    <row r="3887" spans="1:6">
      <c r="A3887" s="1">
        <v>9132955</v>
      </c>
      <c r="B3887">
        <f t="shared" ca="1" si="293"/>
        <v>0.66588833420042248</v>
      </c>
      <c r="C3887" s="1">
        <f t="shared" ca="1" si="297"/>
        <v>4</v>
      </c>
      <c r="D3887" s="1">
        <f t="shared" ca="1" si="294"/>
        <v>493</v>
      </c>
      <c r="E3887" s="2">
        <f t="shared" ca="1" si="295"/>
        <v>43163</v>
      </c>
      <c r="F3887" s="6">
        <f t="shared" ca="1" si="296"/>
        <v>44.135784854731448</v>
      </c>
    </row>
    <row r="3888" spans="1:6">
      <c r="A3888" s="1">
        <v>9132958</v>
      </c>
      <c r="B3888">
        <f t="shared" ca="1" si="293"/>
        <v>0.77729118229438088</v>
      </c>
      <c r="C3888" s="1">
        <f t="shared" ca="1" si="297"/>
        <v>7</v>
      </c>
      <c r="D3888" s="1">
        <f t="shared" ca="1" si="294"/>
        <v>138</v>
      </c>
      <c r="E3888" s="2">
        <f t="shared" ca="1" si="295"/>
        <v>43243</v>
      </c>
      <c r="F3888" s="6">
        <f t="shared" ca="1" si="296"/>
        <v>8.502516364276774</v>
      </c>
    </row>
    <row r="3889" spans="1:6">
      <c r="A3889" s="1">
        <v>9132961</v>
      </c>
      <c r="B3889">
        <f t="shared" ca="1" si="293"/>
        <v>0.32629820776260521</v>
      </c>
      <c r="C3889" s="1">
        <f t="shared" ca="1" si="297"/>
        <v>15</v>
      </c>
      <c r="D3889" s="1">
        <f t="shared" ca="1" si="294"/>
        <v>284</v>
      </c>
      <c r="E3889" s="2">
        <f t="shared" ca="1" si="295"/>
        <v>43145</v>
      </c>
      <c r="F3889" s="6">
        <f t="shared" ca="1" si="296"/>
        <v>32.235111495717931</v>
      </c>
    </row>
    <row r="3890" spans="1:6">
      <c r="A3890" s="1">
        <v>9132964</v>
      </c>
      <c r="B3890">
        <f t="shared" ca="1" si="293"/>
        <v>0.53891479030109424</v>
      </c>
      <c r="C3890" s="1">
        <f t="shared" ca="1" si="297"/>
        <v>9</v>
      </c>
      <c r="D3890" s="1">
        <f t="shared" ca="1" si="294"/>
        <v>278</v>
      </c>
      <c r="E3890" s="2">
        <f t="shared" ca="1" si="295"/>
        <v>43416</v>
      </c>
      <c r="F3890" s="6">
        <f t="shared" ca="1" si="296"/>
        <v>101.84436422217429</v>
      </c>
    </row>
    <row r="3891" spans="1:6">
      <c r="A3891" s="1">
        <v>9132967</v>
      </c>
      <c r="B3891">
        <f t="shared" ca="1" si="293"/>
        <v>0.28487553071678695</v>
      </c>
      <c r="C3891" s="1">
        <f t="shared" ca="1" si="297"/>
        <v>1</v>
      </c>
      <c r="D3891" s="1">
        <f t="shared" ca="1" si="294"/>
        <v>474</v>
      </c>
      <c r="E3891" s="2">
        <f t="shared" ca="1" si="295"/>
        <v>42907</v>
      </c>
      <c r="F3891" s="6">
        <f t="shared" ca="1" si="296"/>
        <v>3.8180090286682686</v>
      </c>
    </row>
    <row r="3892" spans="1:6">
      <c r="A3892" s="1">
        <v>9132970</v>
      </c>
      <c r="B3892">
        <f t="shared" ca="1" si="293"/>
        <v>0.26543309850576347</v>
      </c>
      <c r="C3892" s="1">
        <f t="shared" ca="1" si="297"/>
        <v>51</v>
      </c>
      <c r="D3892" s="1">
        <f t="shared" ca="1" si="294"/>
        <v>93</v>
      </c>
      <c r="E3892" s="2">
        <f t="shared" ca="1" si="295"/>
        <v>43155</v>
      </c>
      <c r="F3892" s="6">
        <f t="shared" ca="1" si="296"/>
        <v>4.1315810446683727</v>
      </c>
    </row>
    <row r="3893" spans="1:6">
      <c r="A3893" s="1">
        <v>9132973</v>
      </c>
      <c r="B3893">
        <f t="shared" ca="1" si="293"/>
        <v>0.45240073686337179</v>
      </c>
      <c r="C3893" s="1">
        <f t="shared" ca="1" si="297"/>
        <v>15</v>
      </c>
      <c r="D3893" s="1">
        <f t="shared" ca="1" si="294"/>
        <v>284</v>
      </c>
      <c r="E3893" s="2">
        <f t="shared" ca="1" si="295"/>
        <v>43138</v>
      </c>
      <c r="F3893" s="6">
        <f t="shared" ca="1" si="296"/>
        <v>92.756550408471227</v>
      </c>
    </row>
    <row r="3894" spans="1:6">
      <c r="A3894" s="1">
        <v>9132976</v>
      </c>
      <c r="B3894">
        <f t="shared" ca="1" si="293"/>
        <v>0.74662589722788131</v>
      </c>
      <c r="C3894" s="1">
        <f t="shared" ca="1" si="297"/>
        <v>19</v>
      </c>
      <c r="D3894" s="1">
        <f t="shared" ca="1" si="294"/>
        <v>42</v>
      </c>
      <c r="E3894" s="2">
        <f t="shared" ca="1" si="295"/>
        <v>43228</v>
      </c>
      <c r="F3894" s="6">
        <f t="shared" ca="1" si="296"/>
        <v>84.150330109539453</v>
      </c>
    </row>
    <row r="3895" spans="1:6">
      <c r="A3895" s="1">
        <v>9132979</v>
      </c>
      <c r="B3895">
        <f t="shared" ca="1" si="293"/>
        <v>0.87697154380920295</v>
      </c>
      <c r="C3895" s="1">
        <f t="shared" ca="1" si="297"/>
        <v>18</v>
      </c>
      <c r="D3895" s="1">
        <f t="shared" ca="1" si="294"/>
        <v>511</v>
      </c>
      <c r="E3895" s="2">
        <f t="shared" ca="1" si="295"/>
        <v>43255</v>
      </c>
      <c r="F3895" s="6">
        <f t="shared" ca="1" si="296"/>
        <v>151.19520088439469</v>
      </c>
    </row>
    <row r="3896" spans="1:6">
      <c r="A3896" s="1">
        <v>9132982</v>
      </c>
      <c r="B3896">
        <f t="shared" ca="1" si="293"/>
        <v>1.5054260410681142E-2</v>
      </c>
      <c r="C3896" s="1">
        <f t="shared" ca="1" si="297"/>
        <v>4</v>
      </c>
      <c r="D3896" s="1">
        <f t="shared" ca="1" si="294"/>
        <v>493</v>
      </c>
      <c r="E3896" s="2">
        <f t="shared" ca="1" si="295"/>
        <v>43091</v>
      </c>
      <c r="F3896" s="6">
        <f t="shared" ca="1" si="296"/>
        <v>13.466705977579002</v>
      </c>
    </row>
    <row r="3897" spans="1:6">
      <c r="A3897" s="1">
        <v>9132985</v>
      </c>
      <c r="B3897">
        <f t="shared" ca="1" si="293"/>
        <v>4.5960135894416498E-2</v>
      </c>
      <c r="C3897" s="1">
        <f t="shared" ca="1" si="297"/>
        <v>2</v>
      </c>
      <c r="D3897" s="1">
        <f t="shared" ca="1" si="294"/>
        <v>30</v>
      </c>
      <c r="E3897" s="2">
        <f t="shared" ca="1" si="295"/>
        <v>43014</v>
      </c>
      <c r="F3897" s="6">
        <f t="shared" ca="1" si="296"/>
        <v>55.000892729318004</v>
      </c>
    </row>
    <row r="3898" spans="1:6">
      <c r="A3898" s="1">
        <v>9132988</v>
      </c>
      <c r="B3898">
        <f t="shared" ca="1" si="293"/>
        <v>0.81721768652808513</v>
      </c>
      <c r="C3898" s="1">
        <f t="shared" ca="1" si="297"/>
        <v>2</v>
      </c>
      <c r="D3898" s="1">
        <f t="shared" ca="1" si="294"/>
        <v>30</v>
      </c>
      <c r="E3898" s="2">
        <f t="shared" ca="1" si="295"/>
        <v>43172</v>
      </c>
      <c r="F3898" s="6">
        <f t="shared" ca="1" si="296"/>
        <v>119.41988836805031</v>
      </c>
    </row>
    <row r="3899" spans="1:6">
      <c r="A3899" s="1">
        <v>9132991</v>
      </c>
      <c r="B3899">
        <f t="shared" ca="1" si="293"/>
        <v>0.21349623014602703</v>
      </c>
      <c r="C3899" s="1">
        <f t="shared" ca="1" si="297"/>
        <v>25</v>
      </c>
      <c r="D3899" s="1">
        <f t="shared" ca="1" si="294"/>
        <v>257</v>
      </c>
      <c r="E3899" s="2">
        <f t="shared" ca="1" si="295"/>
        <v>43440</v>
      </c>
      <c r="F3899" s="6">
        <f t="shared" ca="1" si="296"/>
        <v>181.52232654665622</v>
      </c>
    </row>
    <row r="3900" spans="1:6">
      <c r="A3900" s="1">
        <v>9132994</v>
      </c>
      <c r="B3900">
        <f t="shared" ref="B3900:B3963" ca="1" si="298">RAND()</f>
        <v>0.1725075025845586</v>
      </c>
      <c r="C3900" s="1">
        <f t="shared" ca="1" si="297"/>
        <v>60</v>
      </c>
      <c r="D3900" s="1">
        <f t="shared" ref="D3900:D3963" ca="1" si="299">VLOOKUP(SMALL($B$2:$B$601,C3900),$B$2:$C$601,2,FALSE)</f>
        <v>422</v>
      </c>
      <c r="E3900" s="2">
        <f t="shared" ca="1" si="295"/>
        <v>43463</v>
      </c>
      <c r="F3900" s="6">
        <f t="shared" ca="1" si="296"/>
        <v>40.2690526464106</v>
      </c>
    </row>
    <row r="3901" spans="1:6">
      <c r="A3901" s="1">
        <v>9132997</v>
      </c>
      <c r="B3901">
        <f t="shared" ca="1" si="298"/>
        <v>0.38952583119801842</v>
      </c>
      <c r="C3901" s="1">
        <f t="shared" ca="1" si="297"/>
        <v>3</v>
      </c>
      <c r="D3901" s="1">
        <f t="shared" ca="1" si="299"/>
        <v>263</v>
      </c>
      <c r="E3901" s="2">
        <f t="shared" ca="1" si="295"/>
        <v>43191</v>
      </c>
      <c r="F3901" s="6">
        <f t="shared" ca="1" si="296"/>
        <v>8.1059948917875317</v>
      </c>
    </row>
    <row r="3902" spans="1:6">
      <c r="A3902" s="1">
        <v>9133000</v>
      </c>
      <c r="B3902">
        <f t="shared" ca="1" si="298"/>
        <v>0.58178455164877307</v>
      </c>
      <c r="C3902" s="1">
        <f t="shared" ca="1" si="297"/>
        <v>15</v>
      </c>
      <c r="D3902" s="1">
        <f t="shared" ca="1" si="299"/>
        <v>284</v>
      </c>
      <c r="E3902" s="2">
        <f t="shared" ca="1" si="295"/>
        <v>43377</v>
      </c>
      <c r="F3902" s="6">
        <f t="shared" ca="1" si="296"/>
        <v>24.671785128008452</v>
      </c>
    </row>
    <row r="3903" spans="1:6">
      <c r="A3903" s="1">
        <v>9133003</v>
      </c>
      <c r="B3903">
        <f t="shared" ca="1" si="298"/>
        <v>0.60819327044139015</v>
      </c>
      <c r="C3903" s="1">
        <f t="shared" ca="1" si="297"/>
        <v>128</v>
      </c>
      <c r="D3903" s="1">
        <f t="shared" ca="1" si="299"/>
        <v>317</v>
      </c>
      <c r="E3903" s="2">
        <f t="shared" ca="1" si="295"/>
        <v>43258</v>
      </c>
      <c r="F3903" s="6">
        <f t="shared" ca="1" si="296"/>
        <v>114.51713398968593</v>
      </c>
    </row>
    <row r="3904" spans="1:6">
      <c r="A3904" s="1">
        <v>9133006</v>
      </c>
      <c r="B3904">
        <f t="shared" ca="1" si="298"/>
        <v>0.75771947730175204</v>
      </c>
      <c r="C3904" s="1">
        <f t="shared" ca="1" si="297"/>
        <v>1</v>
      </c>
      <c r="D3904" s="1">
        <f t="shared" ca="1" si="299"/>
        <v>474</v>
      </c>
      <c r="E3904" s="2">
        <f t="shared" ca="1" si="295"/>
        <v>43378</v>
      </c>
      <c r="F3904" s="6">
        <f t="shared" ca="1" si="296"/>
        <v>70.869339664506825</v>
      </c>
    </row>
    <row r="3905" spans="1:6">
      <c r="A3905" s="1">
        <v>9133009</v>
      </c>
      <c r="B3905">
        <f t="shared" ca="1" si="298"/>
        <v>0.34968905884846491</v>
      </c>
      <c r="C3905" s="1">
        <f t="shared" ca="1" si="297"/>
        <v>2</v>
      </c>
      <c r="D3905" s="1">
        <f t="shared" ca="1" si="299"/>
        <v>30</v>
      </c>
      <c r="E3905" s="2">
        <f t="shared" ca="1" si="295"/>
        <v>43050</v>
      </c>
      <c r="F3905" s="6">
        <f t="shared" ca="1" si="296"/>
        <v>72.180791035025862</v>
      </c>
    </row>
    <row r="3906" spans="1:6">
      <c r="A3906" s="1">
        <v>9133012</v>
      </c>
      <c r="B3906">
        <f t="shared" ca="1" si="298"/>
        <v>0.18229681541364695</v>
      </c>
      <c r="C3906" s="1">
        <f t="shared" ca="1" si="297"/>
        <v>154</v>
      </c>
      <c r="D3906" s="1">
        <f t="shared" ca="1" si="299"/>
        <v>177</v>
      </c>
      <c r="E3906" s="2">
        <f t="shared" ca="1" si="295"/>
        <v>43374</v>
      </c>
      <c r="F3906" s="6">
        <f t="shared" ca="1" si="296"/>
        <v>5.9274906124153635</v>
      </c>
    </row>
    <row r="3907" spans="1:6">
      <c r="A3907" s="1">
        <v>9133015</v>
      </c>
      <c r="B3907">
        <f t="shared" ca="1" si="298"/>
        <v>1.9210793522568159E-2</v>
      </c>
      <c r="C3907" s="1">
        <f t="shared" ca="1" si="297"/>
        <v>67</v>
      </c>
      <c r="D3907" s="1">
        <f t="shared" ca="1" si="299"/>
        <v>259</v>
      </c>
      <c r="E3907" s="2">
        <f t="shared" ref="E3907:E3970" ca="1" si="300">RANDBETWEEN("1/1/17","2/1/19")</f>
        <v>42861</v>
      </c>
      <c r="F3907" s="6">
        <f t="shared" ref="F3907:F3970" ca="1" si="301">_xlfn.GAMMA.INV(RAND(),$J$6,$J$7)*100+3</f>
        <v>3.0649401149075497</v>
      </c>
    </row>
    <row r="3908" spans="1:6">
      <c r="A3908" s="1">
        <v>9133018</v>
      </c>
      <c r="B3908">
        <f t="shared" ca="1" si="298"/>
        <v>0.2536138243070154</v>
      </c>
      <c r="C3908" s="1">
        <f t="shared" ca="1" si="297"/>
        <v>87</v>
      </c>
      <c r="D3908" s="1">
        <f t="shared" ca="1" si="299"/>
        <v>551</v>
      </c>
      <c r="E3908" s="2">
        <f t="shared" ca="1" si="300"/>
        <v>43071</v>
      </c>
      <c r="F3908" s="6">
        <f t="shared" ca="1" si="301"/>
        <v>332.39663628882784</v>
      </c>
    </row>
    <row r="3909" spans="1:6">
      <c r="A3909" s="1">
        <v>9133021</v>
      </c>
      <c r="B3909">
        <f t="shared" ca="1" si="298"/>
        <v>0.70944443877644814</v>
      </c>
      <c r="C3909" s="1">
        <f t="shared" ca="1" si="297"/>
        <v>17</v>
      </c>
      <c r="D3909" s="1">
        <f t="shared" ca="1" si="299"/>
        <v>165</v>
      </c>
      <c r="E3909" s="2">
        <f t="shared" ca="1" si="300"/>
        <v>42862</v>
      </c>
      <c r="F3909" s="6">
        <f t="shared" ca="1" si="301"/>
        <v>3.1583628299375168</v>
      </c>
    </row>
    <row r="3910" spans="1:6">
      <c r="A3910" s="1">
        <v>9133024</v>
      </c>
      <c r="B3910">
        <f t="shared" ca="1" si="298"/>
        <v>0.85012649015591146</v>
      </c>
      <c r="C3910" s="1">
        <f t="shared" ca="1" si="297"/>
        <v>16</v>
      </c>
      <c r="D3910" s="1">
        <f t="shared" ca="1" si="299"/>
        <v>465</v>
      </c>
      <c r="E3910" s="2">
        <f t="shared" ca="1" si="300"/>
        <v>43496</v>
      </c>
      <c r="F3910" s="6">
        <f t="shared" ca="1" si="301"/>
        <v>67.602402143271334</v>
      </c>
    </row>
    <row r="3911" spans="1:6">
      <c r="A3911" s="1">
        <v>9133027</v>
      </c>
      <c r="B3911">
        <f t="shared" ca="1" si="298"/>
        <v>0.33240822146569415</v>
      </c>
      <c r="C3911" s="1">
        <f t="shared" ca="1" si="297"/>
        <v>35</v>
      </c>
      <c r="D3911" s="1">
        <f t="shared" ca="1" si="299"/>
        <v>423</v>
      </c>
      <c r="E3911" s="2">
        <f t="shared" ca="1" si="300"/>
        <v>43144</v>
      </c>
      <c r="F3911" s="6">
        <f t="shared" ca="1" si="301"/>
        <v>11.67979173101901</v>
      </c>
    </row>
    <row r="3912" spans="1:6">
      <c r="A3912" s="1">
        <v>9133030</v>
      </c>
      <c r="B3912">
        <f t="shared" ca="1" si="298"/>
        <v>0.86255645094044597</v>
      </c>
      <c r="C3912" s="1">
        <f t="shared" ca="1" si="297"/>
        <v>81</v>
      </c>
      <c r="D3912" s="1">
        <f t="shared" ca="1" si="299"/>
        <v>119</v>
      </c>
      <c r="E3912" s="2">
        <f t="shared" ca="1" si="300"/>
        <v>43138</v>
      </c>
      <c r="F3912" s="6">
        <f t="shared" ca="1" si="301"/>
        <v>195.70764423635993</v>
      </c>
    </row>
    <row r="3913" spans="1:6">
      <c r="A3913" s="1">
        <v>9133033</v>
      </c>
      <c r="B3913">
        <f t="shared" ca="1" si="298"/>
        <v>0.6844213952345316</v>
      </c>
      <c r="C3913" s="1">
        <f t="shared" ca="1" si="297"/>
        <v>57</v>
      </c>
      <c r="D3913" s="1">
        <f t="shared" ca="1" si="299"/>
        <v>24</v>
      </c>
      <c r="E3913" s="2">
        <f t="shared" ca="1" si="300"/>
        <v>43397</v>
      </c>
      <c r="F3913" s="6">
        <f t="shared" ca="1" si="301"/>
        <v>73.145090362797262</v>
      </c>
    </row>
    <row r="3914" spans="1:6">
      <c r="A3914" s="1">
        <v>9133036</v>
      </c>
      <c r="B3914">
        <f t="shared" ca="1" si="298"/>
        <v>0.59002400849100922</v>
      </c>
      <c r="C3914" s="1">
        <f t="shared" ca="1" si="297"/>
        <v>273</v>
      </c>
      <c r="D3914" s="1">
        <f t="shared" ca="1" si="299"/>
        <v>256</v>
      </c>
      <c r="E3914" s="2">
        <f t="shared" ca="1" si="300"/>
        <v>43330</v>
      </c>
      <c r="F3914" s="6">
        <f t="shared" ca="1" si="301"/>
        <v>5.4409861405260829</v>
      </c>
    </row>
    <row r="3915" spans="1:6">
      <c r="A3915" s="1">
        <v>9133039</v>
      </c>
      <c r="B3915">
        <f t="shared" ca="1" si="298"/>
        <v>8.2748317456285303E-2</v>
      </c>
      <c r="C3915" s="1">
        <f t="shared" ca="1" si="297"/>
        <v>1</v>
      </c>
      <c r="D3915" s="1">
        <f t="shared" ca="1" si="299"/>
        <v>474</v>
      </c>
      <c r="E3915" s="2">
        <f t="shared" ca="1" si="300"/>
        <v>42950</v>
      </c>
      <c r="F3915" s="6">
        <f t="shared" ca="1" si="301"/>
        <v>127.24448405736585</v>
      </c>
    </row>
    <row r="3916" spans="1:6">
      <c r="A3916" s="1">
        <v>9133042</v>
      </c>
      <c r="B3916">
        <f t="shared" ca="1" si="298"/>
        <v>0.14658549576716562</v>
      </c>
      <c r="C3916" s="1">
        <f t="shared" ca="1" si="297"/>
        <v>5</v>
      </c>
      <c r="D3916" s="1">
        <f t="shared" ca="1" si="299"/>
        <v>363</v>
      </c>
      <c r="E3916" s="2">
        <f t="shared" ca="1" si="300"/>
        <v>42990</v>
      </c>
      <c r="F3916" s="6">
        <f t="shared" ca="1" si="301"/>
        <v>3.9340838597562127</v>
      </c>
    </row>
    <row r="3917" spans="1:6">
      <c r="A3917" s="1">
        <v>9133045</v>
      </c>
      <c r="B3917">
        <f t="shared" ca="1" si="298"/>
        <v>0.81483618127512503</v>
      </c>
      <c r="C3917" s="1">
        <f t="shared" ca="1" si="297"/>
        <v>18</v>
      </c>
      <c r="D3917" s="1">
        <f t="shared" ca="1" si="299"/>
        <v>511</v>
      </c>
      <c r="E3917" s="2">
        <f t="shared" ca="1" si="300"/>
        <v>43127</v>
      </c>
      <c r="F3917" s="6">
        <f t="shared" ca="1" si="301"/>
        <v>5.6855268051207783</v>
      </c>
    </row>
    <row r="3918" spans="1:6">
      <c r="A3918" s="1">
        <v>9133048</v>
      </c>
      <c r="B3918">
        <f t="shared" ca="1" si="298"/>
        <v>1.8209249514370085E-2</v>
      </c>
      <c r="C3918" s="1">
        <f t="shared" ca="1" si="297"/>
        <v>13</v>
      </c>
      <c r="D3918" s="1">
        <f t="shared" ca="1" si="299"/>
        <v>80</v>
      </c>
      <c r="E3918" s="2">
        <f t="shared" ca="1" si="300"/>
        <v>42808</v>
      </c>
      <c r="F3918" s="6">
        <f t="shared" ca="1" si="301"/>
        <v>8.1712170972150524</v>
      </c>
    </row>
    <row r="3919" spans="1:6">
      <c r="A3919" s="1">
        <v>9133051</v>
      </c>
      <c r="B3919">
        <f t="shared" ca="1" si="298"/>
        <v>0.60610436138848112</v>
      </c>
      <c r="C3919" s="1">
        <f t="shared" ca="1" si="297"/>
        <v>64</v>
      </c>
      <c r="D3919" s="1">
        <f t="shared" ca="1" si="299"/>
        <v>1</v>
      </c>
      <c r="E3919" s="2">
        <f t="shared" ca="1" si="300"/>
        <v>42885</v>
      </c>
      <c r="F3919" s="6">
        <f t="shared" ca="1" si="301"/>
        <v>54.659495616253061</v>
      </c>
    </row>
    <row r="3920" spans="1:6">
      <c r="A3920" s="1">
        <v>9133054</v>
      </c>
      <c r="B3920">
        <f t="shared" ca="1" si="298"/>
        <v>0.58661953696533564</v>
      </c>
      <c r="C3920" s="1">
        <f t="shared" ca="1" si="297"/>
        <v>246</v>
      </c>
      <c r="D3920" s="1">
        <f t="shared" ca="1" si="299"/>
        <v>285</v>
      </c>
      <c r="E3920" s="2">
        <f t="shared" ca="1" si="300"/>
        <v>43427</v>
      </c>
      <c r="F3920" s="6">
        <f t="shared" ca="1" si="301"/>
        <v>7.0074739594947184</v>
      </c>
    </row>
    <row r="3921" spans="1:6">
      <c r="A3921" s="1">
        <v>9133057</v>
      </c>
      <c r="B3921">
        <f t="shared" ca="1" si="298"/>
        <v>0.53822305149551142</v>
      </c>
      <c r="C3921" s="1">
        <f t="shared" ca="1" si="297"/>
        <v>29</v>
      </c>
      <c r="D3921" s="1">
        <f t="shared" ca="1" si="299"/>
        <v>514</v>
      </c>
      <c r="E3921" s="2">
        <f t="shared" ca="1" si="300"/>
        <v>42863</v>
      </c>
      <c r="F3921" s="6">
        <f t="shared" ca="1" si="301"/>
        <v>19.80568823791954</v>
      </c>
    </row>
    <row r="3922" spans="1:6">
      <c r="A3922" s="1">
        <v>9133060</v>
      </c>
      <c r="B3922">
        <f t="shared" ca="1" si="298"/>
        <v>2.9867678618654692E-2</v>
      </c>
      <c r="C3922" s="1">
        <f t="shared" ca="1" si="297"/>
        <v>12</v>
      </c>
      <c r="D3922" s="1">
        <f t="shared" ca="1" si="299"/>
        <v>292</v>
      </c>
      <c r="E3922" s="2">
        <f t="shared" ca="1" si="300"/>
        <v>42980</v>
      </c>
      <c r="F3922" s="6">
        <f t="shared" ca="1" si="301"/>
        <v>10.075949625485853</v>
      </c>
    </row>
    <row r="3923" spans="1:6">
      <c r="A3923" s="1">
        <v>9133063</v>
      </c>
      <c r="B3923">
        <f t="shared" ca="1" si="298"/>
        <v>3.4264313370306776E-2</v>
      </c>
      <c r="C3923" s="1">
        <f t="shared" ca="1" si="297"/>
        <v>3</v>
      </c>
      <c r="D3923" s="1">
        <f t="shared" ca="1" si="299"/>
        <v>263</v>
      </c>
      <c r="E3923" s="2">
        <f t="shared" ca="1" si="300"/>
        <v>42878</v>
      </c>
      <c r="F3923" s="6">
        <f t="shared" ca="1" si="301"/>
        <v>87.83502209669075</v>
      </c>
    </row>
    <row r="3924" spans="1:6">
      <c r="A3924" s="1">
        <v>9133066</v>
      </c>
      <c r="B3924">
        <f t="shared" ca="1" si="298"/>
        <v>6.0060726559299504E-2</v>
      </c>
      <c r="C3924" s="1">
        <f t="shared" ca="1" si="297"/>
        <v>13</v>
      </c>
      <c r="D3924" s="1">
        <f t="shared" ca="1" si="299"/>
        <v>80</v>
      </c>
      <c r="E3924" s="2">
        <f t="shared" ca="1" si="300"/>
        <v>42966</v>
      </c>
      <c r="F3924" s="6">
        <f t="shared" ca="1" si="301"/>
        <v>4.5413287448688084</v>
      </c>
    </row>
    <row r="3925" spans="1:6">
      <c r="A3925" s="1">
        <v>9133069</v>
      </c>
      <c r="B3925">
        <f t="shared" ca="1" si="298"/>
        <v>0.13449839994250667</v>
      </c>
      <c r="C3925" s="1">
        <f t="shared" ca="1" si="297"/>
        <v>26</v>
      </c>
      <c r="D3925" s="1">
        <f t="shared" ca="1" si="299"/>
        <v>88</v>
      </c>
      <c r="E3925" s="2">
        <f t="shared" ca="1" si="300"/>
        <v>43003</v>
      </c>
      <c r="F3925" s="6">
        <f t="shared" ca="1" si="301"/>
        <v>3.0000201619049078</v>
      </c>
    </row>
    <row r="3926" spans="1:6">
      <c r="A3926" s="1">
        <v>9133072</v>
      </c>
      <c r="B3926">
        <f t="shared" ca="1" si="298"/>
        <v>0.1556720488792348</v>
      </c>
      <c r="C3926" s="1">
        <f t="shared" ca="1" si="297"/>
        <v>5</v>
      </c>
      <c r="D3926" s="1">
        <f t="shared" ca="1" si="299"/>
        <v>363</v>
      </c>
      <c r="E3926" s="2">
        <f t="shared" ca="1" si="300"/>
        <v>42810</v>
      </c>
      <c r="F3926" s="6">
        <f t="shared" ca="1" si="301"/>
        <v>153.5412790393151</v>
      </c>
    </row>
    <row r="3927" spans="1:6">
      <c r="A3927" s="1">
        <v>9133075</v>
      </c>
      <c r="B3927">
        <f t="shared" ca="1" si="298"/>
        <v>0.2659759509652817</v>
      </c>
      <c r="C3927" s="1">
        <f t="shared" ca="1" si="297"/>
        <v>107</v>
      </c>
      <c r="D3927" s="1">
        <f t="shared" ca="1" si="299"/>
        <v>173</v>
      </c>
      <c r="E3927" s="2">
        <f t="shared" ca="1" si="300"/>
        <v>42750</v>
      </c>
      <c r="F3927" s="6">
        <f t="shared" ca="1" si="301"/>
        <v>33.570276711614781</v>
      </c>
    </row>
    <row r="3928" spans="1:6">
      <c r="A3928" s="1">
        <v>9133078</v>
      </c>
      <c r="B3928">
        <f t="shared" ca="1" si="298"/>
        <v>0.60252040870978385</v>
      </c>
      <c r="C3928" s="1">
        <f t="shared" ca="1" si="297"/>
        <v>7</v>
      </c>
      <c r="D3928" s="1">
        <f t="shared" ca="1" si="299"/>
        <v>138</v>
      </c>
      <c r="E3928" s="2">
        <f t="shared" ca="1" si="300"/>
        <v>43213</v>
      </c>
      <c r="F3928" s="6">
        <f t="shared" ca="1" si="301"/>
        <v>6.7707198982686343</v>
      </c>
    </row>
    <row r="3929" spans="1:6">
      <c r="A3929" s="1">
        <v>9133081</v>
      </c>
      <c r="B3929">
        <f t="shared" ca="1" si="298"/>
        <v>0.45792289102550376</v>
      </c>
      <c r="C3929" s="1">
        <f t="shared" ca="1" si="297"/>
        <v>143</v>
      </c>
      <c r="D3929" s="1">
        <f t="shared" ca="1" si="299"/>
        <v>438</v>
      </c>
      <c r="E3929" s="2">
        <f t="shared" ca="1" si="300"/>
        <v>42896</v>
      </c>
      <c r="F3929" s="6">
        <f t="shared" ca="1" si="301"/>
        <v>4.9294885758019715</v>
      </c>
    </row>
    <row r="3930" spans="1:6">
      <c r="A3930" s="1">
        <v>9133084</v>
      </c>
      <c r="B3930">
        <f t="shared" ca="1" si="298"/>
        <v>0.72351651480021495</v>
      </c>
      <c r="C3930" s="1">
        <f t="shared" ca="1" si="297"/>
        <v>1</v>
      </c>
      <c r="D3930" s="1">
        <f t="shared" ca="1" si="299"/>
        <v>474</v>
      </c>
      <c r="E3930" s="2">
        <f t="shared" ca="1" si="300"/>
        <v>42989</v>
      </c>
      <c r="F3930" s="6">
        <f t="shared" ca="1" si="301"/>
        <v>6.2560987065993947</v>
      </c>
    </row>
    <row r="3931" spans="1:6">
      <c r="A3931" s="1">
        <v>9133087</v>
      </c>
      <c r="B3931">
        <f t="shared" ca="1" si="298"/>
        <v>0.80573157396558548</v>
      </c>
      <c r="C3931" s="1">
        <f t="shared" ref="C3931:C3994" ca="1" si="302">ROUND(_xlfn.GAMMA.INV(RAND(),$J$11,$J$12)*100,0)+1</f>
        <v>17</v>
      </c>
      <c r="D3931" s="1">
        <f t="shared" ca="1" si="299"/>
        <v>165</v>
      </c>
      <c r="E3931" s="2">
        <f t="shared" ca="1" si="300"/>
        <v>42757</v>
      </c>
      <c r="F3931" s="6">
        <f t="shared" ca="1" si="301"/>
        <v>34.293681723305468</v>
      </c>
    </row>
    <row r="3932" spans="1:6">
      <c r="A3932" s="1">
        <v>9133090</v>
      </c>
      <c r="B3932">
        <f t="shared" ca="1" si="298"/>
        <v>0.25317199461037354</v>
      </c>
      <c r="C3932" s="1">
        <f t="shared" ca="1" si="302"/>
        <v>2</v>
      </c>
      <c r="D3932" s="1">
        <f t="shared" ca="1" si="299"/>
        <v>30</v>
      </c>
      <c r="E3932" s="2">
        <f t="shared" ca="1" si="300"/>
        <v>43366</v>
      </c>
      <c r="F3932" s="6">
        <f t="shared" ca="1" si="301"/>
        <v>12.223967351327374</v>
      </c>
    </row>
    <row r="3933" spans="1:6">
      <c r="A3933" s="1">
        <v>9133093</v>
      </c>
      <c r="B3933">
        <f t="shared" ca="1" si="298"/>
        <v>0.27815602468661127</v>
      </c>
      <c r="C3933" s="1">
        <f t="shared" ca="1" si="302"/>
        <v>41</v>
      </c>
      <c r="D3933" s="1">
        <f t="shared" ca="1" si="299"/>
        <v>37</v>
      </c>
      <c r="E3933" s="2">
        <f t="shared" ca="1" si="300"/>
        <v>43378</v>
      </c>
      <c r="F3933" s="6">
        <f t="shared" ca="1" si="301"/>
        <v>114.30707331445041</v>
      </c>
    </row>
    <row r="3934" spans="1:6">
      <c r="A3934" s="1">
        <v>9133096</v>
      </c>
      <c r="B3934">
        <f t="shared" ca="1" si="298"/>
        <v>0.28550586277358636</v>
      </c>
      <c r="C3934" s="1">
        <f t="shared" ca="1" si="302"/>
        <v>80</v>
      </c>
      <c r="D3934" s="1">
        <f t="shared" ca="1" si="299"/>
        <v>163</v>
      </c>
      <c r="E3934" s="2">
        <f t="shared" ca="1" si="300"/>
        <v>43404</v>
      </c>
      <c r="F3934" s="6">
        <f t="shared" ca="1" si="301"/>
        <v>42.109604379893568</v>
      </c>
    </row>
    <row r="3935" spans="1:6">
      <c r="A3935" s="1">
        <v>9133099</v>
      </c>
      <c r="B3935">
        <f t="shared" ca="1" si="298"/>
        <v>0.70721829001494496</v>
      </c>
      <c r="C3935" s="1">
        <f t="shared" ca="1" si="302"/>
        <v>46</v>
      </c>
      <c r="D3935" s="1">
        <f t="shared" ca="1" si="299"/>
        <v>192</v>
      </c>
      <c r="E3935" s="2">
        <f t="shared" ca="1" si="300"/>
        <v>42764</v>
      </c>
      <c r="F3935" s="6">
        <f t="shared" ca="1" si="301"/>
        <v>3.1432587721772967</v>
      </c>
    </row>
    <row r="3936" spans="1:6">
      <c r="A3936" s="1">
        <v>9133102</v>
      </c>
      <c r="B3936">
        <f t="shared" ca="1" si="298"/>
        <v>0.66976317254212214</v>
      </c>
      <c r="C3936" s="1">
        <f t="shared" ca="1" si="302"/>
        <v>38</v>
      </c>
      <c r="D3936" s="1">
        <f t="shared" ca="1" si="299"/>
        <v>400</v>
      </c>
      <c r="E3936" s="2">
        <f t="shared" ca="1" si="300"/>
        <v>42852</v>
      </c>
      <c r="F3936" s="6">
        <f t="shared" ca="1" si="301"/>
        <v>14.678838120330285</v>
      </c>
    </row>
    <row r="3937" spans="1:6">
      <c r="A3937" s="1">
        <v>9133105</v>
      </c>
      <c r="B3937">
        <f t="shared" ca="1" si="298"/>
        <v>0.34666445622549036</v>
      </c>
      <c r="C3937" s="1">
        <f t="shared" ca="1" si="302"/>
        <v>54</v>
      </c>
      <c r="D3937" s="1">
        <f t="shared" ca="1" si="299"/>
        <v>168</v>
      </c>
      <c r="E3937" s="2">
        <f t="shared" ca="1" si="300"/>
        <v>42801</v>
      </c>
      <c r="F3937" s="6">
        <f t="shared" ca="1" si="301"/>
        <v>33.560442041710246</v>
      </c>
    </row>
    <row r="3938" spans="1:6">
      <c r="A3938" s="1">
        <v>9133108</v>
      </c>
      <c r="B3938">
        <f t="shared" ca="1" si="298"/>
        <v>6.5177967181877627E-2</v>
      </c>
      <c r="C3938" s="1">
        <f t="shared" ca="1" si="302"/>
        <v>38</v>
      </c>
      <c r="D3938" s="1">
        <f t="shared" ca="1" si="299"/>
        <v>400</v>
      </c>
      <c r="E3938" s="2">
        <f t="shared" ca="1" si="300"/>
        <v>43229</v>
      </c>
      <c r="F3938" s="6">
        <f t="shared" ca="1" si="301"/>
        <v>6.2880476769679383</v>
      </c>
    </row>
    <row r="3939" spans="1:6">
      <c r="A3939" s="1">
        <v>9133111</v>
      </c>
      <c r="B3939">
        <f t="shared" ca="1" si="298"/>
        <v>0.91952510870622517</v>
      </c>
      <c r="C3939" s="1">
        <f t="shared" ca="1" si="302"/>
        <v>41</v>
      </c>
      <c r="D3939" s="1">
        <f t="shared" ca="1" si="299"/>
        <v>37</v>
      </c>
      <c r="E3939" s="2">
        <f t="shared" ca="1" si="300"/>
        <v>43485</v>
      </c>
      <c r="F3939" s="6">
        <f t="shared" ca="1" si="301"/>
        <v>4.5489960107087857</v>
      </c>
    </row>
    <row r="3940" spans="1:6">
      <c r="A3940" s="1">
        <v>9133114</v>
      </c>
      <c r="B3940">
        <f t="shared" ca="1" si="298"/>
        <v>0.58245031303578365</v>
      </c>
      <c r="C3940" s="1">
        <f t="shared" ca="1" si="302"/>
        <v>70</v>
      </c>
      <c r="D3940" s="1">
        <f t="shared" ca="1" si="299"/>
        <v>82</v>
      </c>
      <c r="E3940" s="2">
        <f t="shared" ca="1" si="300"/>
        <v>43436</v>
      </c>
      <c r="F3940" s="6">
        <f t="shared" ca="1" si="301"/>
        <v>3.313125368375692</v>
      </c>
    </row>
    <row r="3941" spans="1:6">
      <c r="A3941" s="1">
        <v>9133117</v>
      </c>
      <c r="B3941">
        <f t="shared" ca="1" si="298"/>
        <v>0.11856962463202525</v>
      </c>
      <c r="C3941" s="1">
        <f t="shared" ca="1" si="302"/>
        <v>247</v>
      </c>
      <c r="D3941" s="1">
        <f t="shared" ca="1" si="299"/>
        <v>538</v>
      </c>
      <c r="E3941" s="2">
        <f t="shared" ca="1" si="300"/>
        <v>43004</v>
      </c>
      <c r="F3941" s="6">
        <f t="shared" ca="1" si="301"/>
        <v>95.682231390952481</v>
      </c>
    </row>
    <row r="3942" spans="1:6">
      <c r="A3942" s="1">
        <v>9133120</v>
      </c>
      <c r="B3942">
        <f t="shared" ca="1" si="298"/>
        <v>0.35494800213989097</v>
      </c>
      <c r="C3942" s="1">
        <f t="shared" ca="1" si="302"/>
        <v>58</v>
      </c>
      <c r="D3942" s="1">
        <f t="shared" ca="1" si="299"/>
        <v>19</v>
      </c>
      <c r="E3942" s="2">
        <f t="shared" ca="1" si="300"/>
        <v>43006</v>
      </c>
      <c r="F3942" s="6">
        <f t="shared" ca="1" si="301"/>
        <v>12.160890079662529</v>
      </c>
    </row>
    <row r="3943" spans="1:6">
      <c r="A3943" s="1">
        <v>9133123</v>
      </c>
      <c r="B3943">
        <f t="shared" ca="1" si="298"/>
        <v>0.65253276865727683</v>
      </c>
      <c r="C3943" s="1">
        <f t="shared" ca="1" si="302"/>
        <v>10</v>
      </c>
      <c r="D3943" s="1">
        <f t="shared" ca="1" si="299"/>
        <v>236</v>
      </c>
      <c r="E3943" s="2">
        <f t="shared" ca="1" si="300"/>
        <v>43211</v>
      </c>
      <c r="F3943" s="6">
        <f t="shared" ca="1" si="301"/>
        <v>16.529345492624017</v>
      </c>
    </row>
    <row r="3944" spans="1:6">
      <c r="A3944" s="1">
        <v>9133126</v>
      </c>
      <c r="B3944">
        <f t="shared" ca="1" si="298"/>
        <v>0.52039778460627517</v>
      </c>
      <c r="C3944" s="1">
        <f t="shared" ca="1" si="302"/>
        <v>12</v>
      </c>
      <c r="D3944" s="1">
        <f t="shared" ca="1" si="299"/>
        <v>292</v>
      </c>
      <c r="E3944" s="2">
        <f t="shared" ca="1" si="300"/>
        <v>43364</v>
      </c>
      <c r="F3944" s="6">
        <f t="shared" ca="1" si="301"/>
        <v>26.61356768637139</v>
      </c>
    </row>
    <row r="3945" spans="1:6">
      <c r="A3945" s="1">
        <v>9133129</v>
      </c>
      <c r="B3945">
        <f t="shared" ca="1" si="298"/>
        <v>0.33191710742070357</v>
      </c>
      <c r="C3945" s="1">
        <f t="shared" ca="1" si="302"/>
        <v>38</v>
      </c>
      <c r="D3945" s="1">
        <f t="shared" ca="1" si="299"/>
        <v>400</v>
      </c>
      <c r="E3945" s="2">
        <f t="shared" ca="1" si="300"/>
        <v>43109</v>
      </c>
      <c r="F3945" s="6">
        <f t="shared" ca="1" si="301"/>
        <v>58.384669618923766</v>
      </c>
    </row>
    <row r="3946" spans="1:6">
      <c r="A3946" s="1">
        <v>9133132</v>
      </c>
      <c r="B3946">
        <f t="shared" ca="1" si="298"/>
        <v>0.25520632334095095</v>
      </c>
      <c r="C3946" s="1">
        <f t="shared" ca="1" si="302"/>
        <v>2</v>
      </c>
      <c r="D3946" s="1">
        <f t="shared" ca="1" si="299"/>
        <v>30</v>
      </c>
      <c r="E3946" s="2">
        <f t="shared" ca="1" si="300"/>
        <v>43195</v>
      </c>
      <c r="F3946" s="6">
        <f t="shared" ca="1" si="301"/>
        <v>5.786992596036681</v>
      </c>
    </row>
    <row r="3947" spans="1:6">
      <c r="A3947" s="1">
        <v>9133135</v>
      </c>
      <c r="B3947">
        <f t="shared" ca="1" si="298"/>
        <v>0.26187423087619088</v>
      </c>
      <c r="C3947" s="1">
        <f t="shared" ca="1" si="302"/>
        <v>168</v>
      </c>
      <c r="D3947" s="1">
        <f t="shared" ca="1" si="299"/>
        <v>125</v>
      </c>
      <c r="E3947" s="2">
        <f t="shared" ca="1" si="300"/>
        <v>42940</v>
      </c>
      <c r="F3947" s="6">
        <f t="shared" ca="1" si="301"/>
        <v>4.1337571801348485</v>
      </c>
    </row>
    <row r="3948" spans="1:6">
      <c r="A3948" s="1">
        <v>9133138</v>
      </c>
      <c r="B3948">
        <f t="shared" ca="1" si="298"/>
        <v>0.2716279194425345</v>
      </c>
      <c r="C3948" s="1">
        <f t="shared" ca="1" si="302"/>
        <v>11</v>
      </c>
      <c r="D3948" s="1">
        <f t="shared" ca="1" si="299"/>
        <v>437</v>
      </c>
      <c r="E3948" s="2">
        <f t="shared" ca="1" si="300"/>
        <v>43082</v>
      </c>
      <c r="F3948" s="6">
        <f t="shared" ca="1" si="301"/>
        <v>15.920746092460314</v>
      </c>
    </row>
    <row r="3949" spans="1:6">
      <c r="A3949" s="1">
        <v>9133141</v>
      </c>
      <c r="B3949">
        <f t="shared" ca="1" si="298"/>
        <v>0.87150617174275957</v>
      </c>
      <c r="C3949" s="1">
        <f t="shared" ca="1" si="302"/>
        <v>31</v>
      </c>
      <c r="D3949" s="1">
        <f t="shared" ca="1" si="299"/>
        <v>535</v>
      </c>
      <c r="E3949" s="2">
        <f t="shared" ca="1" si="300"/>
        <v>42898</v>
      </c>
      <c r="F3949" s="6">
        <f t="shared" ca="1" si="301"/>
        <v>3.3730726943269747</v>
      </c>
    </row>
    <row r="3950" spans="1:6">
      <c r="A3950" s="1">
        <v>9133144</v>
      </c>
      <c r="B3950">
        <f t="shared" ca="1" si="298"/>
        <v>0.65877219327822589</v>
      </c>
      <c r="C3950" s="1">
        <f t="shared" ca="1" si="302"/>
        <v>103</v>
      </c>
      <c r="D3950" s="1">
        <f t="shared" ca="1" si="299"/>
        <v>55</v>
      </c>
      <c r="E3950" s="2">
        <f t="shared" ca="1" si="300"/>
        <v>43368</v>
      </c>
      <c r="F3950" s="6">
        <f t="shared" ca="1" si="301"/>
        <v>35.420148167133824</v>
      </c>
    </row>
    <row r="3951" spans="1:6">
      <c r="A3951" s="1">
        <v>9133147</v>
      </c>
      <c r="B3951">
        <f t="shared" ca="1" si="298"/>
        <v>5.4384962563756023E-3</v>
      </c>
      <c r="C3951" s="1">
        <f t="shared" ca="1" si="302"/>
        <v>87</v>
      </c>
      <c r="D3951" s="1">
        <f t="shared" ca="1" si="299"/>
        <v>551</v>
      </c>
      <c r="E3951" s="2">
        <f t="shared" ca="1" si="300"/>
        <v>43468</v>
      </c>
      <c r="F3951" s="6">
        <f t="shared" ca="1" si="301"/>
        <v>10.623041243706968</v>
      </c>
    </row>
    <row r="3952" spans="1:6">
      <c r="A3952" s="1">
        <v>9133150</v>
      </c>
      <c r="B3952">
        <f t="shared" ca="1" si="298"/>
        <v>0.77287208643350569</v>
      </c>
      <c r="C3952" s="1">
        <f t="shared" ca="1" si="302"/>
        <v>94</v>
      </c>
      <c r="D3952" s="1">
        <f t="shared" ca="1" si="299"/>
        <v>87</v>
      </c>
      <c r="E3952" s="2">
        <f t="shared" ca="1" si="300"/>
        <v>42987</v>
      </c>
      <c r="F3952" s="6">
        <f t="shared" ca="1" si="301"/>
        <v>10.214331848294991</v>
      </c>
    </row>
    <row r="3953" spans="1:6">
      <c r="A3953" s="1">
        <v>9133153</v>
      </c>
      <c r="B3953">
        <f t="shared" ca="1" si="298"/>
        <v>0.46737165463339037</v>
      </c>
      <c r="C3953" s="1">
        <f t="shared" ca="1" si="302"/>
        <v>80</v>
      </c>
      <c r="D3953" s="1">
        <f t="shared" ca="1" si="299"/>
        <v>163</v>
      </c>
      <c r="E3953" s="2">
        <f t="shared" ca="1" si="300"/>
        <v>42918</v>
      </c>
      <c r="F3953" s="6">
        <f t="shared" ca="1" si="301"/>
        <v>11.050952337593296</v>
      </c>
    </row>
    <row r="3954" spans="1:6">
      <c r="A3954" s="1">
        <v>9133156</v>
      </c>
      <c r="B3954">
        <f t="shared" ca="1" si="298"/>
        <v>0.12164291561527951</v>
      </c>
      <c r="C3954" s="1">
        <f t="shared" ca="1" si="302"/>
        <v>280</v>
      </c>
      <c r="D3954" s="1">
        <f t="shared" ca="1" si="299"/>
        <v>246</v>
      </c>
      <c r="E3954" s="2">
        <f t="shared" ca="1" si="300"/>
        <v>43179</v>
      </c>
      <c r="F3954" s="6">
        <f t="shared" ca="1" si="301"/>
        <v>16.579449094757926</v>
      </c>
    </row>
    <row r="3955" spans="1:6">
      <c r="A3955" s="1">
        <v>9133159</v>
      </c>
      <c r="B3955">
        <f t="shared" ca="1" si="298"/>
        <v>0.99176218025528362</v>
      </c>
      <c r="C3955" s="1">
        <f t="shared" ca="1" si="302"/>
        <v>99</v>
      </c>
      <c r="D3955" s="1">
        <f t="shared" ca="1" si="299"/>
        <v>464</v>
      </c>
      <c r="E3955" s="2">
        <f t="shared" ca="1" si="300"/>
        <v>43435</v>
      </c>
      <c r="F3955" s="6">
        <f t="shared" ca="1" si="301"/>
        <v>12.791974964583808</v>
      </c>
    </row>
    <row r="3956" spans="1:6">
      <c r="A3956" s="1">
        <v>9133162</v>
      </c>
      <c r="B3956">
        <f t="shared" ca="1" si="298"/>
        <v>0.33601991871263992</v>
      </c>
      <c r="C3956" s="1">
        <f t="shared" ca="1" si="302"/>
        <v>49</v>
      </c>
      <c r="D3956" s="1">
        <f t="shared" ca="1" si="299"/>
        <v>26</v>
      </c>
      <c r="E3956" s="2">
        <f t="shared" ca="1" si="300"/>
        <v>43440</v>
      </c>
      <c r="F3956" s="6">
        <f t="shared" ca="1" si="301"/>
        <v>124.13258022428717</v>
      </c>
    </row>
    <row r="3957" spans="1:6">
      <c r="A3957" s="1">
        <v>9133165</v>
      </c>
      <c r="B3957">
        <f t="shared" ca="1" si="298"/>
        <v>0.52494056382505527</v>
      </c>
      <c r="C3957" s="1">
        <f t="shared" ca="1" si="302"/>
        <v>27</v>
      </c>
      <c r="D3957" s="1">
        <f t="shared" ca="1" si="299"/>
        <v>398</v>
      </c>
      <c r="E3957" s="2">
        <f t="shared" ca="1" si="300"/>
        <v>43336</v>
      </c>
      <c r="F3957" s="6">
        <f t="shared" ca="1" si="301"/>
        <v>31.812687003212574</v>
      </c>
    </row>
    <row r="3958" spans="1:6">
      <c r="A3958" s="1">
        <v>9133168</v>
      </c>
      <c r="B3958">
        <f t="shared" ca="1" si="298"/>
        <v>0.84095735591724352</v>
      </c>
      <c r="C3958" s="1">
        <f t="shared" ca="1" si="302"/>
        <v>35</v>
      </c>
      <c r="D3958" s="1">
        <f t="shared" ca="1" si="299"/>
        <v>423</v>
      </c>
      <c r="E3958" s="2">
        <f t="shared" ca="1" si="300"/>
        <v>43420</v>
      </c>
      <c r="F3958" s="6">
        <f t="shared" ca="1" si="301"/>
        <v>139.20564413840674</v>
      </c>
    </row>
    <row r="3959" spans="1:6">
      <c r="A3959" s="1">
        <v>9133171</v>
      </c>
      <c r="B3959">
        <f t="shared" ca="1" si="298"/>
        <v>0.54340528941078925</v>
      </c>
      <c r="C3959" s="1">
        <f t="shared" ca="1" si="302"/>
        <v>40</v>
      </c>
      <c r="D3959" s="1">
        <f t="shared" ca="1" si="299"/>
        <v>426</v>
      </c>
      <c r="E3959" s="2">
        <f t="shared" ca="1" si="300"/>
        <v>43433</v>
      </c>
      <c r="F3959" s="6">
        <f t="shared" ca="1" si="301"/>
        <v>34.279870517053126</v>
      </c>
    </row>
    <row r="3960" spans="1:6">
      <c r="A3960" s="1">
        <v>9133174</v>
      </c>
      <c r="B3960">
        <f t="shared" ca="1" si="298"/>
        <v>3.1759915237730807E-2</v>
      </c>
      <c r="C3960" s="1">
        <f t="shared" ca="1" si="302"/>
        <v>178</v>
      </c>
      <c r="D3960" s="1">
        <f t="shared" ca="1" si="299"/>
        <v>390</v>
      </c>
      <c r="E3960" s="2">
        <f t="shared" ca="1" si="300"/>
        <v>43209</v>
      </c>
      <c r="F3960" s="6">
        <f t="shared" ca="1" si="301"/>
        <v>180.47393142005515</v>
      </c>
    </row>
    <row r="3961" spans="1:6">
      <c r="A3961" s="1">
        <v>9133177</v>
      </c>
      <c r="B3961">
        <f t="shared" ca="1" si="298"/>
        <v>0.90469569477968859</v>
      </c>
      <c r="C3961" s="1">
        <f t="shared" ca="1" si="302"/>
        <v>128</v>
      </c>
      <c r="D3961" s="1">
        <f t="shared" ca="1" si="299"/>
        <v>317</v>
      </c>
      <c r="E3961" s="2">
        <f t="shared" ca="1" si="300"/>
        <v>43204</v>
      </c>
      <c r="F3961" s="6">
        <f t="shared" ca="1" si="301"/>
        <v>22.142031586027617</v>
      </c>
    </row>
    <row r="3962" spans="1:6">
      <c r="A3962" s="1">
        <v>9133180</v>
      </c>
      <c r="B3962">
        <f t="shared" ca="1" si="298"/>
        <v>0.34533900440193199</v>
      </c>
      <c r="C3962" s="1">
        <f t="shared" ca="1" si="302"/>
        <v>130</v>
      </c>
      <c r="D3962" s="1">
        <f t="shared" ca="1" si="299"/>
        <v>385</v>
      </c>
      <c r="E3962" s="2">
        <f t="shared" ca="1" si="300"/>
        <v>43397</v>
      </c>
      <c r="F3962" s="6">
        <f t="shared" ca="1" si="301"/>
        <v>13.72441389972945</v>
      </c>
    </row>
    <row r="3963" spans="1:6">
      <c r="A3963" s="1">
        <v>9133183</v>
      </c>
      <c r="B3963">
        <f t="shared" ca="1" si="298"/>
        <v>0.54465269857278131</v>
      </c>
      <c r="C3963" s="1">
        <f t="shared" ca="1" si="302"/>
        <v>106</v>
      </c>
      <c r="D3963" s="1">
        <f t="shared" ca="1" si="299"/>
        <v>238</v>
      </c>
      <c r="E3963" s="2">
        <f t="shared" ca="1" si="300"/>
        <v>42919</v>
      </c>
      <c r="F3963" s="6">
        <f t="shared" ca="1" si="301"/>
        <v>12.111864033293944</v>
      </c>
    </row>
    <row r="3964" spans="1:6">
      <c r="A3964" s="1">
        <v>9133186</v>
      </c>
      <c r="B3964">
        <f t="shared" ref="B3964:B4000" ca="1" si="303">RAND()</f>
        <v>0.88514520017380249</v>
      </c>
      <c r="C3964" s="1">
        <f t="shared" ca="1" si="302"/>
        <v>6</v>
      </c>
      <c r="D3964" s="1">
        <f t="shared" ref="D3964:D4000" ca="1" si="304">VLOOKUP(SMALL($B$2:$B$601,C3964),$B$2:$C$601,2,FALSE)</f>
        <v>208</v>
      </c>
      <c r="E3964" s="2">
        <f t="shared" ca="1" si="300"/>
        <v>42762</v>
      </c>
      <c r="F3964" s="6">
        <f t="shared" ca="1" si="301"/>
        <v>142.34066892556726</v>
      </c>
    </row>
    <row r="3965" spans="1:6">
      <c r="A3965" s="1">
        <v>9133189</v>
      </c>
      <c r="B3965">
        <f t="shared" ca="1" si="303"/>
        <v>0.84344376171025426</v>
      </c>
      <c r="C3965" s="1">
        <f t="shared" ca="1" si="302"/>
        <v>28</v>
      </c>
      <c r="D3965" s="1">
        <f t="shared" ca="1" si="304"/>
        <v>401</v>
      </c>
      <c r="E3965" s="2">
        <f t="shared" ca="1" si="300"/>
        <v>43475</v>
      </c>
      <c r="F3965" s="6">
        <f t="shared" ca="1" si="301"/>
        <v>6.8731055584233607</v>
      </c>
    </row>
    <row r="3966" spans="1:6">
      <c r="A3966" s="1">
        <v>9133192</v>
      </c>
      <c r="B3966">
        <f t="shared" ca="1" si="303"/>
        <v>0.77877370577731542</v>
      </c>
      <c r="C3966" s="1">
        <f t="shared" ca="1" si="302"/>
        <v>6</v>
      </c>
      <c r="D3966" s="1">
        <f t="shared" ca="1" si="304"/>
        <v>208</v>
      </c>
      <c r="E3966" s="2">
        <f t="shared" ca="1" si="300"/>
        <v>43491</v>
      </c>
      <c r="F3966" s="6">
        <f t="shared" ca="1" si="301"/>
        <v>45.124516282522109</v>
      </c>
    </row>
    <row r="3967" spans="1:6">
      <c r="A3967" s="1">
        <v>9133195</v>
      </c>
      <c r="B3967">
        <f t="shared" ca="1" si="303"/>
        <v>0.18028068903219652</v>
      </c>
      <c r="C3967" s="1">
        <f t="shared" ca="1" si="302"/>
        <v>4</v>
      </c>
      <c r="D3967" s="1">
        <f t="shared" ca="1" si="304"/>
        <v>493</v>
      </c>
      <c r="E3967" s="2">
        <f t="shared" ca="1" si="300"/>
        <v>42919</v>
      </c>
      <c r="F3967" s="6">
        <f t="shared" ca="1" si="301"/>
        <v>27.807745798005456</v>
      </c>
    </row>
    <row r="3968" spans="1:6">
      <c r="A3968" s="1">
        <v>9133198</v>
      </c>
      <c r="B3968">
        <f t="shared" ca="1" si="303"/>
        <v>0.23142997150289457</v>
      </c>
      <c r="C3968" s="1">
        <f t="shared" ca="1" si="302"/>
        <v>11</v>
      </c>
      <c r="D3968" s="1">
        <f t="shared" ca="1" si="304"/>
        <v>437</v>
      </c>
      <c r="E3968" s="2">
        <f t="shared" ca="1" si="300"/>
        <v>43162</v>
      </c>
      <c r="F3968" s="6">
        <f t="shared" ca="1" si="301"/>
        <v>68.683790504177992</v>
      </c>
    </row>
    <row r="3969" spans="1:6">
      <c r="A3969" s="1">
        <v>9133201</v>
      </c>
      <c r="B3969">
        <f t="shared" ca="1" si="303"/>
        <v>8.928257712110188E-2</v>
      </c>
      <c r="C3969" s="1">
        <f t="shared" ca="1" si="302"/>
        <v>81</v>
      </c>
      <c r="D3969" s="1">
        <f t="shared" ca="1" si="304"/>
        <v>119</v>
      </c>
      <c r="E3969" s="2">
        <f t="shared" ca="1" si="300"/>
        <v>43394</v>
      </c>
      <c r="F3969" s="6">
        <f t="shared" ca="1" si="301"/>
        <v>7.5885614811510491</v>
      </c>
    </row>
    <row r="3970" spans="1:6">
      <c r="A3970" s="1">
        <v>9133204</v>
      </c>
      <c r="B3970">
        <f t="shared" ca="1" si="303"/>
        <v>0.12019410838262479</v>
      </c>
      <c r="C3970" s="1">
        <f t="shared" ca="1" si="302"/>
        <v>5</v>
      </c>
      <c r="D3970" s="1">
        <f t="shared" ca="1" si="304"/>
        <v>363</v>
      </c>
      <c r="E3970" s="2">
        <f t="shared" ca="1" si="300"/>
        <v>42876</v>
      </c>
      <c r="F3970" s="6">
        <f t="shared" ca="1" si="301"/>
        <v>4.1098392801980097</v>
      </c>
    </row>
    <row r="3971" spans="1:6">
      <c r="A3971" s="1">
        <v>9133207</v>
      </c>
      <c r="B3971">
        <f t="shared" ca="1" si="303"/>
        <v>0.75595647583599268</v>
      </c>
      <c r="C3971" s="1">
        <f t="shared" ca="1" si="302"/>
        <v>57</v>
      </c>
      <c r="D3971" s="1">
        <f t="shared" ca="1" si="304"/>
        <v>24</v>
      </c>
      <c r="E3971" s="2">
        <f t="shared" ref="E3971:E4000" ca="1" si="305">RANDBETWEEN("1/1/17","2/1/19")</f>
        <v>43115</v>
      </c>
      <c r="F3971" s="6">
        <f t="shared" ref="F3971:F4000" ca="1" si="306">_xlfn.GAMMA.INV(RAND(),$J$6,$J$7)*100+3</f>
        <v>65.733270080200668</v>
      </c>
    </row>
    <row r="3972" spans="1:6">
      <c r="A3972" s="1">
        <v>9133210</v>
      </c>
      <c r="B3972">
        <f t="shared" ca="1" si="303"/>
        <v>0.46295720573854604</v>
      </c>
      <c r="C3972" s="1">
        <f t="shared" ca="1" si="302"/>
        <v>15</v>
      </c>
      <c r="D3972" s="1">
        <f t="shared" ca="1" si="304"/>
        <v>284</v>
      </c>
      <c r="E3972" s="2">
        <f t="shared" ca="1" si="305"/>
        <v>42877</v>
      </c>
      <c r="F3972" s="6">
        <f t="shared" ca="1" si="306"/>
        <v>19.44397871930288</v>
      </c>
    </row>
    <row r="3973" spans="1:6">
      <c r="A3973" s="1">
        <v>9133213</v>
      </c>
      <c r="B3973">
        <f t="shared" ca="1" si="303"/>
        <v>0.71446073325571258</v>
      </c>
      <c r="C3973" s="1">
        <f t="shared" ca="1" si="302"/>
        <v>13</v>
      </c>
      <c r="D3973" s="1">
        <f t="shared" ca="1" si="304"/>
        <v>80</v>
      </c>
      <c r="E3973" s="2">
        <f t="shared" ca="1" si="305"/>
        <v>43131</v>
      </c>
      <c r="F3973" s="6">
        <f t="shared" ca="1" si="306"/>
        <v>31.884670572306014</v>
      </c>
    </row>
    <row r="3974" spans="1:6">
      <c r="A3974" s="1">
        <v>9133216</v>
      </c>
      <c r="B3974">
        <f t="shared" ca="1" si="303"/>
        <v>0.3628190621764269</v>
      </c>
      <c r="C3974" s="1">
        <f t="shared" ca="1" si="302"/>
        <v>151</v>
      </c>
      <c r="D3974" s="1">
        <f t="shared" ca="1" si="304"/>
        <v>512</v>
      </c>
      <c r="E3974" s="2">
        <f t="shared" ca="1" si="305"/>
        <v>43082</v>
      </c>
      <c r="F3974" s="6">
        <f t="shared" ca="1" si="306"/>
        <v>28.501321538494793</v>
      </c>
    </row>
    <row r="3975" spans="1:6">
      <c r="A3975" s="1">
        <v>9133219</v>
      </c>
      <c r="B3975">
        <f t="shared" ca="1" si="303"/>
        <v>0.82207417743614519</v>
      </c>
      <c r="C3975" s="1">
        <f t="shared" ca="1" si="302"/>
        <v>4</v>
      </c>
      <c r="D3975" s="1">
        <f t="shared" ca="1" si="304"/>
        <v>493</v>
      </c>
      <c r="E3975" s="2">
        <f t="shared" ca="1" si="305"/>
        <v>43438</v>
      </c>
      <c r="F3975" s="6">
        <f t="shared" ca="1" si="306"/>
        <v>87.336025467565321</v>
      </c>
    </row>
    <row r="3976" spans="1:6">
      <c r="A3976" s="1">
        <v>9133222</v>
      </c>
      <c r="B3976">
        <f t="shared" ca="1" si="303"/>
        <v>0.45808621115283399</v>
      </c>
      <c r="C3976" s="1">
        <f t="shared" ca="1" si="302"/>
        <v>8</v>
      </c>
      <c r="D3976" s="1">
        <f t="shared" ca="1" si="304"/>
        <v>456</v>
      </c>
      <c r="E3976" s="2">
        <f t="shared" ca="1" si="305"/>
        <v>43174</v>
      </c>
      <c r="F3976" s="6">
        <f t="shared" ca="1" si="306"/>
        <v>30.735354326829846</v>
      </c>
    </row>
    <row r="3977" spans="1:6">
      <c r="A3977" s="1">
        <v>9133225</v>
      </c>
      <c r="B3977">
        <f t="shared" ca="1" si="303"/>
        <v>0.67543943822488461</v>
      </c>
      <c r="C3977" s="1">
        <f t="shared" ca="1" si="302"/>
        <v>118</v>
      </c>
      <c r="D3977" s="1">
        <f t="shared" ca="1" si="304"/>
        <v>172</v>
      </c>
      <c r="E3977" s="2">
        <f t="shared" ca="1" si="305"/>
        <v>42828</v>
      </c>
      <c r="F3977" s="6">
        <f t="shared" ca="1" si="306"/>
        <v>3.1616678439179022</v>
      </c>
    </row>
    <row r="3978" spans="1:6">
      <c r="A3978" s="1">
        <v>9133228</v>
      </c>
      <c r="B3978">
        <f t="shared" ca="1" si="303"/>
        <v>0.38370609114800402</v>
      </c>
      <c r="C3978" s="1">
        <f t="shared" ca="1" si="302"/>
        <v>3</v>
      </c>
      <c r="D3978" s="1">
        <f t="shared" ca="1" si="304"/>
        <v>263</v>
      </c>
      <c r="E3978" s="2">
        <f t="shared" ca="1" si="305"/>
        <v>42781</v>
      </c>
      <c r="F3978" s="6">
        <f t="shared" ca="1" si="306"/>
        <v>50.777036013590234</v>
      </c>
    </row>
    <row r="3979" spans="1:6">
      <c r="A3979" s="1">
        <v>9133231</v>
      </c>
      <c r="B3979">
        <f t="shared" ca="1" si="303"/>
        <v>0.70804900008909089</v>
      </c>
      <c r="C3979" s="1">
        <f t="shared" ca="1" si="302"/>
        <v>57</v>
      </c>
      <c r="D3979" s="1">
        <f t="shared" ca="1" si="304"/>
        <v>24</v>
      </c>
      <c r="E3979" s="2">
        <f t="shared" ca="1" si="305"/>
        <v>43202</v>
      </c>
      <c r="F3979" s="6">
        <f t="shared" ca="1" si="306"/>
        <v>3.3871716269728522</v>
      </c>
    </row>
    <row r="3980" spans="1:6">
      <c r="A3980" s="1">
        <v>9133234</v>
      </c>
      <c r="B3980">
        <f t="shared" ca="1" si="303"/>
        <v>0.65103972390761655</v>
      </c>
      <c r="C3980" s="1">
        <f t="shared" ca="1" si="302"/>
        <v>69</v>
      </c>
      <c r="D3980" s="1">
        <f t="shared" ca="1" si="304"/>
        <v>142</v>
      </c>
      <c r="E3980" s="2">
        <f t="shared" ca="1" si="305"/>
        <v>43079</v>
      </c>
      <c r="F3980" s="6">
        <f t="shared" ca="1" si="306"/>
        <v>6.81772770787639</v>
      </c>
    </row>
    <row r="3981" spans="1:6">
      <c r="A3981" s="1">
        <v>9133237</v>
      </c>
      <c r="B3981">
        <f t="shared" ca="1" si="303"/>
        <v>0.68499704887638679</v>
      </c>
      <c r="C3981" s="1">
        <f t="shared" ca="1" si="302"/>
        <v>5</v>
      </c>
      <c r="D3981" s="1">
        <f t="shared" ca="1" si="304"/>
        <v>363</v>
      </c>
      <c r="E3981" s="2">
        <f t="shared" ca="1" si="305"/>
        <v>42941</v>
      </c>
      <c r="F3981" s="6">
        <f t="shared" ca="1" si="306"/>
        <v>3.6292081561668068</v>
      </c>
    </row>
    <row r="3982" spans="1:6">
      <c r="A3982" s="1">
        <v>9133240</v>
      </c>
      <c r="B3982">
        <f t="shared" ca="1" si="303"/>
        <v>0.20107597244211473</v>
      </c>
      <c r="C3982" s="1">
        <f t="shared" ca="1" si="302"/>
        <v>4</v>
      </c>
      <c r="D3982" s="1">
        <f t="shared" ca="1" si="304"/>
        <v>493</v>
      </c>
      <c r="E3982" s="2">
        <f t="shared" ca="1" si="305"/>
        <v>43204</v>
      </c>
      <c r="F3982" s="6">
        <f t="shared" ca="1" si="306"/>
        <v>3.0052344936236053</v>
      </c>
    </row>
    <row r="3983" spans="1:6">
      <c r="A3983" s="1">
        <v>9133243</v>
      </c>
      <c r="B3983">
        <f t="shared" ca="1" si="303"/>
        <v>0.55300235267087761</v>
      </c>
      <c r="C3983" s="1">
        <f t="shared" ca="1" si="302"/>
        <v>95</v>
      </c>
      <c r="D3983" s="1">
        <f t="shared" ca="1" si="304"/>
        <v>62</v>
      </c>
      <c r="E3983" s="2">
        <f t="shared" ca="1" si="305"/>
        <v>43261</v>
      </c>
      <c r="F3983" s="6">
        <f t="shared" ca="1" si="306"/>
        <v>22.485113339138195</v>
      </c>
    </row>
    <row r="3984" spans="1:6">
      <c r="A3984" s="1">
        <v>9133246</v>
      </c>
      <c r="B3984">
        <f t="shared" ca="1" si="303"/>
        <v>0.57620027751089176</v>
      </c>
      <c r="C3984" s="1">
        <f t="shared" ca="1" si="302"/>
        <v>35</v>
      </c>
      <c r="D3984" s="1">
        <f t="shared" ca="1" si="304"/>
        <v>423</v>
      </c>
      <c r="E3984" s="2">
        <f t="shared" ca="1" si="305"/>
        <v>43309</v>
      </c>
      <c r="F3984" s="6">
        <f t="shared" ca="1" si="306"/>
        <v>40.394329569365844</v>
      </c>
    </row>
    <row r="3985" spans="1:6">
      <c r="A3985" s="1">
        <v>9133249</v>
      </c>
      <c r="B3985">
        <f t="shared" ca="1" si="303"/>
        <v>0.73696608047229728</v>
      </c>
      <c r="C3985" s="1">
        <f t="shared" ca="1" si="302"/>
        <v>3</v>
      </c>
      <c r="D3985" s="1">
        <f t="shared" ca="1" si="304"/>
        <v>263</v>
      </c>
      <c r="E3985" s="2">
        <f t="shared" ca="1" si="305"/>
        <v>43393</v>
      </c>
      <c r="F3985" s="6">
        <f t="shared" ca="1" si="306"/>
        <v>16.711879829320388</v>
      </c>
    </row>
    <row r="3986" spans="1:6">
      <c r="A3986" s="1">
        <v>9133252</v>
      </c>
      <c r="B3986">
        <f t="shared" ca="1" si="303"/>
        <v>0.78192087188806747</v>
      </c>
      <c r="C3986" s="1">
        <f t="shared" ca="1" si="302"/>
        <v>62</v>
      </c>
      <c r="D3986" s="1">
        <f t="shared" ca="1" si="304"/>
        <v>235</v>
      </c>
      <c r="E3986" s="2">
        <f t="shared" ca="1" si="305"/>
        <v>43209</v>
      </c>
      <c r="F3986" s="6">
        <f t="shared" ca="1" si="306"/>
        <v>22.350676825907204</v>
      </c>
    </row>
    <row r="3987" spans="1:6">
      <c r="A3987" s="1">
        <v>9133255</v>
      </c>
      <c r="B3987">
        <f t="shared" ca="1" si="303"/>
        <v>0.10248516237659755</v>
      </c>
      <c r="C3987" s="1">
        <f t="shared" ca="1" si="302"/>
        <v>6</v>
      </c>
      <c r="D3987" s="1">
        <f t="shared" ca="1" si="304"/>
        <v>208</v>
      </c>
      <c r="E3987" s="2">
        <f t="shared" ca="1" si="305"/>
        <v>43430</v>
      </c>
      <c r="F3987" s="6">
        <f t="shared" ca="1" si="306"/>
        <v>70.494910934348141</v>
      </c>
    </row>
    <row r="3988" spans="1:6">
      <c r="A3988" s="1">
        <v>9133258</v>
      </c>
      <c r="B3988">
        <f t="shared" ca="1" si="303"/>
        <v>0.6761323038849667</v>
      </c>
      <c r="C3988" s="1">
        <f t="shared" ca="1" si="302"/>
        <v>2</v>
      </c>
      <c r="D3988" s="1">
        <f t="shared" ca="1" si="304"/>
        <v>30</v>
      </c>
      <c r="E3988" s="2">
        <f t="shared" ca="1" si="305"/>
        <v>42934</v>
      </c>
      <c r="F3988" s="6">
        <f t="shared" ca="1" si="306"/>
        <v>19.610640644858861</v>
      </c>
    </row>
    <row r="3989" spans="1:6">
      <c r="A3989" s="1">
        <v>9133261</v>
      </c>
      <c r="B3989">
        <f t="shared" ca="1" si="303"/>
        <v>0.85104798723681907</v>
      </c>
      <c r="C3989" s="1">
        <f t="shared" ca="1" si="302"/>
        <v>5</v>
      </c>
      <c r="D3989" s="1">
        <f t="shared" ca="1" si="304"/>
        <v>363</v>
      </c>
      <c r="E3989" s="2">
        <f t="shared" ca="1" si="305"/>
        <v>43418</v>
      </c>
      <c r="F3989" s="6">
        <f t="shared" ca="1" si="306"/>
        <v>100.93816114132818</v>
      </c>
    </row>
    <row r="3990" spans="1:6">
      <c r="A3990" s="1">
        <v>9133264</v>
      </c>
      <c r="B3990">
        <f t="shared" ca="1" si="303"/>
        <v>0.85306261885697676</v>
      </c>
      <c r="C3990" s="1">
        <f t="shared" ca="1" si="302"/>
        <v>7</v>
      </c>
      <c r="D3990" s="1">
        <f t="shared" ca="1" si="304"/>
        <v>138</v>
      </c>
      <c r="E3990" s="2">
        <f t="shared" ca="1" si="305"/>
        <v>42860</v>
      </c>
      <c r="F3990" s="6">
        <f t="shared" ca="1" si="306"/>
        <v>6.5428424586573017</v>
      </c>
    </row>
    <row r="3991" spans="1:6">
      <c r="A3991" s="1">
        <v>9133267</v>
      </c>
      <c r="B3991">
        <f t="shared" ca="1" si="303"/>
        <v>0.15682073851689182</v>
      </c>
      <c r="C3991" s="1">
        <f t="shared" ca="1" si="302"/>
        <v>41</v>
      </c>
      <c r="D3991" s="1">
        <f t="shared" ca="1" si="304"/>
        <v>37</v>
      </c>
      <c r="E3991" s="2">
        <f t="shared" ca="1" si="305"/>
        <v>42765</v>
      </c>
      <c r="F3991" s="6">
        <f t="shared" ca="1" si="306"/>
        <v>194.05805204086494</v>
      </c>
    </row>
    <row r="3992" spans="1:6">
      <c r="A3992" s="1">
        <v>9133270</v>
      </c>
      <c r="B3992">
        <f t="shared" ca="1" si="303"/>
        <v>0.74615697003973613</v>
      </c>
      <c r="C3992" s="1">
        <f t="shared" ca="1" si="302"/>
        <v>28</v>
      </c>
      <c r="D3992" s="1">
        <f t="shared" ca="1" si="304"/>
        <v>401</v>
      </c>
      <c r="E3992" s="2">
        <f t="shared" ca="1" si="305"/>
        <v>43080</v>
      </c>
      <c r="F3992" s="6">
        <f t="shared" ca="1" si="306"/>
        <v>33.989122864641473</v>
      </c>
    </row>
    <row r="3993" spans="1:6">
      <c r="A3993" s="1">
        <v>9133273</v>
      </c>
      <c r="B3993">
        <f t="shared" ca="1" si="303"/>
        <v>0.97820097955957119</v>
      </c>
      <c r="C3993" s="1">
        <f t="shared" ca="1" si="302"/>
        <v>32</v>
      </c>
      <c r="D3993" s="1">
        <f t="shared" ca="1" si="304"/>
        <v>497</v>
      </c>
      <c r="E3993" s="2">
        <f t="shared" ca="1" si="305"/>
        <v>43481</v>
      </c>
      <c r="F3993" s="6">
        <f t="shared" ca="1" si="306"/>
        <v>21.76029270900537</v>
      </c>
    </row>
    <row r="3994" spans="1:6">
      <c r="A3994" s="1">
        <v>9133276</v>
      </c>
      <c r="B3994">
        <f t="shared" ca="1" si="303"/>
        <v>0.27613460089060382</v>
      </c>
      <c r="C3994" s="1">
        <f t="shared" ca="1" si="302"/>
        <v>16</v>
      </c>
      <c r="D3994" s="1">
        <f t="shared" ca="1" si="304"/>
        <v>465</v>
      </c>
      <c r="E3994" s="2">
        <f t="shared" ca="1" si="305"/>
        <v>43391</v>
      </c>
      <c r="F3994" s="6">
        <f t="shared" ca="1" si="306"/>
        <v>13.759986074842882</v>
      </c>
    </row>
    <row r="3995" spans="1:6">
      <c r="A3995" s="1">
        <v>9133279</v>
      </c>
      <c r="B3995">
        <f t="shared" ca="1" si="303"/>
        <v>0.63628527446870031</v>
      </c>
      <c r="C3995" s="1">
        <f t="shared" ref="C3995:C4000" ca="1" si="307">ROUND(_xlfn.GAMMA.INV(RAND(),$J$11,$J$12)*100,0)+1</f>
        <v>26</v>
      </c>
      <c r="D3995" s="1">
        <f t="shared" ca="1" si="304"/>
        <v>88</v>
      </c>
      <c r="E3995" s="2">
        <f t="shared" ca="1" si="305"/>
        <v>43356</v>
      </c>
      <c r="F3995" s="6">
        <f t="shared" ca="1" si="306"/>
        <v>3.008098705250795</v>
      </c>
    </row>
    <row r="3996" spans="1:6">
      <c r="A3996" s="1">
        <v>9133282</v>
      </c>
      <c r="B3996">
        <f t="shared" ca="1" si="303"/>
        <v>0.89109255586820013</v>
      </c>
      <c r="C3996" s="1">
        <f t="shared" ca="1" si="307"/>
        <v>58</v>
      </c>
      <c r="D3996" s="1">
        <f t="shared" ca="1" si="304"/>
        <v>19</v>
      </c>
      <c r="E3996" s="2">
        <f t="shared" ca="1" si="305"/>
        <v>43106</v>
      </c>
      <c r="F3996" s="6">
        <f t="shared" ca="1" si="306"/>
        <v>12.96089854230774</v>
      </c>
    </row>
    <row r="3997" spans="1:6">
      <c r="A3997" s="1">
        <v>9133285</v>
      </c>
      <c r="B3997">
        <f t="shared" ca="1" si="303"/>
        <v>0.35404983134616264</v>
      </c>
      <c r="C3997" s="1">
        <f t="shared" ca="1" si="307"/>
        <v>29</v>
      </c>
      <c r="D3997" s="1">
        <f t="shared" ca="1" si="304"/>
        <v>514</v>
      </c>
      <c r="E3997" s="2">
        <f t="shared" ca="1" si="305"/>
        <v>42955</v>
      </c>
      <c r="F3997" s="6">
        <f t="shared" ca="1" si="306"/>
        <v>9.2620871856112714</v>
      </c>
    </row>
    <row r="3998" spans="1:6">
      <c r="A3998" s="1">
        <v>9133288</v>
      </c>
      <c r="B3998">
        <f t="shared" ca="1" si="303"/>
        <v>0.3523398829758887</v>
      </c>
      <c r="C3998" s="1">
        <f t="shared" ca="1" si="307"/>
        <v>3</v>
      </c>
      <c r="D3998" s="1">
        <f t="shared" ca="1" si="304"/>
        <v>263</v>
      </c>
      <c r="E3998" s="2">
        <f t="shared" ca="1" si="305"/>
        <v>42982</v>
      </c>
      <c r="F3998" s="6">
        <f t="shared" ca="1" si="306"/>
        <v>30.946512394399576</v>
      </c>
    </row>
    <row r="3999" spans="1:6">
      <c r="A3999" s="1">
        <v>9133291</v>
      </c>
      <c r="B3999">
        <f t="shared" ca="1" si="303"/>
        <v>0.45967290518434123</v>
      </c>
      <c r="C3999" s="1">
        <f t="shared" ca="1" si="307"/>
        <v>56</v>
      </c>
      <c r="D3999" s="1">
        <f t="shared" ca="1" si="304"/>
        <v>57</v>
      </c>
      <c r="E3999" s="2">
        <f t="shared" ca="1" si="305"/>
        <v>43230</v>
      </c>
      <c r="F3999" s="6">
        <f t="shared" ca="1" si="306"/>
        <v>10.626955862245467</v>
      </c>
    </row>
    <row r="4000" spans="1:6">
      <c r="A4000" s="1">
        <v>9133294</v>
      </c>
      <c r="B4000">
        <f t="shared" ca="1" si="303"/>
        <v>0.72341975377263679</v>
      </c>
      <c r="C4000" s="1">
        <f t="shared" ca="1" si="307"/>
        <v>35</v>
      </c>
      <c r="D4000" s="1">
        <f t="shared" ca="1" si="304"/>
        <v>423</v>
      </c>
      <c r="E4000" s="2">
        <f t="shared" ca="1" si="305"/>
        <v>43216</v>
      </c>
      <c r="F4000" s="6">
        <f t="shared" ca="1" si="306"/>
        <v>3.250918362291384</v>
      </c>
    </row>
  </sheetData>
  <mergeCells count="4">
    <mergeCell ref="I5:J5"/>
    <mergeCell ref="I4:J4"/>
    <mergeCell ref="I9:J9"/>
    <mergeCell ref="I10:J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pulate_Other_Columns">
                <anchor moveWithCells="1" sizeWithCells="1">
                  <from>
                    <xdr:col>11</xdr:col>
                    <xdr:colOff>281940</xdr:colOff>
                    <xdr:row>5</xdr:row>
                    <xdr:rowOff>160020</xdr:rowOff>
                  </from>
                  <to>
                    <xdr:col>12</xdr:col>
                    <xdr:colOff>304800</xdr:colOff>
                    <xdr:row>9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opulate_TransactionIds">
                <anchor moveWithCells="1" sizeWithCells="1">
                  <from>
                    <xdr:col>11</xdr:col>
                    <xdr:colOff>320040</xdr:colOff>
                    <xdr:row>10</xdr:row>
                    <xdr:rowOff>83820</xdr:rowOff>
                  </from>
                  <to>
                    <xdr:col>12</xdr:col>
                    <xdr:colOff>312420</xdr:colOff>
                    <xdr:row>13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A8ABD-4D2F-4147-865F-7671DA2C0A13}">
  <sheetPr codeName="Sheet3"/>
  <dimension ref="A1:N605"/>
  <sheetViews>
    <sheetView workbookViewId="0">
      <selection activeCell="N15" sqref="N15"/>
    </sheetView>
  </sheetViews>
  <sheetFormatPr defaultRowHeight="14.4"/>
  <cols>
    <col min="1" max="1" width="15.33203125" style="1" bestFit="1" customWidth="1"/>
    <col min="2" max="2" width="24.6640625" style="2" customWidth="1"/>
    <col min="3" max="3" width="8.88671875" style="1" hidden="1" customWidth="1"/>
    <col min="4" max="4" width="22.6640625" style="1" hidden="1" customWidth="1"/>
    <col min="5" max="5" width="13.77734375" style="1" bestFit="1" customWidth="1"/>
    <col min="6" max="6" width="14.44140625" style="1" customWidth="1"/>
    <col min="7" max="7" width="14.21875" style="1" bestFit="1" customWidth="1"/>
    <col min="8" max="8" width="20.5546875" style="1" customWidth="1"/>
    <col min="10" max="10" width="11.21875" bestFit="1" customWidth="1"/>
    <col min="11" max="11" width="10.6640625" bestFit="1" customWidth="1"/>
    <col min="12" max="12" width="9.33203125" bestFit="1" customWidth="1"/>
    <col min="13" max="13" width="18.33203125" bestFit="1" customWidth="1"/>
    <col min="15" max="15" width="16.44140625" bestFit="1" customWidth="1"/>
  </cols>
  <sheetData>
    <row r="1" spans="1:14" ht="15.6">
      <c r="A1" s="41" t="s">
        <v>30</v>
      </c>
      <c r="B1" s="41"/>
      <c r="C1" s="41"/>
      <c r="D1" s="41"/>
      <c r="E1" s="41"/>
      <c r="F1" s="41"/>
      <c r="G1" s="41"/>
      <c r="H1" s="41"/>
      <c r="I1" s="41"/>
      <c r="J1" s="41"/>
    </row>
    <row r="2" spans="1:14">
      <c r="A2" s="39" t="s">
        <v>27</v>
      </c>
      <c r="B2" s="39"/>
      <c r="C2" s="39"/>
      <c r="D2" s="39"/>
      <c r="E2" s="39"/>
      <c r="F2" s="39"/>
      <c r="G2" s="39"/>
      <c r="H2" s="39"/>
    </row>
    <row r="3" spans="1:14">
      <c r="A3" s="39" t="s">
        <v>28</v>
      </c>
      <c r="B3" s="39"/>
      <c r="C3" s="39"/>
      <c r="D3" s="39"/>
      <c r="E3" s="39"/>
      <c r="F3" s="39"/>
      <c r="G3" s="39"/>
      <c r="H3" s="39"/>
    </row>
    <row r="4" spans="1:14">
      <c r="A4" s="39" t="s">
        <v>29</v>
      </c>
      <c r="B4" s="39"/>
      <c r="C4" s="39"/>
      <c r="D4" s="39"/>
      <c r="E4" s="39"/>
      <c r="F4" s="39"/>
      <c r="G4" s="39"/>
      <c r="H4" s="39"/>
    </row>
    <row r="5" spans="1:14">
      <c r="A5" s="3" t="s">
        <v>0</v>
      </c>
      <c r="B5" s="4" t="s">
        <v>4</v>
      </c>
      <c r="C5" s="3" t="s">
        <v>13</v>
      </c>
      <c r="D5" s="3" t="s">
        <v>36</v>
      </c>
      <c r="E5" s="3" t="s">
        <v>6</v>
      </c>
      <c r="F5" s="3" t="s">
        <v>2</v>
      </c>
      <c r="G5" s="3" t="s">
        <v>5</v>
      </c>
      <c r="H5" s="3" t="s">
        <v>8</v>
      </c>
      <c r="J5" s="20" t="s">
        <v>10</v>
      </c>
      <c r="K5" s="21" t="s">
        <v>9</v>
      </c>
      <c r="M5" s="22" t="s">
        <v>11</v>
      </c>
    </row>
    <row r="6" spans="1:14">
      <c r="A6" s="1">
        <v>1</v>
      </c>
      <c r="B6" s="8">
        <f ca="1">_xlfn.MAXIFS(Transactions[Transaction Date], Transactions[CustomerID],A6)</f>
        <v>43464</v>
      </c>
      <c r="C6" s="1">
        <f t="shared" ref="C6:C69" ca="1" si="0">(MAX(DATEDIF(B6,"03/01/2019","ym"),1))</f>
        <v>2</v>
      </c>
      <c r="D6" s="1">
        <f ca="1">COUNTIF(Transactions[CustomerID],"="&amp;A6)</f>
        <v>16</v>
      </c>
      <c r="E6" s="9">
        <f ca="1">_xlfn.MAXIFS(Transactions[Transaction Amount], Transactions[CustomerID],A6)/'Customer Profiles'!$M$10</f>
        <v>4.1573315376582753</v>
      </c>
      <c r="F6" s="1">
        <f t="shared" ref="F6:F69" ca="1" si="1">ROUND(C6/$M$8,2)</f>
        <v>0.47</v>
      </c>
      <c r="G6" s="1">
        <f t="shared" ref="G6:G69" ca="1" si="2">ROUND(D6/$M$6,2)</f>
        <v>2.4</v>
      </c>
      <c r="H6" s="1">
        <f t="shared" ref="H6:H69" ca="1" si="3">ROUND(C6*$K$6+D6*$K$7+E6*$K$8,2)</f>
        <v>5.39</v>
      </c>
      <c r="J6" s="15" t="s">
        <v>2</v>
      </c>
      <c r="K6" s="14">
        <v>0.25</v>
      </c>
      <c r="M6" s="24">
        <f ca="1">ROUND(AVERAGE(D6:D605),2)</f>
        <v>6.67</v>
      </c>
    </row>
    <row r="7" spans="1:14">
      <c r="A7" s="1">
        <v>2</v>
      </c>
      <c r="B7" s="8">
        <f ca="1">_xlfn.MAXIFS(Transactions[Transaction Date], Transactions[CustomerID],A7)</f>
        <v>42946</v>
      </c>
      <c r="C7" s="1">
        <f t="shared" ca="1" si="0"/>
        <v>7</v>
      </c>
      <c r="D7" s="1">
        <f ca="1">COUNTIF(Transactions[CustomerID],"="&amp;A7)</f>
        <v>5</v>
      </c>
      <c r="E7" s="9">
        <f ca="1">_xlfn.MAXIFS(Transactions[Transaction Amount], Transactions[CustomerID],A7)/'Customer Profiles'!$M$10</f>
        <v>1.7299193319628061</v>
      </c>
      <c r="F7" s="1">
        <f t="shared" ca="1" si="1"/>
        <v>1.65</v>
      </c>
      <c r="G7" s="1">
        <f t="shared" ca="1" si="2"/>
        <v>0.75</v>
      </c>
      <c r="H7" s="1">
        <f t="shared" ca="1" si="3"/>
        <v>3.54</v>
      </c>
      <c r="J7" s="15" t="s">
        <v>5</v>
      </c>
      <c r="K7" s="14">
        <v>0.15</v>
      </c>
      <c r="M7" s="25" t="s">
        <v>12</v>
      </c>
    </row>
    <row r="8" spans="1:14">
      <c r="A8" s="1">
        <v>3</v>
      </c>
      <c r="B8" s="8">
        <f ca="1">_xlfn.MAXIFS(Transactions[Transaction Date], Transactions[CustomerID],A8)</f>
        <v>43441</v>
      </c>
      <c r="C8" s="1">
        <f t="shared" ca="1" si="0"/>
        <v>2</v>
      </c>
      <c r="D8" s="1">
        <f ca="1">COUNTIF(Transactions[CustomerID],"="&amp;A8)</f>
        <v>3</v>
      </c>
      <c r="E8" s="9">
        <f ca="1">_xlfn.MAXIFS(Transactions[Transaction Amount], Transactions[CustomerID],A8)/'Customer Profiles'!$M$10</f>
        <v>1.1156925412235021</v>
      </c>
      <c r="F8" s="1">
        <f t="shared" ca="1" si="1"/>
        <v>0.47</v>
      </c>
      <c r="G8" s="1">
        <f t="shared" ca="1" si="2"/>
        <v>0.45</v>
      </c>
      <c r="H8" s="1">
        <f t="shared" ca="1" si="3"/>
        <v>1.62</v>
      </c>
      <c r="J8" s="16" t="s">
        <v>6</v>
      </c>
      <c r="K8" s="19">
        <v>0.6</v>
      </c>
      <c r="M8" s="24">
        <f ca="1">ROUND(AVERAGE(C6:C303),2)</f>
        <v>4.24</v>
      </c>
    </row>
    <row r="9" spans="1:14">
      <c r="A9" s="1">
        <v>4</v>
      </c>
      <c r="B9" s="8">
        <f ca="1">_xlfn.MAXIFS(Transactions[Transaction Date], Transactions[CustomerID],A9)</f>
        <v>43224</v>
      </c>
      <c r="C9" s="1">
        <f t="shared" ca="1" si="0"/>
        <v>9</v>
      </c>
      <c r="D9" s="1">
        <f ca="1">COUNTIF(Transactions[CustomerID],"="&amp;A9)</f>
        <v>1</v>
      </c>
      <c r="E9" s="9">
        <f ca="1">_xlfn.MAXIFS(Transactions[Transaction Amount], Transactions[CustomerID],A9)/'Customer Profiles'!$M$10</f>
        <v>1.1000225363611098</v>
      </c>
      <c r="F9" s="1">
        <f t="shared" ca="1" si="1"/>
        <v>2.12</v>
      </c>
      <c r="G9" s="1">
        <f t="shared" ca="1" si="2"/>
        <v>0.15</v>
      </c>
      <c r="H9" s="1">
        <f t="shared" ca="1" si="3"/>
        <v>3.06</v>
      </c>
      <c r="M9" s="25" t="s">
        <v>31</v>
      </c>
    </row>
    <row r="10" spans="1:14">
      <c r="A10" s="1">
        <v>5</v>
      </c>
      <c r="B10" s="8">
        <f ca="1">_xlfn.MAXIFS(Transactions[Transaction Date], Transactions[CustomerID],A10)</f>
        <v>43426</v>
      </c>
      <c r="C10" s="1">
        <f t="shared" ca="1" si="0"/>
        <v>3</v>
      </c>
      <c r="D10" s="1">
        <f ca="1">COUNTIF(Transactions[CustomerID],"="&amp;A10)</f>
        <v>2</v>
      </c>
      <c r="E10" s="9">
        <f ca="1">_xlfn.MAXIFS(Transactions[Transaction Amount], Transactions[CustomerID],A10)/'Customer Profiles'!$M$10</f>
        <v>0.65729374315262756</v>
      </c>
      <c r="F10" s="1">
        <f t="shared" ca="1" si="1"/>
        <v>0.71</v>
      </c>
      <c r="G10" s="1">
        <f t="shared" ca="1" si="2"/>
        <v>0.3</v>
      </c>
      <c r="H10" s="1">
        <f t="shared" ca="1" si="3"/>
        <v>1.44</v>
      </c>
      <c r="M10" s="23">
        <f ca="1">ROUND(AVERAGE(Transactions[Transaction Amount]),2)</f>
        <v>53.19</v>
      </c>
    </row>
    <row r="11" spans="1:14">
      <c r="A11" s="1">
        <v>6</v>
      </c>
      <c r="B11" s="8">
        <f ca="1">_xlfn.MAXIFS(Transactions[Transaction Date], Transactions[CustomerID],A11)</f>
        <v>42939</v>
      </c>
      <c r="C11" s="1">
        <f t="shared" ca="1" si="0"/>
        <v>7</v>
      </c>
      <c r="D11" s="1">
        <f ca="1">COUNTIF(Transactions[CustomerID],"="&amp;A11)</f>
        <v>1</v>
      </c>
      <c r="E11" s="9">
        <f ca="1">_xlfn.MAXIFS(Transactions[Transaction Amount], Transactions[CustomerID],A11)/'Customer Profiles'!$M$10</f>
        <v>1.5971483624119089</v>
      </c>
      <c r="F11" s="1">
        <f t="shared" ca="1" si="1"/>
        <v>1.65</v>
      </c>
      <c r="G11" s="1">
        <f t="shared" ca="1" si="2"/>
        <v>0.15</v>
      </c>
      <c r="H11" s="1">
        <f t="shared" ca="1" si="3"/>
        <v>2.86</v>
      </c>
      <c r="M11" s="1"/>
    </row>
    <row r="12" spans="1:14" ht="15.6">
      <c r="A12" s="1">
        <v>7</v>
      </c>
      <c r="B12" s="8">
        <f ca="1">_xlfn.MAXIFS(Transactions[Transaction Date], Transactions[CustomerID],A12)</f>
        <v>42918</v>
      </c>
      <c r="C12" s="1">
        <f t="shared" ca="1" si="0"/>
        <v>7</v>
      </c>
      <c r="D12" s="1">
        <f ca="1">COUNTIF(Transactions[CustomerID],"="&amp;A12)</f>
        <v>1</v>
      </c>
      <c r="E12" s="9">
        <f ca="1">_xlfn.MAXIFS(Transactions[Transaction Amount], Transactions[CustomerID],A12)/'Customer Profiles'!$M$10</f>
        <v>1.0321129676848724</v>
      </c>
      <c r="F12" s="1">
        <f t="shared" ca="1" si="1"/>
        <v>1.65</v>
      </c>
      <c r="G12" s="1">
        <f t="shared" ca="1" si="2"/>
        <v>0.15</v>
      </c>
      <c r="H12" s="1">
        <f t="shared" ca="1" si="3"/>
        <v>2.52</v>
      </c>
      <c r="J12" s="37" t="s">
        <v>19</v>
      </c>
      <c r="K12" s="40"/>
      <c r="L12" s="40"/>
      <c r="M12" s="40"/>
      <c r="N12" s="38"/>
    </row>
    <row r="13" spans="1:14">
      <c r="A13" s="1">
        <v>8</v>
      </c>
      <c r="B13" s="8">
        <f ca="1">_xlfn.MAXIFS(Transactions[Transaction Date], Transactions[CustomerID],A13)</f>
        <v>43314</v>
      </c>
      <c r="C13" s="1">
        <f t="shared" ca="1" si="0"/>
        <v>6</v>
      </c>
      <c r="D13" s="1">
        <f ca="1">COUNTIF(Transactions[CustomerID],"="&amp;A13)</f>
        <v>1</v>
      </c>
      <c r="E13" s="9">
        <f ca="1">_xlfn.MAXIFS(Transactions[Transaction Amount], Transactions[CustomerID],A13)/'Customer Profiles'!$M$10</f>
        <v>0.41535836739828225</v>
      </c>
      <c r="F13" s="1">
        <f t="shared" ca="1" si="1"/>
        <v>1.42</v>
      </c>
      <c r="G13" s="1">
        <f t="shared" ca="1" si="2"/>
        <v>0.15</v>
      </c>
      <c r="H13" s="1">
        <f t="shared" ca="1" si="3"/>
        <v>1.9</v>
      </c>
      <c r="J13" s="12" t="s">
        <v>15</v>
      </c>
      <c r="K13" s="7" t="s">
        <v>18</v>
      </c>
      <c r="L13" s="3" t="s">
        <v>14</v>
      </c>
      <c r="M13" s="3" t="s">
        <v>17</v>
      </c>
      <c r="N13" s="13" t="s">
        <v>16</v>
      </c>
    </row>
    <row r="14" spans="1:14">
      <c r="A14" s="1">
        <v>9</v>
      </c>
      <c r="B14" s="8">
        <f ca="1">_xlfn.MAXIFS(Transactions[Transaction Date], Transactions[CustomerID],A14)</f>
        <v>43256</v>
      </c>
      <c r="C14" s="1">
        <f t="shared" ca="1" si="0"/>
        <v>8</v>
      </c>
      <c r="D14" s="1">
        <f ca="1">COUNTIF(Transactions[CustomerID],"="&amp;A14)</f>
        <v>1</v>
      </c>
      <c r="E14" s="9">
        <f ca="1">_xlfn.MAXIFS(Transactions[Transaction Amount], Transactions[CustomerID],A14)/'Customer Profiles'!$M$10</f>
        <v>2.4613804070356249</v>
      </c>
      <c r="F14" s="1">
        <f t="shared" ca="1" si="1"/>
        <v>1.89</v>
      </c>
      <c r="G14" s="1">
        <f t="shared" ca="1" si="2"/>
        <v>0.15</v>
      </c>
      <c r="H14" s="1">
        <f t="shared" ca="1" si="3"/>
        <v>3.63</v>
      </c>
      <c r="J14" s="15" t="s">
        <v>26</v>
      </c>
      <c r="L14" s="1">
        <v>0.5</v>
      </c>
      <c r="M14" s="1">
        <f ca="1">PERCENTILE(H6:H302,L14)</f>
        <v>2.4300000000000002</v>
      </c>
      <c r="N14" s="14">
        <f ca="1">COUNTIF($H$6:$H$605,"&gt;"&amp;M14)</f>
        <v>311</v>
      </c>
    </row>
    <row r="15" spans="1:14">
      <c r="A15" s="1">
        <v>10</v>
      </c>
      <c r="B15" s="8">
        <f ca="1">_xlfn.MAXIFS(Transactions[Transaction Date], Transactions[CustomerID],A15)</f>
        <v>43284</v>
      </c>
      <c r="C15" s="1">
        <f t="shared" ca="1" si="0"/>
        <v>7</v>
      </c>
      <c r="D15" s="1">
        <f ca="1">COUNTIF(Transactions[CustomerID],"="&amp;A15)</f>
        <v>1</v>
      </c>
      <c r="E15" s="9">
        <f ca="1">_xlfn.MAXIFS(Transactions[Transaction Amount], Transactions[CustomerID],A15)/'Customer Profiles'!$M$10</f>
        <v>0.35220268499988394</v>
      </c>
      <c r="F15" s="1">
        <f t="shared" ca="1" si="1"/>
        <v>1.65</v>
      </c>
      <c r="G15" s="1">
        <f t="shared" ca="1" si="2"/>
        <v>0.15</v>
      </c>
      <c r="H15" s="1">
        <f t="shared" ca="1" si="3"/>
        <v>2.11</v>
      </c>
      <c r="J15" s="15" t="s">
        <v>21</v>
      </c>
      <c r="K15" s="10"/>
      <c r="L15" s="1">
        <v>0.75</v>
      </c>
      <c r="M15" s="1">
        <f ca="1">PERCENTILE(H7:H303,L15)</f>
        <v>3.63</v>
      </c>
      <c r="N15" s="14">
        <f ca="1">COUNTIF($H$6:$H$605,"&gt;"&amp;M15)</f>
        <v>160</v>
      </c>
    </row>
    <row r="16" spans="1:14">
      <c r="A16" s="1">
        <v>11</v>
      </c>
      <c r="B16" s="8">
        <f ca="1">_xlfn.MAXIFS(Transactions[Transaction Date], Transactions[CustomerID],A16)</f>
        <v>43267</v>
      </c>
      <c r="C16" s="1">
        <f t="shared" ca="1" si="0"/>
        <v>8</v>
      </c>
      <c r="D16" s="1">
        <f ca="1">COUNTIF(Transactions[CustomerID],"="&amp;A16)</f>
        <v>2</v>
      </c>
      <c r="E16" s="9">
        <f ca="1">_xlfn.MAXIFS(Transactions[Transaction Amount], Transactions[CustomerID],A16)/'Customer Profiles'!$M$10</f>
        <v>0.28817444137926701</v>
      </c>
      <c r="F16" s="1">
        <f t="shared" ca="1" si="1"/>
        <v>1.89</v>
      </c>
      <c r="G16" s="1">
        <f t="shared" ca="1" si="2"/>
        <v>0.3</v>
      </c>
      <c r="H16" s="1">
        <f t="shared" ca="1" si="3"/>
        <v>2.4700000000000002</v>
      </c>
      <c r="J16" s="15" t="s">
        <v>22</v>
      </c>
      <c r="K16" s="11"/>
      <c r="L16" s="1">
        <v>0.9</v>
      </c>
      <c r="M16" s="1">
        <f ca="1">PERCENTILE(H8:H402,L16)</f>
        <v>5.9260000000000002</v>
      </c>
      <c r="N16" s="14">
        <f ca="1">COUNTIF($H$6:$H$605,"&gt;"&amp;M16)</f>
        <v>71</v>
      </c>
    </row>
    <row r="17" spans="1:14">
      <c r="A17" s="1">
        <v>12</v>
      </c>
      <c r="B17" s="8">
        <f ca="1">_xlfn.MAXIFS(Transactions[Transaction Date], Transactions[CustomerID],A17)</f>
        <v>43494</v>
      </c>
      <c r="C17" s="1">
        <f t="shared" ca="1" si="0"/>
        <v>1</v>
      </c>
      <c r="D17" s="1">
        <f ca="1">COUNTIF(Transactions[CustomerID],"="&amp;A17)</f>
        <v>5</v>
      </c>
      <c r="E17" s="9">
        <f ca="1">_xlfn.MAXIFS(Transactions[Transaction Amount], Transactions[CustomerID],A17)/'Customer Profiles'!$M$10</f>
        <v>0.46693412934986805</v>
      </c>
      <c r="F17" s="1">
        <f t="shared" ca="1" si="1"/>
        <v>0.24</v>
      </c>
      <c r="G17" s="1">
        <f t="shared" ca="1" si="2"/>
        <v>0.75</v>
      </c>
      <c r="H17" s="1">
        <f t="shared" ca="1" si="3"/>
        <v>1.28</v>
      </c>
      <c r="J17" s="16" t="s">
        <v>20</v>
      </c>
      <c r="K17" s="17"/>
      <c r="L17" s="18">
        <v>0.95</v>
      </c>
      <c r="M17" s="18">
        <f ca="1">PERCENTILE(H9:H606,L17)</f>
        <v>7.883999999999995</v>
      </c>
      <c r="N17" s="19">
        <f ca="1">COUNTIF($H$6:$H$605,"&gt;"&amp;M17)</f>
        <v>30</v>
      </c>
    </row>
    <row r="18" spans="1:14">
      <c r="A18" s="1">
        <v>13</v>
      </c>
      <c r="B18" s="8">
        <f ca="1">_xlfn.MAXIFS(Transactions[Transaction Date], Transactions[CustomerID],A18)</f>
        <v>43004</v>
      </c>
      <c r="C18" s="1">
        <f t="shared" ca="1" si="0"/>
        <v>5</v>
      </c>
      <c r="D18" s="1">
        <f ca="1">COUNTIF(Transactions[CustomerID],"="&amp;A18)</f>
        <v>1</v>
      </c>
      <c r="E18" s="9">
        <f ca="1">_xlfn.MAXIFS(Transactions[Transaction Amount], Transactions[CustomerID],A18)/'Customer Profiles'!$M$10</f>
        <v>8.3254831419196804E-2</v>
      </c>
      <c r="F18" s="1">
        <f t="shared" ca="1" si="1"/>
        <v>1.18</v>
      </c>
      <c r="G18" s="1">
        <f t="shared" ca="1" si="2"/>
        <v>0.15</v>
      </c>
      <c r="H18" s="1">
        <f t="shared" ca="1" si="3"/>
        <v>1.45</v>
      </c>
    </row>
    <row r="19" spans="1:14">
      <c r="A19" s="1">
        <v>14</v>
      </c>
      <c r="B19" s="8">
        <f ca="1">_xlfn.MAXIFS(Transactions[Transaction Date], Transactions[CustomerID],A19)</f>
        <v>43475</v>
      </c>
      <c r="C19" s="1">
        <f t="shared" ca="1" si="0"/>
        <v>1</v>
      </c>
      <c r="D19" s="1">
        <f ca="1">COUNTIF(Transactions[CustomerID],"="&amp;A19)</f>
        <v>1</v>
      </c>
      <c r="E19" s="9">
        <f ca="1">_xlfn.MAXIFS(Transactions[Transaction Amount], Transactions[CustomerID],A19)/'Customer Profiles'!$M$10</f>
        <v>5.6513689286588224E-2</v>
      </c>
      <c r="F19" s="1">
        <f t="shared" ca="1" si="1"/>
        <v>0.24</v>
      </c>
      <c r="G19" s="1">
        <f t="shared" ca="1" si="2"/>
        <v>0.15</v>
      </c>
      <c r="H19" s="1">
        <f t="shared" ca="1" si="3"/>
        <v>0.43</v>
      </c>
    </row>
    <row r="20" spans="1:14">
      <c r="A20" s="1">
        <v>15</v>
      </c>
      <c r="B20" s="8">
        <f ca="1">_xlfn.MAXIFS(Transactions[Transaction Date], Transactions[CustomerID],A20)</f>
        <v>43396</v>
      </c>
      <c r="C20" s="1">
        <f t="shared" ca="1" si="0"/>
        <v>4</v>
      </c>
      <c r="D20" s="1">
        <f ca="1">COUNTIF(Transactions[CustomerID],"="&amp;A20)</f>
        <v>1</v>
      </c>
      <c r="E20" s="9">
        <f ca="1">_xlfn.MAXIFS(Transactions[Transaction Amount], Transactions[CustomerID],A20)/'Customer Profiles'!$M$10</f>
        <v>8.3289015122298804E-2</v>
      </c>
      <c r="F20" s="1">
        <f t="shared" ca="1" si="1"/>
        <v>0.94</v>
      </c>
      <c r="G20" s="1">
        <f t="shared" ca="1" si="2"/>
        <v>0.15</v>
      </c>
      <c r="H20" s="1">
        <f t="shared" ca="1" si="3"/>
        <v>1.2</v>
      </c>
    </row>
    <row r="21" spans="1:14">
      <c r="A21" s="1">
        <v>16</v>
      </c>
      <c r="B21" s="8">
        <f ca="1">_xlfn.MAXIFS(Transactions[Transaction Date], Transactions[CustomerID],A21)</f>
        <v>43425</v>
      </c>
      <c r="C21" s="1">
        <f t="shared" ca="1" si="0"/>
        <v>3</v>
      </c>
      <c r="D21" s="1">
        <f ca="1">COUNTIF(Transactions[CustomerID],"="&amp;A21)</f>
        <v>2</v>
      </c>
      <c r="E21" s="9">
        <f ca="1">_xlfn.MAXIFS(Transactions[Transaction Amount], Transactions[CustomerID],A21)/'Customer Profiles'!$M$10</f>
        <v>0.3795956559930494</v>
      </c>
      <c r="F21" s="1">
        <f t="shared" ca="1" si="1"/>
        <v>0.71</v>
      </c>
      <c r="G21" s="1">
        <f t="shared" ca="1" si="2"/>
        <v>0.3</v>
      </c>
      <c r="H21" s="1">
        <f t="shared" ca="1" si="3"/>
        <v>1.28</v>
      </c>
    </row>
    <row r="22" spans="1:14">
      <c r="A22" s="1">
        <v>17</v>
      </c>
      <c r="B22" s="8">
        <f ca="1">_xlfn.MAXIFS(Transactions[Transaction Date], Transactions[CustomerID],A22)</f>
        <v>43273</v>
      </c>
      <c r="C22" s="1">
        <f t="shared" ca="1" si="0"/>
        <v>8</v>
      </c>
      <c r="D22" s="1">
        <f ca="1">COUNTIF(Transactions[CustomerID],"="&amp;A22)</f>
        <v>3</v>
      </c>
      <c r="E22" s="9">
        <f ca="1">_xlfn.MAXIFS(Transactions[Transaction Amount], Transactions[CustomerID],A22)/'Customer Profiles'!$M$10</f>
        <v>1.2709713180031137</v>
      </c>
      <c r="F22" s="1">
        <f t="shared" ca="1" si="1"/>
        <v>1.89</v>
      </c>
      <c r="G22" s="1">
        <f t="shared" ca="1" si="2"/>
        <v>0.45</v>
      </c>
      <c r="H22" s="1">
        <f t="shared" ca="1" si="3"/>
        <v>3.21</v>
      </c>
    </row>
    <row r="23" spans="1:14">
      <c r="A23" s="1">
        <v>18</v>
      </c>
      <c r="B23" s="8">
        <f ca="1">_xlfn.MAXIFS(Transactions[Transaction Date], Transactions[CustomerID],A23)</f>
        <v>43282</v>
      </c>
      <c r="C23" s="1">
        <f t="shared" ca="1" si="0"/>
        <v>8</v>
      </c>
      <c r="D23" s="1">
        <f ca="1">COUNTIF(Transactions[CustomerID],"="&amp;A23)</f>
        <v>1</v>
      </c>
      <c r="E23" s="9">
        <f ca="1">_xlfn.MAXIFS(Transactions[Transaction Amount], Transactions[CustomerID],A23)/'Customer Profiles'!$M$10</f>
        <v>8.3352113484335522E-2</v>
      </c>
      <c r="F23" s="1">
        <f t="shared" ca="1" si="1"/>
        <v>1.89</v>
      </c>
      <c r="G23" s="1">
        <f t="shared" ca="1" si="2"/>
        <v>0.15</v>
      </c>
      <c r="H23" s="1">
        <f t="shared" ca="1" si="3"/>
        <v>2.2000000000000002</v>
      </c>
    </row>
    <row r="24" spans="1:14">
      <c r="A24" s="1">
        <v>19</v>
      </c>
      <c r="B24" s="8">
        <f ca="1">_xlfn.MAXIFS(Transactions[Transaction Date], Transactions[CustomerID],A24)</f>
        <v>43490</v>
      </c>
      <c r="C24" s="1">
        <f t="shared" ca="1" si="0"/>
        <v>1</v>
      </c>
      <c r="D24" s="1">
        <f ca="1">COUNTIF(Transactions[CustomerID],"="&amp;A24)</f>
        <v>16</v>
      </c>
      <c r="E24" s="9">
        <f ca="1">_xlfn.MAXIFS(Transactions[Transaction Amount], Transactions[CustomerID],A24)/'Customer Profiles'!$M$10</f>
        <v>3.6499839999310613</v>
      </c>
      <c r="F24" s="1">
        <f t="shared" ca="1" si="1"/>
        <v>0.24</v>
      </c>
      <c r="G24" s="1">
        <f t="shared" ca="1" si="2"/>
        <v>2.4</v>
      </c>
      <c r="H24" s="1">
        <f t="shared" ca="1" si="3"/>
        <v>4.84</v>
      </c>
    </row>
    <row r="25" spans="1:14">
      <c r="A25" s="1">
        <v>20</v>
      </c>
      <c r="B25" s="8">
        <f ca="1">_xlfn.MAXIFS(Transactions[Transaction Date], Transactions[CustomerID],A25)</f>
        <v>42811</v>
      </c>
      <c r="C25" s="1">
        <f t="shared" ca="1" si="0"/>
        <v>11</v>
      </c>
      <c r="D25" s="1">
        <f ca="1">COUNTIF(Transactions[CustomerID],"="&amp;A25)</f>
        <v>1</v>
      </c>
      <c r="E25" s="9">
        <f ca="1">_xlfn.MAXIFS(Transactions[Transaction Amount], Transactions[CustomerID],A25)/'Customer Profiles'!$M$10</f>
        <v>9.9950669528954664E-2</v>
      </c>
      <c r="F25" s="1">
        <f t="shared" ca="1" si="1"/>
        <v>2.59</v>
      </c>
      <c r="G25" s="1">
        <f t="shared" ca="1" si="2"/>
        <v>0.15</v>
      </c>
      <c r="H25" s="1">
        <f t="shared" ca="1" si="3"/>
        <v>2.96</v>
      </c>
    </row>
    <row r="26" spans="1:14">
      <c r="A26" s="1">
        <v>21</v>
      </c>
      <c r="B26" s="8">
        <f ca="1">_xlfn.MAXIFS(Transactions[Transaction Date], Transactions[CustomerID],A26)</f>
        <v>42996</v>
      </c>
      <c r="C26" s="1">
        <f t="shared" ca="1" si="0"/>
        <v>5</v>
      </c>
      <c r="D26" s="1">
        <f ca="1">COUNTIF(Transactions[CustomerID],"="&amp;A26)</f>
        <v>1</v>
      </c>
      <c r="E26" s="9">
        <f ca="1">_xlfn.MAXIFS(Transactions[Transaction Amount], Transactions[CustomerID],A26)/'Customer Profiles'!$M$10</f>
        <v>0.16186017149463261</v>
      </c>
      <c r="F26" s="1">
        <f t="shared" ca="1" si="1"/>
        <v>1.18</v>
      </c>
      <c r="G26" s="1">
        <f t="shared" ca="1" si="2"/>
        <v>0.15</v>
      </c>
      <c r="H26" s="1">
        <f t="shared" ca="1" si="3"/>
        <v>1.5</v>
      </c>
    </row>
    <row r="27" spans="1:14">
      <c r="A27" s="1">
        <v>22</v>
      </c>
      <c r="B27" s="8">
        <f ca="1">_xlfn.MAXIFS(Transactions[Transaction Date], Transactions[CustomerID],A27)</f>
        <v>42970</v>
      </c>
      <c r="C27" s="1">
        <f t="shared" ca="1" si="0"/>
        <v>6</v>
      </c>
      <c r="D27" s="1">
        <f ca="1">COUNTIF(Transactions[CustomerID],"="&amp;A27)</f>
        <v>1</v>
      </c>
      <c r="E27" s="9">
        <f ca="1">_xlfn.MAXIFS(Transactions[Transaction Amount], Transactions[CustomerID],A27)/'Customer Profiles'!$M$10</f>
        <v>0.47478614660438023</v>
      </c>
      <c r="F27" s="1">
        <f t="shared" ca="1" si="1"/>
        <v>1.42</v>
      </c>
      <c r="G27" s="1">
        <f t="shared" ca="1" si="2"/>
        <v>0.15</v>
      </c>
      <c r="H27" s="1">
        <f t="shared" ca="1" si="3"/>
        <v>1.93</v>
      </c>
    </row>
    <row r="28" spans="1:14">
      <c r="A28" s="1">
        <v>23</v>
      </c>
      <c r="B28" s="8">
        <f ca="1">_xlfn.MAXIFS(Transactions[Transaction Date], Transactions[CustomerID],A28)</f>
        <v>42956</v>
      </c>
      <c r="C28" s="1">
        <f t="shared" ca="1" si="0"/>
        <v>6</v>
      </c>
      <c r="D28" s="1">
        <f ca="1">COUNTIF(Transactions[CustomerID],"="&amp;A28)</f>
        <v>1</v>
      </c>
      <c r="E28" s="9">
        <f ca="1">_xlfn.MAXIFS(Transactions[Transaction Amount], Transactions[CustomerID],A28)/'Customer Profiles'!$M$10</f>
        <v>0.8350856522136908</v>
      </c>
      <c r="F28" s="1">
        <f t="shared" ca="1" si="1"/>
        <v>1.42</v>
      </c>
      <c r="G28" s="1">
        <f t="shared" ca="1" si="2"/>
        <v>0.15</v>
      </c>
      <c r="H28" s="1">
        <f t="shared" ca="1" si="3"/>
        <v>2.15</v>
      </c>
    </row>
    <row r="29" spans="1:14">
      <c r="A29" s="1">
        <v>24</v>
      </c>
      <c r="B29" s="8">
        <f ca="1">_xlfn.MAXIFS(Transactions[Transaction Date], Transactions[CustomerID],A29)</f>
        <v>43482</v>
      </c>
      <c r="C29" s="1">
        <f t="shared" ca="1" si="0"/>
        <v>1</v>
      </c>
      <c r="D29" s="1">
        <f ca="1">COUNTIF(Transactions[CustomerID],"="&amp;A29)</f>
        <v>17</v>
      </c>
      <c r="E29" s="9">
        <f ca="1">_xlfn.MAXIFS(Transactions[Transaction Amount], Transactions[CustomerID],A29)/'Customer Profiles'!$M$10</f>
        <v>1.375166203474286</v>
      </c>
      <c r="F29" s="1">
        <f t="shared" ca="1" si="1"/>
        <v>0.24</v>
      </c>
      <c r="G29" s="1">
        <f t="shared" ca="1" si="2"/>
        <v>2.5499999999999998</v>
      </c>
      <c r="H29" s="1">
        <f t="shared" ca="1" si="3"/>
        <v>3.63</v>
      </c>
    </row>
    <row r="30" spans="1:14">
      <c r="A30" s="1">
        <v>25</v>
      </c>
      <c r="B30" s="8">
        <f ca="1">_xlfn.MAXIFS(Transactions[Transaction Date], Transactions[CustomerID],A30)</f>
        <v>43475</v>
      </c>
      <c r="C30" s="1">
        <f t="shared" ca="1" si="0"/>
        <v>1</v>
      </c>
      <c r="D30" s="1">
        <f ca="1">COUNTIF(Transactions[CustomerID],"="&amp;A30)</f>
        <v>3</v>
      </c>
      <c r="E30" s="9">
        <f ca="1">_xlfn.MAXIFS(Transactions[Transaction Amount], Transactions[CustomerID],A30)/'Customer Profiles'!$M$10</f>
        <v>2.2228475124334723</v>
      </c>
      <c r="F30" s="1">
        <f t="shared" ca="1" si="1"/>
        <v>0.24</v>
      </c>
      <c r="G30" s="1">
        <f t="shared" ca="1" si="2"/>
        <v>0.45</v>
      </c>
      <c r="H30" s="1">
        <f t="shared" ca="1" si="3"/>
        <v>2.0299999999999998</v>
      </c>
    </row>
    <row r="31" spans="1:14">
      <c r="A31" s="1">
        <v>26</v>
      </c>
      <c r="B31" s="8">
        <f ca="1">_xlfn.MAXIFS(Transactions[Transaction Date], Transactions[CustomerID],A31)</f>
        <v>43469</v>
      </c>
      <c r="C31" s="1">
        <f t="shared" ca="1" si="0"/>
        <v>1</v>
      </c>
      <c r="D31" s="1">
        <f ca="1">COUNTIF(Transactions[CustomerID],"="&amp;A31)</f>
        <v>22</v>
      </c>
      <c r="E31" s="9">
        <f ca="1">_xlfn.MAXIFS(Transactions[Transaction Amount], Transactions[CustomerID],A31)/'Customer Profiles'!$M$10</f>
        <v>7.6678062610560938</v>
      </c>
      <c r="F31" s="1">
        <f t="shared" ca="1" si="1"/>
        <v>0.24</v>
      </c>
      <c r="G31" s="1">
        <f t="shared" ca="1" si="2"/>
        <v>3.3</v>
      </c>
      <c r="H31" s="1">
        <f t="shared" ca="1" si="3"/>
        <v>8.15</v>
      </c>
    </row>
    <row r="32" spans="1:14">
      <c r="A32" s="1">
        <v>27</v>
      </c>
      <c r="B32" s="8">
        <f ca="1">_xlfn.MAXIFS(Transactions[Transaction Date], Transactions[CustomerID],A32)</f>
        <v>43232</v>
      </c>
      <c r="C32" s="1">
        <f t="shared" ca="1" si="0"/>
        <v>9</v>
      </c>
      <c r="D32" s="1">
        <f ca="1">COUNTIF(Transactions[CustomerID],"="&amp;A32)</f>
        <v>1</v>
      </c>
      <c r="E32" s="9">
        <f ca="1">_xlfn.MAXIFS(Transactions[Transaction Amount], Transactions[CustomerID],A32)/'Customer Profiles'!$M$10</f>
        <v>1.0454997322075366</v>
      </c>
      <c r="F32" s="1">
        <f t="shared" ca="1" si="1"/>
        <v>2.12</v>
      </c>
      <c r="G32" s="1">
        <f t="shared" ca="1" si="2"/>
        <v>0.15</v>
      </c>
      <c r="H32" s="1">
        <f t="shared" ca="1" si="3"/>
        <v>3.03</v>
      </c>
    </row>
    <row r="33" spans="1:8">
      <c r="A33" s="1">
        <v>28</v>
      </c>
      <c r="B33" s="8">
        <f ca="1">_xlfn.MAXIFS(Transactions[Transaction Date], Transactions[CustomerID],A33)</f>
        <v>43295</v>
      </c>
      <c r="C33" s="1">
        <f t="shared" ca="1" si="0"/>
        <v>7</v>
      </c>
      <c r="D33" s="1">
        <f ca="1">COUNTIF(Transactions[CustomerID],"="&amp;A33)</f>
        <v>1</v>
      </c>
      <c r="E33" s="9">
        <f ca="1">_xlfn.MAXIFS(Transactions[Transaction Amount], Transactions[CustomerID],A33)/'Customer Profiles'!$M$10</f>
        <v>0.36722410066171818</v>
      </c>
      <c r="F33" s="1">
        <f t="shared" ca="1" si="1"/>
        <v>1.65</v>
      </c>
      <c r="G33" s="1">
        <f t="shared" ca="1" si="2"/>
        <v>0.15</v>
      </c>
      <c r="H33" s="1">
        <f t="shared" ca="1" si="3"/>
        <v>2.12</v>
      </c>
    </row>
    <row r="34" spans="1:8">
      <c r="A34" s="1">
        <v>29</v>
      </c>
      <c r="B34" s="8">
        <f ca="1">_xlfn.MAXIFS(Transactions[Transaction Date], Transactions[CustomerID],A34)</f>
        <v>42784</v>
      </c>
      <c r="C34" s="1">
        <f t="shared" ca="1" si="0"/>
        <v>1</v>
      </c>
      <c r="D34" s="1">
        <f ca="1">COUNTIF(Transactions[CustomerID],"="&amp;A34)</f>
        <v>1</v>
      </c>
      <c r="E34" s="9">
        <f ca="1">_xlfn.MAXIFS(Transactions[Transaction Amount], Transactions[CustomerID],A34)/'Customer Profiles'!$M$10</f>
        <v>9.2681635206337348E-2</v>
      </c>
      <c r="F34" s="1">
        <f t="shared" ca="1" si="1"/>
        <v>0.24</v>
      </c>
      <c r="G34" s="1">
        <f t="shared" ca="1" si="2"/>
        <v>0.15</v>
      </c>
      <c r="H34" s="1">
        <f t="shared" ca="1" si="3"/>
        <v>0.46</v>
      </c>
    </row>
    <row r="35" spans="1:8">
      <c r="A35" s="1">
        <v>30</v>
      </c>
      <c r="B35" s="8">
        <f ca="1">_xlfn.MAXIFS(Transactions[Transaction Date], Transactions[CustomerID],A35)</f>
        <v>43494</v>
      </c>
      <c r="C35" s="1">
        <f t="shared" ca="1" si="0"/>
        <v>1</v>
      </c>
      <c r="D35" s="1">
        <f ca="1">COUNTIF(Transactions[CustomerID],"="&amp;A35)</f>
        <v>175</v>
      </c>
      <c r="E35" s="9">
        <f ca="1">_xlfn.MAXIFS(Transactions[Transaction Amount], Transactions[CustomerID],A35)/'Customer Profiles'!$M$10</f>
        <v>7.8999393477881164</v>
      </c>
      <c r="F35" s="1">
        <f t="shared" ca="1" si="1"/>
        <v>0.24</v>
      </c>
      <c r="G35" s="1">
        <f t="shared" ca="1" si="2"/>
        <v>26.24</v>
      </c>
      <c r="H35" s="1">
        <f t="shared" ca="1" si="3"/>
        <v>31.24</v>
      </c>
    </row>
    <row r="36" spans="1:8">
      <c r="A36" s="1">
        <v>31</v>
      </c>
      <c r="B36" s="8">
        <f ca="1">_xlfn.MAXIFS(Transactions[Transaction Date], Transactions[CustomerID],A36)</f>
        <v>43427</v>
      </c>
      <c r="C36" s="1">
        <f t="shared" ca="1" si="0"/>
        <v>3</v>
      </c>
      <c r="D36" s="1">
        <f ca="1">COUNTIF(Transactions[CustomerID],"="&amp;A36)</f>
        <v>5</v>
      </c>
      <c r="E36" s="9">
        <f ca="1">_xlfn.MAXIFS(Transactions[Transaction Amount], Transactions[CustomerID],A36)/'Customer Profiles'!$M$10</f>
        <v>1.8633596169485034</v>
      </c>
      <c r="F36" s="1">
        <f t="shared" ca="1" si="1"/>
        <v>0.71</v>
      </c>
      <c r="G36" s="1">
        <f t="shared" ca="1" si="2"/>
        <v>0.75</v>
      </c>
      <c r="H36" s="1">
        <f t="shared" ca="1" si="3"/>
        <v>2.62</v>
      </c>
    </row>
    <row r="37" spans="1:8">
      <c r="A37" s="1">
        <v>32</v>
      </c>
      <c r="B37" s="8">
        <f ca="1">_xlfn.MAXIFS(Transactions[Transaction Date], Transactions[CustomerID],A37)</f>
        <v>43180</v>
      </c>
      <c r="C37" s="1">
        <f t="shared" ca="1" si="0"/>
        <v>11</v>
      </c>
      <c r="D37" s="1">
        <f ca="1">COUNTIF(Transactions[CustomerID],"="&amp;A37)</f>
        <v>5</v>
      </c>
      <c r="E37" s="9">
        <f ca="1">_xlfn.MAXIFS(Transactions[Transaction Amount], Transactions[CustomerID],A37)/'Customer Profiles'!$M$10</f>
        <v>4.8058072744293288</v>
      </c>
      <c r="F37" s="1">
        <f t="shared" ca="1" si="1"/>
        <v>2.59</v>
      </c>
      <c r="G37" s="1">
        <f t="shared" ca="1" si="2"/>
        <v>0.75</v>
      </c>
      <c r="H37" s="1">
        <f t="shared" ca="1" si="3"/>
        <v>6.38</v>
      </c>
    </row>
    <row r="38" spans="1:8">
      <c r="A38" s="1">
        <v>33</v>
      </c>
      <c r="B38" s="8">
        <f ca="1">_xlfn.MAXIFS(Transactions[Transaction Date], Transactions[CustomerID],A38)</f>
        <v>43490</v>
      </c>
      <c r="C38" s="1">
        <f t="shared" ca="1" si="0"/>
        <v>1</v>
      </c>
      <c r="D38" s="1">
        <f ca="1">COUNTIF(Transactions[CustomerID],"="&amp;A38)</f>
        <v>6</v>
      </c>
      <c r="E38" s="9">
        <f ca="1">_xlfn.MAXIFS(Transactions[Transaction Amount], Transactions[CustomerID],A38)/'Customer Profiles'!$M$10</f>
        <v>2.7402932742972959</v>
      </c>
      <c r="F38" s="1">
        <f t="shared" ca="1" si="1"/>
        <v>0.24</v>
      </c>
      <c r="G38" s="1">
        <f t="shared" ca="1" si="2"/>
        <v>0.9</v>
      </c>
      <c r="H38" s="1">
        <f t="shared" ca="1" si="3"/>
        <v>2.79</v>
      </c>
    </row>
    <row r="39" spans="1:8">
      <c r="A39" s="1">
        <v>34</v>
      </c>
      <c r="B39" s="8">
        <f ca="1">_xlfn.MAXIFS(Transactions[Transaction Date], Transactions[CustomerID],A39)</f>
        <v>42916</v>
      </c>
      <c r="C39" s="1">
        <f t="shared" ca="1" si="0"/>
        <v>8</v>
      </c>
      <c r="D39" s="1">
        <f ca="1">COUNTIF(Transactions[CustomerID],"="&amp;A39)</f>
        <v>1</v>
      </c>
      <c r="E39" s="9">
        <f ca="1">_xlfn.MAXIFS(Transactions[Transaction Amount], Transactions[CustomerID],A39)/'Customer Profiles'!$M$10</f>
        <v>5.2855156839675574</v>
      </c>
      <c r="F39" s="1">
        <f t="shared" ca="1" si="1"/>
        <v>1.89</v>
      </c>
      <c r="G39" s="1">
        <f t="shared" ca="1" si="2"/>
        <v>0.15</v>
      </c>
      <c r="H39" s="1">
        <f t="shared" ca="1" si="3"/>
        <v>5.32</v>
      </c>
    </row>
    <row r="40" spans="1:8">
      <c r="A40" s="1">
        <v>35</v>
      </c>
      <c r="B40" s="8">
        <f ca="1">_xlfn.MAXIFS(Transactions[Transaction Date], Transactions[CustomerID],A40)</f>
        <v>43226</v>
      </c>
      <c r="C40" s="1">
        <f t="shared" ca="1" si="0"/>
        <v>9</v>
      </c>
      <c r="D40" s="1">
        <f ca="1">COUNTIF(Transactions[CustomerID],"="&amp;A40)</f>
        <v>1</v>
      </c>
      <c r="E40" s="9">
        <f ca="1">_xlfn.MAXIFS(Transactions[Transaction Amount], Transactions[CustomerID],A40)/'Customer Profiles'!$M$10</f>
        <v>1.2937835800376207</v>
      </c>
      <c r="F40" s="1">
        <f t="shared" ca="1" si="1"/>
        <v>2.12</v>
      </c>
      <c r="G40" s="1">
        <f t="shared" ca="1" si="2"/>
        <v>0.15</v>
      </c>
      <c r="H40" s="1">
        <f t="shared" ca="1" si="3"/>
        <v>3.18</v>
      </c>
    </row>
    <row r="41" spans="1:8">
      <c r="A41" s="1">
        <v>36</v>
      </c>
      <c r="B41" s="8">
        <f ca="1">_xlfn.MAXIFS(Transactions[Transaction Date], Transactions[CustomerID],A41)</f>
        <v>43486</v>
      </c>
      <c r="C41" s="1">
        <f t="shared" ca="1" si="0"/>
        <v>1</v>
      </c>
      <c r="D41" s="1">
        <f ca="1">COUNTIF(Transactions[CustomerID],"="&amp;A41)</f>
        <v>25</v>
      </c>
      <c r="E41" s="9">
        <f ca="1">_xlfn.MAXIFS(Transactions[Transaction Amount], Transactions[CustomerID],A41)/'Customer Profiles'!$M$10</f>
        <v>3.7893330684461883</v>
      </c>
      <c r="F41" s="1">
        <f t="shared" ca="1" si="1"/>
        <v>0.24</v>
      </c>
      <c r="G41" s="1">
        <f t="shared" ca="1" si="2"/>
        <v>3.75</v>
      </c>
      <c r="H41" s="1">
        <f t="shared" ca="1" si="3"/>
        <v>6.27</v>
      </c>
    </row>
    <row r="42" spans="1:8">
      <c r="A42" s="1">
        <v>37</v>
      </c>
      <c r="B42" s="8">
        <f ca="1">_xlfn.MAXIFS(Transactions[Transaction Date], Transactions[CustomerID],A42)</f>
        <v>43495</v>
      </c>
      <c r="C42" s="1">
        <f t="shared" ca="1" si="0"/>
        <v>1</v>
      </c>
      <c r="D42" s="1">
        <f ca="1">COUNTIF(Transactions[CustomerID],"="&amp;A42)</f>
        <v>30</v>
      </c>
      <c r="E42" s="9">
        <f ca="1">_xlfn.MAXIFS(Transactions[Transaction Amount], Transactions[CustomerID],A42)/'Customer Profiles'!$M$10</f>
        <v>10.065898778482586</v>
      </c>
      <c r="F42" s="1">
        <f t="shared" ca="1" si="1"/>
        <v>0.24</v>
      </c>
      <c r="G42" s="1">
        <f t="shared" ca="1" si="2"/>
        <v>4.5</v>
      </c>
      <c r="H42" s="1">
        <f t="shared" ca="1" si="3"/>
        <v>10.79</v>
      </c>
    </row>
    <row r="43" spans="1:8">
      <c r="A43" s="1">
        <v>38</v>
      </c>
      <c r="B43" s="8">
        <f ca="1">_xlfn.MAXIFS(Transactions[Transaction Date], Transactions[CustomerID],A43)</f>
        <v>42767</v>
      </c>
      <c r="C43" s="1">
        <f t="shared" ca="1" si="0"/>
        <v>1</v>
      </c>
      <c r="D43" s="1">
        <f ca="1">COUNTIF(Transactions[CustomerID],"="&amp;A43)</f>
        <v>1</v>
      </c>
      <c r="E43" s="9">
        <f ca="1">_xlfn.MAXIFS(Transactions[Transaction Amount], Transactions[CustomerID],A43)/'Customer Profiles'!$M$10</f>
        <v>0.17815041306080109</v>
      </c>
      <c r="F43" s="1">
        <f t="shared" ca="1" si="1"/>
        <v>0.24</v>
      </c>
      <c r="G43" s="1">
        <f t="shared" ca="1" si="2"/>
        <v>0.15</v>
      </c>
      <c r="H43" s="1">
        <f t="shared" ca="1" si="3"/>
        <v>0.51</v>
      </c>
    </row>
    <row r="44" spans="1:8">
      <c r="A44" s="1">
        <v>39</v>
      </c>
      <c r="B44" s="8">
        <f ca="1">_xlfn.MAXIFS(Transactions[Transaction Date], Transactions[CustomerID],A44)</f>
        <v>43452</v>
      </c>
      <c r="C44" s="1">
        <f t="shared" ca="1" si="0"/>
        <v>2</v>
      </c>
      <c r="D44" s="1">
        <f ca="1">COUNTIF(Transactions[CustomerID],"="&amp;A44)</f>
        <v>1</v>
      </c>
      <c r="E44" s="9">
        <f ca="1">_xlfn.MAXIFS(Transactions[Transaction Amount], Transactions[CustomerID],A44)/'Customer Profiles'!$M$10</f>
        <v>0.68222454950129963</v>
      </c>
      <c r="F44" s="1">
        <f t="shared" ca="1" si="1"/>
        <v>0.47</v>
      </c>
      <c r="G44" s="1">
        <f t="shared" ca="1" si="2"/>
        <v>0.15</v>
      </c>
      <c r="H44" s="1">
        <f t="shared" ca="1" si="3"/>
        <v>1.06</v>
      </c>
    </row>
    <row r="45" spans="1:8">
      <c r="A45" s="1">
        <v>40</v>
      </c>
      <c r="B45" s="8">
        <f ca="1">_xlfn.MAXIFS(Transactions[Transaction Date], Transactions[CustomerID],A45)</f>
        <v>42866</v>
      </c>
      <c r="C45" s="1">
        <f t="shared" ca="1" si="0"/>
        <v>9</v>
      </c>
      <c r="D45" s="1">
        <f ca="1">COUNTIF(Transactions[CustomerID],"="&amp;A45)</f>
        <v>1</v>
      </c>
      <c r="E45" s="9">
        <f ca="1">_xlfn.MAXIFS(Transactions[Transaction Amount], Transactions[CustomerID],A45)/'Customer Profiles'!$M$10</f>
        <v>0.12491527807660562</v>
      </c>
      <c r="F45" s="1">
        <f t="shared" ca="1" si="1"/>
        <v>2.12</v>
      </c>
      <c r="G45" s="1">
        <f t="shared" ca="1" si="2"/>
        <v>0.15</v>
      </c>
      <c r="H45" s="1">
        <f t="shared" ca="1" si="3"/>
        <v>2.4700000000000002</v>
      </c>
    </row>
    <row r="46" spans="1:8">
      <c r="A46" s="1">
        <v>41</v>
      </c>
      <c r="B46" s="8">
        <f ca="1">_xlfn.MAXIFS(Transactions[Transaction Date], Transactions[CustomerID],A46)</f>
        <v>43488</v>
      </c>
      <c r="C46" s="1">
        <f t="shared" ca="1" si="0"/>
        <v>1</v>
      </c>
      <c r="D46" s="1">
        <f ca="1">COUNTIF(Transactions[CustomerID],"="&amp;A46)</f>
        <v>2</v>
      </c>
      <c r="E46" s="9">
        <f ca="1">_xlfn.MAXIFS(Transactions[Transaction Amount], Transactions[CustomerID],A46)/'Customer Profiles'!$M$10</f>
        <v>9.3414339079332984E-2</v>
      </c>
      <c r="F46" s="1">
        <f t="shared" ca="1" si="1"/>
        <v>0.24</v>
      </c>
      <c r="G46" s="1">
        <f t="shared" ca="1" si="2"/>
        <v>0.3</v>
      </c>
      <c r="H46" s="1">
        <f t="shared" ca="1" si="3"/>
        <v>0.61</v>
      </c>
    </row>
    <row r="47" spans="1:8">
      <c r="A47" s="1">
        <v>42</v>
      </c>
      <c r="B47" s="8">
        <f ca="1">_xlfn.MAXIFS(Transactions[Transaction Date], Transactions[CustomerID],A47)</f>
        <v>43492</v>
      </c>
      <c r="C47" s="1">
        <f t="shared" ca="1" si="0"/>
        <v>1</v>
      </c>
      <c r="D47" s="1">
        <f ca="1">COUNTIF(Transactions[CustomerID],"="&amp;A47)</f>
        <v>41</v>
      </c>
      <c r="E47" s="9">
        <f ca="1">_xlfn.MAXIFS(Transactions[Transaction Amount], Transactions[CustomerID],A47)/'Customer Profiles'!$M$10</f>
        <v>4.7972465772712685</v>
      </c>
      <c r="F47" s="1">
        <f t="shared" ca="1" si="1"/>
        <v>0.24</v>
      </c>
      <c r="G47" s="1">
        <f t="shared" ca="1" si="2"/>
        <v>6.15</v>
      </c>
      <c r="H47" s="1">
        <f t="shared" ca="1" si="3"/>
        <v>9.2799999999999994</v>
      </c>
    </row>
    <row r="48" spans="1:8">
      <c r="A48" s="1">
        <v>43</v>
      </c>
      <c r="B48" s="8">
        <f ca="1">_xlfn.MAXIFS(Transactions[Transaction Date], Transactions[CustomerID],A48)</f>
        <v>43059</v>
      </c>
      <c r="C48" s="1">
        <f t="shared" ca="1" si="0"/>
        <v>3</v>
      </c>
      <c r="D48" s="1">
        <f ca="1">COUNTIF(Transactions[CustomerID],"="&amp;A48)</f>
        <v>1</v>
      </c>
      <c r="E48" s="9">
        <f ca="1">_xlfn.MAXIFS(Transactions[Transaction Amount], Transactions[CustomerID],A48)/'Customer Profiles'!$M$10</f>
        <v>0.30923608689580873</v>
      </c>
      <c r="F48" s="1">
        <f t="shared" ca="1" si="1"/>
        <v>0.71</v>
      </c>
      <c r="G48" s="1">
        <f t="shared" ca="1" si="2"/>
        <v>0.15</v>
      </c>
      <c r="H48" s="1">
        <f t="shared" ca="1" si="3"/>
        <v>1.0900000000000001</v>
      </c>
    </row>
    <row r="49" spans="1:8">
      <c r="A49" s="1">
        <v>44</v>
      </c>
      <c r="B49" s="8">
        <f ca="1">_xlfn.MAXIFS(Transactions[Transaction Date], Transactions[CustomerID],A49)</f>
        <v>43277</v>
      </c>
      <c r="C49" s="1">
        <f t="shared" ca="1" si="0"/>
        <v>8</v>
      </c>
      <c r="D49" s="1">
        <f ca="1">COUNTIF(Transactions[CustomerID],"="&amp;A49)</f>
        <v>1</v>
      </c>
      <c r="E49" s="9">
        <f ca="1">_xlfn.MAXIFS(Transactions[Transaction Amount], Transactions[CustomerID],A49)/'Customer Profiles'!$M$10</f>
        <v>9.8465471588748812E-2</v>
      </c>
      <c r="F49" s="1">
        <f t="shared" ca="1" si="1"/>
        <v>1.89</v>
      </c>
      <c r="G49" s="1">
        <f t="shared" ca="1" si="2"/>
        <v>0.15</v>
      </c>
      <c r="H49" s="1">
        <f t="shared" ca="1" si="3"/>
        <v>2.21</v>
      </c>
    </row>
    <row r="50" spans="1:8">
      <c r="A50" s="1">
        <v>45</v>
      </c>
      <c r="B50" s="8">
        <f ca="1">_xlfn.MAXIFS(Transactions[Transaction Date], Transactions[CustomerID],A50)</f>
        <v>43398</v>
      </c>
      <c r="C50" s="1">
        <f t="shared" ca="1" si="0"/>
        <v>4</v>
      </c>
      <c r="D50" s="1">
        <f ca="1">COUNTIF(Transactions[CustomerID],"="&amp;A50)</f>
        <v>1</v>
      </c>
      <c r="E50" s="9">
        <f ca="1">_xlfn.MAXIFS(Transactions[Transaction Amount], Transactions[CustomerID],A50)/'Customer Profiles'!$M$10</f>
        <v>8.1510010460762311E-2</v>
      </c>
      <c r="F50" s="1">
        <f t="shared" ca="1" si="1"/>
        <v>0.94</v>
      </c>
      <c r="G50" s="1">
        <f t="shared" ca="1" si="2"/>
        <v>0.15</v>
      </c>
      <c r="H50" s="1">
        <f t="shared" ca="1" si="3"/>
        <v>1.2</v>
      </c>
    </row>
    <row r="51" spans="1:8">
      <c r="A51" s="1">
        <v>46</v>
      </c>
      <c r="B51" s="8">
        <f ca="1">_xlfn.MAXIFS(Transactions[Transaction Date], Transactions[CustomerID],A51)</f>
        <v>43073</v>
      </c>
      <c r="C51" s="1">
        <f t="shared" ca="1" si="0"/>
        <v>2</v>
      </c>
      <c r="D51" s="1">
        <f ca="1">COUNTIF(Transactions[CustomerID],"="&amp;A51)</f>
        <v>2</v>
      </c>
      <c r="E51" s="9">
        <f ca="1">_xlfn.MAXIFS(Transactions[Transaction Amount], Transactions[CustomerID],A51)/'Customer Profiles'!$M$10</f>
        <v>0.33591070831135711</v>
      </c>
      <c r="F51" s="1">
        <f t="shared" ca="1" si="1"/>
        <v>0.47</v>
      </c>
      <c r="G51" s="1">
        <f t="shared" ca="1" si="2"/>
        <v>0.3</v>
      </c>
      <c r="H51" s="1">
        <f t="shared" ca="1" si="3"/>
        <v>1</v>
      </c>
    </row>
    <row r="52" spans="1:8">
      <c r="A52" s="1">
        <v>47</v>
      </c>
      <c r="B52" s="8">
        <f ca="1">_xlfn.MAXIFS(Transactions[Transaction Date], Transactions[CustomerID],A52)</f>
        <v>43461</v>
      </c>
      <c r="C52" s="1">
        <f t="shared" ca="1" si="0"/>
        <v>2</v>
      </c>
      <c r="D52" s="1">
        <f ca="1">COUNTIF(Transactions[CustomerID],"="&amp;A52)</f>
        <v>11</v>
      </c>
      <c r="E52" s="9">
        <f ca="1">_xlfn.MAXIFS(Transactions[Transaction Amount], Transactions[CustomerID],A52)/'Customer Profiles'!$M$10</f>
        <v>6.6313243527749028</v>
      </c>
      <c r="F52" s="1">
        <f t="shared" ca="1" si="1"/>
        <v>0.47</v>
      </c>
      <c r="G52" s="1">
        <f t="shared" ca="1" si="2"/>
        <v>1.65</v>
      </c>
      <c r="H52" s="1">
        <f t="shared" ca="1" si="3"/>
        <v>6.13</v>
      </c>
    </row>
    <row r="53" spans="1:8">
      <c r="A53" s="1">
        <v>48</v>
      </c>
      <c r="B53" s="8">
        <f ca="1">_xlfn.MAXIFS(Transactions[Transaction Date], Transactions[CustomerID],A53)</f>
        <v>43397</v>
      </c>
      <c r="C53" s="1">
        <f t="shared" ca="1" si="0"/>
        <v>4</v>
      </c>
      <c r="D53" s="1">
        <f ca="1">COUNTIF(Transactions[CustomerID],"="&amp;A53)</f>
        <v>1</v>
      </c>
      <c r="E53" s="9">
        <f ca="1">_xlfn.MAXIFS(Transactions[Transaction Amount], Transactions[CustomerID],A53)/'Customer Profiles'!$M$10</f>
        <v>1.2691440630914725</v>
      </c>
      <c r="F53" s="1">
        <f t="shared" ca="1" si="1"/>
        <v>0.94</v>
      </c>
      <c r="G53" s="1">
        <f t="shared" ca="1" si="2"/>
        <v>0.15</v>
      </c>
      <c r="H53" s="1">
        <f t="shared" ca="1" si="3"/>
        <v>1.91</v>
      </c>
    </row>
    <row r="54" spans="1:8">
      <c r="A54" s="1">
        <v>49</v>
      </c>
      <c r="B54" s="8">
        <f ca="1">_xlfn.MAXIFS(Transactions[Transaction Date], Transactions[CustomerID],A54)</f>
        <v>43385</v>
      </c>
      <c r="C54" s="1">
        <f t="shared" ca="1" si="0"/>
        <v>4</v>
      </c>
      <c r="D54" s="1">
        <f ca="1">COUNTIF(Transactions[CustomerID],"="&amp;A54)</f>
        <v>6</v>
      </c>
      <c r="E54" s="9">
        <f ca="1">_xlfn.MAXIFS(Transactions[Transaction Amount], Transactions[CustomerID],A54)/'Customer Profiles'!$M$10</f>
        <v>2.0297715867792125</v>
      </c>
      <c r="F54" s="1">
        <f t="shared" ca="1" si="1"/>
        <v>0.94</v>
      </c>
      <c r="G54" s="1">
        <f t="shared" ca="1" si="2"/>
        <v>0.9</v>
      </c>
      <c r="H54" s="1">
        <f t="shared" ca="1" si="3"/>
        <v>3.12</v>
      </c>
    </row>
    <row r="55" spans="1:8">
      <c r="A55" s="1">
        <v>50</v>
      </c>
      <c r="B55" s="8">
        <f ca="1">_xlfn.MAXIFS(Transactions[Transaction Date], Transactions[CustomerID],A55)</f>
        <v>43247</v>
      </c>
      <c r="C55" s="1">
        <f t="shared" ca="1" si="0"/>
        <v>9</v>
      </c>
      <c r="D55" s="1">
        <f ca="1">COUNTIF(Transactions[CustomerID],"="&amp;A55)</f>
        <v>1</v>
      </c>
      <c r="E55" s="9">
        <f ca="1">_xlfn.MAXIFS(Transactions[Transaction Amount], Transactions[CustomerID],A55)/'Customer Profiles'!$M$10</f>
        <v>3.6132936781037395</v>
      </c>
      <c r="F55" s="1">
        <f t="shared" ca="1" si="1"/>
        <v>2.12</v>
      </c>
      <c r="G55" s="1">
        <f t="shared" ca="1" si="2"/>
        <v>0.15</v>
      </c>
      <c r="H55" s="1">
        <f t="shared" ca="1" si="3"/>
        <v>4.57</v>
      </c>
    </row>
    <row r="56" spans="1:8">
      <c r="A56" s="1">
        <v>51</v>
      </c>
      <c r="B56" s="8">
        <f ca="1">_xlfn.MAXIFS(Transactions[Transaction Date], Transactions[CustomerID],A56)</f>
        <v>43314</v>
      </c>
      <c r="C56" s="1">
        <f t="shared" ca="1" si="0"/>
        <v>6</v>
      </c>
      <c r="D56" s="1">
        <f ca="1">COUNTIF(Transactions[CustomerID],"="&amp;A56)</f>
        <v>1</v>
      </c>
      <c r="E56" s="9">
        <f ca="1">_xlfn.MAXIFS(Transactions[Transaction Amount], Transactions[CustomerID],A56)/'Customer Profiles'!$M$10</f>
        <v>0.27908242457299953</v>
      </c>
      <c r="F56" s="1">
        <f t="shared" ca="1" si="1"/>
        <v>1.42</v>
      </c>
      <c r="G56" s="1">
        <f t="shared" ca="1" si="2"/>
        <v>0.15</v>
      </c>
      <c r="H56" s="1">
        <f t="shared" ca="1" si="3"/>
        <v>1.82</v>
      </c>
    </row>
    <row r="57" spans="1:8">
      <c r="A57" s="1">
        <v>52</v>
      </c>
      <c r="B57" s="8">
        <f ca="1">_xlfn.MAXIFS(Transactions[Transaction Date], Transactions[CustomerID],A57)</f>
        <v>43173</v>
      </c>
      <c r="C57" s="1">
        <f t="shared" ca="1" si="0"/>
        <v>11</v>
      </c>
      <c r="D57" s="1">
        <f ca="1">COUNTIF(Transactions[CustomerID],"="&amp;A57)</f>
        <v>2</v>
      </c>
      <c r="E57" s="9">
        <f ca="1">_xlfn.MAXIFS(Transactions[Transaction Amount], Transactions[CustomerID],A57)/'Customer Profiles'!$M$10</f>
        <v>5.9722758538671636E-2</v>
      </c>
      <c r="F57" s="1">
        <f t="shared" ca="1" si="1"/>
        <v>2.59</v>
      </c>
      <c r="G57" s="1">
        <f t="shared" ca="1" si="2"/>
        <v>0.3</v>
      </c>
      <c r="H57" s="1">
        <f t="shared" ca="1" si="3"/>
        <v>3.09</v>
      </c>
    </row>
    <row r="58" spans="1:8">
      <c r="A58" s="1">
        <v>53</v>
      </c>
      <c r="B58" s="8">
        <f ca="1">_xlfn.MAXIFS(Transactions[Transaction Date], Transactions[CustomerID],A58)</f>
        <v>43493</v>
      </c>
      <c r="C58" s="1">
        <f t="shared" ca="1" si="0"/>
        <v>1</v>
      </c>
      <c r="D58" s="1">
        <f ca="1">COUNTIF(Transactions[CustomerID],"="&amp;A58)</f>
        <v>28</v>
      </c>
      <c r="E58" s="9">
        <f ca="1">_xlfn.MAXIFS(Transactions[Transaction Amount], Transactions[CustomerID],A58)/'Customer Profiles'!$M$10</f>
        <v>2.9598244869370078</v>
      </c>
      <c r="F58" s="1">
        <f t="shared" ca="1" si="1"/>
        <v>0.24</v>
      </c>
      <c r="G58" s="1">
        <f t="shared" ca="1" si="2"/>
        <v>4.2</v>
      </c>
      <c r="H58" s="1">
        <f t="shared" ca="1" si="3"/>
        <v>6.23</v>
      </c>
    </row>
    <row r="59" spans="1:8">
      <c r="A59" s="1">
        <v>54</v>
      </c>
      <c r="B59" s="8">
        <f ca="1">_xlfn.MAXIFS(Transactions[Transaction Date], Transactions[CustomerID],A59)</f>
        <v>43258</v>
      </c>
      <c r="C59" s="1">
        <f t="shared" ca="1" si="0"/>
        <v>8</v>
      </c>
      <c r="D59" s="1">
        <f ca="1">COUNTIF(Transactions[CustomerID],"="&amp;A59)</f>
        <v>2</v>
      </c>
      <c r="E59" s="9">
        <f ca="1">_xlfn.MAXIFS(Transactions[Transaction Amount], Transactions[CustomerID],A59)/'Customer Profiles'!$M$10</f>
        <v>0.24224784396555946</v>
      </c>
      <c r="F59" s="1">
        <f t="shared" ca="1" si="1"/>
        <v>1.89</v>
      </c>
      <c r="G59" s="1">
        <f t="shared" ca="1" si="2"/>
        <v>0.3</v>
      </c>
      <c r="H59" s="1">
        <f t="shared" ca="1" si="3"/>
        <v>2.4500000000000002</v>
      </c>
    </row>
    <row r="60" spans="1:8">
      <c r="A60" s="1">
        <v>55</v>
      </c>
      <c r="B60" s="8">
        <f ca="1">_xlfn.MAXIFS(Transactions[Transaction Date], Transactions[CustomerID],A60)</f>
        <v>43428</v>
      </c>
      <c r="C60" s="1">
        <f t="shared" ca="1" si="0"/>
        <v>3</v>
      </c>
      <c r="D60" s="1">
        <f ca="1">COUNTIF(Transactions[CustomerID],"="&amp;A60)</f>
        <v>8</v>
      </c>
      <c r="E60" s="9">
        <f ca="1">_xlfn.MAXIFS(Transactions[Transaction Amount], Transactions[CustomerID],A60)/'Customer Profiles'!$M$10</f>
        <v>2.4904944309372921</v>
      </c>
      <c r="F60" s="1">
        <f t="shared" ca="1" si="1"/>
        <v>0.71</v>
      </c>
      <c r="G60" s="1">
        <f t="shared" ca="1" si="2"/>
        <v>1.2</v>
      </c>
      <c r="H60" s="1">
        <f t="shared" ca="1" si="3"/>
        <v>3.44</v>
      </c>
    </row>
    <row r="61" spans="1:8">
      <c r="A61" s="1">
        <v>56</v>
      </c>
      <c r="B61" s="8">
        <f ca="1">_xlfn.MAXIFS(Transactions[Transaction Date], Transactions[CustomerID],A61)</f>
        <v>43087</v>
      </c>
      <c r="C61" s="1">
        <f t="shared" ca="1" si="0"/>
        <v>2</v>
      </c>
      <c r="D61" s="1">
        <f ca="1">COUNTIF(Transactions[CustomerID],"="&amp;A61)</f>
        <v>1</v>
      </c>
      <c r="E61" s="9">
        <f ca="1">_xlfn.MAXIFS(Transactions[Transaction Amount], Transactions[CustomerID],A61)/'Customer Profiles'!$M$10</f>
        <v>3.3628740175952561</v>
      </c>
      <c r="F61" s="1">
        <f t="shared" ca="1" si="1"/>
        <v>0.47</v>
      </c>
      <c r="G61" s="1">
        <f t="shared" ca="1" si="2"/>
        <v>0.15</v>
      </c>
      <c r="H61" s="1">
        <f t="shared" ca="1" si="3"/>
        <v>2.67</v>
      </c>
    </row>
    <row r="62" spans="1:8">
      <c r="A62" s="1">
        <v>57</v>
      </c>
      <c r="B62" s="8">
        <f ca="1">_xlfn.MAXIFS(Transactions[Transaction Date], Transactions[CustomerID],A62)</f>
        <v>43465</v>
      </c>
      <c r="C62" s="1">
        <f t="shared" ca="1" si="0"/>
        <v>2</v>
      </c>
      <c r="D62" s="1">
        <f ca="1">COUNTIF(Transactions[CustomerID],"="&amp;A62)</f>
        <v>23</v>
      </c>
      <c r="E62" s="9">
        <f ca="1">_xlfn.MAXIFS(Transactions[Transaction Amount], Transactions[CustomerID],A62)/'Customer Profiles'!$M$10</f>
        <v>6.0285885093876983</v>
      </c>
      <c r="F62" s="1">
        <f t="shared" ca="1" si="1"/>
        <v>0.47</v>
      </c>
      <c r="G62" s="1">
        <f t="shared" ca="1" si="2"/>
        <v>3.45</v>
      </c>
      <c r="H62" s="1">
        <f t="shared" ca="1" si="3"/>
        <v>7.57</v>
      </c>
    </row>
    <row r="63" spans="1:8">
      <c r="A63" s="1">
        <v>58</v>
      </c>
      <c r="B63" s="8">
        <f ca="1">_xlfn.MAXIFS(Transactions[Transaction Date], Transactions[CustomerID],A63)</f>
        <v>43404</v>
      </c>
      <c r="C63" s="1">
        <f t="shared" ca="1" si="0"/>
        <v>4</v>
      </c>
      <c r="D63" s="1">
        <f ca="1">COUNTIF(Transactions[CustomerID],"="&amp;A63)</f>
        <v>3</v>
      </c>
      <c r="E63" s="9">
        <f ca="1">_xlfn.MAXIFS(Transactions[Transaction Amount], Transactions[CustomerID],A63)/'Customer Profiles'!$M$10</f>
        <v>1.9097155107838744</v>
      </c>
      <c r="F63" s="1">
        <f t="shared" ca="1" si="1"/>
        <v>0.94</v>
      </c>
      <c r="G63" s="1">
        <f t="shared" ca="1" si="2"/>
        <v>0.45</v>
      </c>
      <c r="H63" s="1">
        <f t="shared" ca="1" si="3"/>
        <v>2.6</v>
      </c>
    </row>
    <row r="64" spans="1:8">
      <c r="A64" s="1">
        <v>59</v>
      </c>
      <c r="B64" s="8">
        <f ca="1">_xlfn.MAXIFS(Transactions[Transaction Date], Transactions[CustomerID],A64)</f>
        <v>43359</v>
      </c>
      <c r="C64" s="1">
        <f t="shared" ca="1" si="0"/>
        <v>5</v>
      </c>
      <c r="D64" s="1">
        <f ca="1">COUNTIF(Transactions[CustomerID],"="&amp;A64)</f>
        <v>1</v>
      </c>
      <c r="E64" s="9">
        <f ca="1">_xlfn.MAXIFS(Transactions[Transaction Amount], Transactions[CustomerID],A64)/'Customer Profiles'!$M$10</f>
        <v>5.1620562753202943</v>
      </c>
      <c r="F64" s="1">
        <f t="shared" ca="1" si="1"/>
        <v>1.18</v>
      </c>
      <c r="G64" s="1">
        <f t="shared" ca="1" si="2"/>
        <v>0.15</v>
      </c>
      <c r="H64" s="1">
        <f t="shared" ca="1" si="3"/>
        <v>4.5</v>
      </c>
    </row>
    <row r="65" spans="1:8">
      <c r="A65" s="1">
        <v>60</v>
      </c>
      <c r="B65" s="8">
        <f ca="1">_xlfn.MAXIFS(Transactions[Transaction Date], Transactions[CustomerID],A65)</f>
        <v>43213</v>
      </c>
      <c r="C65" s="1">
        <f t="shared" ca="1" si="0"/>
        <v>10</v>
      </c>
      <c r="D65" s="1">
        <f ca="1">COUNTIF(Transactions[CustomerID],"="&amp;A65)</f>
        <v>2</v>
      </c>
      <c r="E65" s="9">
        <f ca="1">_xlfn.MAXIFS(Transactions[Transaction Amount], Transactions[CustomerID],A65)/'Customer Profiles'!$M$10</f>
        <v>9.8132374564434632E-2</v>
      </c>
      <c r="F65" s="1">
        <f t="shared" ca="1" si="1"/>
        <v>2.36</v>
      </c>
      <c r="G65" s="1">
        <f t="shared" ca="1" si="2"/>
        <v>0.3</v>
      </c>
      <c r="H65" s="1">
        <f t="shared" ca="1" si="3"/>
        <v>2.86</v>
      </c>
    </row>
    <row r="66" spans="1:8">
      <c r="A66" s="1">
        <v>61</v>
      </c>
      <c r="B66" s="8">
        <f ca="1">_xlfn.MAXIFS(Transactions[Transaction Date], Transactions[CustomerID],A66)</f>
        <v>43009</v>
      </c>
      <c r="C66" s="1">
        <f t="shared" ca="1" si="0"/>
        <v>5</v>
      </c>
      <c r="D66" s="1">
        <f ca="1">COUNTIF(Transactions[CustomerID],"="&amp;A66)</f>
        <v>1</v>
      </c>
      <c r="E66" s="9">
        <f ca="1">_xlfn.MAXIFS(Transactions[Transaction Amount], Transactions[CustomerID],A66)/'Customer Profiles'!$M$10</f>
        <v>5.8578284070433244E-2</v>
      </c>
      <c r="F66" s="1">
        <f t="shared" ca="1" si="1"/>
        <v>1.18</v>
      </c>
      <c r="G66" s="1">
        <f t="shared" ca="1" si="2"/>
        <v>0.15</v>
      </c>
      <c r="H66" s="1">
        <f t="shared" ca="1" si="3"/>
        <v>1.44</v>
      </c>
    </row>
    <row r="67" spans="1:8">
      <c r="A67" s="1">
        <v>62</v>
      </c>
      <c r="B67" s="8">
        <f ca="1">_xlfn.MAXIFS(Transactions[Transaction Date], Transactions[CustomerID],A67)</f>
        <v>43293</v>
      </c>
      <c r="C67" s="1">
        <f t="shared" ca="1" si="0"/>
        <v>7</v>
      </c>
      <c r="D67" s="1">
        <f ca="1">COUNTIF(Transactions[CustomerID],"="&amp;A67)</f>
        <v>7</v>
      </c>
      <c r="E67" s="9">
        <f ca="1">_xlfn.MAXIFS(Transactions[Transaction Amount], Transactions[CustomerID],A67)/'Customer Profiles'!$M$10</f>
        <v>0.63286516031738693</v>
      </c>
      <c r="F67" s="1">
        <f t="shared" ca="1" si="1"/>
        <v>1.65</v>
      </c>
      <c r="G67" s="1">
        <f t="shared" ca="1" si="2"/>
        <v>1.05</v>
      </c>
      <c r="H67" s="1">
        <f t="shared" ca="1" si="3"/>
        <v>3.18</v>
      </c>
    </row>
    <row r="68" spans="1:8">
      <c r="A68" s="1">
        <v>63</v>
      </c>
      <c r="B68" s="8">
        <f ca="1">_xlfn.MAXIFS(Transactions[Transaction Date], Transactions[CustomerID],A68)</f>
        <v>43335</v>
      </c>
      <c r="C68" s="1">
        <f t="shared" ca="1" si="0"/>
        <v>6</v>
      </c>
      <c r="D68" s="1">
        <f ca="1">COUNTIF(Transactions[CustomerID],"="&amp;A68)</f>
        <v>1</v>
      </c>
      <c r="E68" s="9">
        <f ca="1">_xlfn.MAXIFS(Transactions[Transaction Amount], Transactions[CustomerID],A68)/'Customer Profiles'!$M$10</f>
        <v>0.14585200851903679</v>
      </c>
      <c r="F68" s="1">
        <f t="shared" ca="1" si="1"/>
        <v>1.42</v>
      </c>
      <c r="G68" s="1">
        <f t="shared" ca="1" si="2"/>
        <v>0.15</v>
      </c>
      <c r="H68" s="1">
        <f t="shared" ca="1" si="3"/>
        <v>1.74</v>
      </c>
    </row>
    <row r="69" spans="1:8">
      <c r="A69" s="1">
        <v>64</v>
      </c>
      <c r="B69" s="8">
        <f ca="1">_xlfn.MAXIFS(Transactions[Transaction Date], Transactions[CustomerID],A69)</f>
        <v>43232</v>
      </c>
      <c r="C69" s="1">
        <f t="shared" ca="1" si="0"/>
        <v>9</v>
      </c>
      <c r="D69" s="1">
        <f ca="1">COUNTIF(Transactions[CustomerID],"="&amp;A69)</f>
        <v>1</v>
      </c>
      <c r="E69" s="9">
        <f ca="1">_xlfn.MAXIFS(Transactions[Transaction Amount], Transactions[CustomerID],A69)/'Customer Profiles'!$M$10</f>
        <v>0.16473088715698889</v>
      </c>
      <c r="F69" s="1">
        <f t="shared" ca="1" si="1"/>
        <v>2.12</v>
      </c>
      <c r="G69" s="1">
        <f t="shared" ca="1" si="2"/>
        <v>0.15</v>
      </c>
      <c r="H69" s="1">
        <f t="shared" ca="1" si="3"/>
        <v>2.5</v>
      </c>
    </row>
    <row r="70" spans="1:8">
      <c r="A70" s="1">
        <v>65</v>
      </c>
      <c r="B70" s="8">
        <f ca="1">_xlfn.MAXIFS(Transactions[Transaction Date], Transactions[CustomerID],A70)</f>
        <v>43440</v>
      </c>
      <c r="C70" s="1">
        <f t="shared" ref="C70:C133" ca="1" si="4">(MAX(DATEDIF(B70,"03/01/2019","ym"),1))</f>
        <v>2</v>
      </c>
      <c r="D70" s="1">
        <f ca="1">COUNTIF(Transactions[CustomerID],"="&amp;A70)</f>
        <v>1</v>
      </c>
      <c r="E70" s="9">
        <f ca="1">_xlfn.MAXIFS(Transactions[Transaction Amount], Transactions[CustomerID],A70)/'Customer Profiles'!$M$10</f>
        <v>0.10224933167323035</v>
      </c>
      <c r="F70" s="1">
        <f t="shared" ref="F70:F133" ca="1" si="5">ROUND(C70/$M$8,2)</f>
        <v>0.47</v>
      </c>
      <c r="G70" s="1">
        <f t="shared" ref="G70:G133" ca="1" si="6">ROUND(D70/$M$6,2)</f>
        <v>0.15</v>
      </c>
      <c r="H70" s="1">
        <f t="shared" ref="H70:H133" ca="1" si="7">ROUND(C70*$K$6+D70*$K$7+E70*$K$8,2)</f>
        <v>0.71</v>
      </c>
    </row>
    <row r="71" spans="1:8">
      <c r="A71" s="1">
        <v>66</v>
      </c>
      <c r="B71" s="8">
        <f ca="1">_xlfn.MAXIFS(Transactions[Transaction Date], Transactions[CustomerID],A71)</f>
        <v>43024</v>
      </c>
      <c r="C71" s="1">
        <f t="shared" ca="1" si="4"/>
        <v>4</v>
      </c>
      <c r="D71" s="1">
        <f ca="1">COUNTIF(Transactions[CustomerID],"="&amp;A71)</f>
        <v>1</v>
      </c>
      <c r="E71" s="9">
        <f ca="1">_xlfn.MAXIFS(Transactions[Transaction Amount], Transactions[CustomerID],A71)/'Customer Profiles'!$M$10</f>
        <v>0.16994255601465316</v>
      </c>
      <c r="F71" s="1">
        <f t="shared" ca="1" si="5"/>
        <v>0.94</v>
      </c>
      <c r="G71" s="1">
        <f t="shared" ca="1" si="6"/>
        <v>0.15</v>
      </c>
      <c r="H71" s="1">
        <f t="shared" ca="1" si="7"/>
        <v>1.25</v>
      </c>
    </row>
    <row r="72" spans="1:8">
      <c r="A72" s="1">
        <v>67</v>
      </c>
      <c r="B72" s="8">
        <f ca="1">_xlfn.MAXIFS(Transactions[Transaction Date], Transactions[CustomerID],A72)</f>
        <v>43066</v>
      </c>
      <c r="C72" s="1">
        <f t="shared" ca="1" si="4"/>
        <v>3</v>
      </c>
      <c r="D72" s="1">
        <f ca="1">COUNTIF(Transactions[CustomerID],"="&amp;A72)</f>
        <v>1</v>
      </c>
      <c r="E72" s="9">
        <f ca="1">_xlfn.MAXIFS(Transactions[Transaction Amount], Transactions[CustomerID],A72)/'Customer Profiles'!$M$10</f>
        <v>0.26492451231305053</v>
      </c>
      <c r="F72" s="1">
        <f t="shared" ca="1" si="5"/>
        <v>0.71</v>
      </c>
      <c r="G72" s="1">
        <f t="shared" ca="1" si="6"/>
        <v>0.15</v>
      </c>
      <c r="H72" s="1">
        <f t="shared" ca="1" si="7"/>
        <v>1.06</v>
      </c>
    </row>
    <row r="73" spans="1:8">
      <c r="A73" s="1">
        <v>68</v>
      </c>
      <c r="B73" s="8">
        <f ca="1">_xlfn.MAXIFS(Transactions[Transaction Date], Transactions[CustomerID],A73)</f>
        <v>43451</v>
      </c>
      <c r="C73" s="1">
        <f t="shared" ca="1" si="4"/>
        <v>2</v>
      </c>
      <c r="D73" s="1">
        <f ca="1">COUNTIF(Transactions[CustomerID],"="&amp;A73)</f>
        <v>5</v>
      </c>
      <c r="E73" s="9">
        <f ca="1">_xlfn.MAXIFS(Transactions[Transaction Amount], Transactions[CustomerID],A73)/'Customer Profiles'!$M$10</f>
        <v>0.41461120577938759</v>
      </c>
      <c r="F73" s="1">
        <f t="shared" ca="1" si="5"/>
        <v>0.47</v>
      </c>
      <c r="G73" s="1">
        <f t="shared" ca="1" si="6"/>
        <v>0.75</v>
      </c>
      <c r="H73" s="1">
        <f t="shared" ca="1" si="7"/>
        <v>1.5</v>
      </c>
    </row>
    <row r="74" spans="1:8">
      <c r="A74" s="1">
        <v>69</v>
      </c>
      <c r="B74" s="8">
        <f ca="1">_xlfn.MAXIFS(Transactions[Transaction Date], Transactions[CustomerID],A74)</f>
        <v>43433</v>
      </c>
      <c r="C74" s="1">
        <f t="shared" ca="1" si="4"/>
        <v>3</v>
      </c>
      <c r="D74" s="1">
        <f ca="1">COUNTIF(Transactions[CustomerID],"="&amp;A74)</f>
        <v>1</v>
      </c>
      <c r="E74" s="9">
        <f ca="1">_xlfn.MAXIFS(Transactions[Transaction Amount], Transactions[CustomerID],A74)/'Customer Profiles'!$M$10</f>
        <v>3.0664759578558543</v>
      </c>
      <c r="F74" s="1">
        <f t="shared" ca="1" si="5"/>
        <v>0.71</v>
      </c>
      <c r="G74" s="1">
        <f t="shared" ca="1" si="6"/>
        <v>0.15</v>
      </c>
      <c r="H74" s="1">
        <f t="shared" ca="1" si="7"/>
        <v>2.74</v>
      </c>
    </row>
    <row r="75" spans="1:8">
      <c r="A75" s="1">
        <v>70</v>
      </c>
      <c r="B75" s="8">
        <f ca="1">_xlfn.MAXIFS(Transactions[Transaction Date], Transactions[CustomerID],A75)</f>
        <v>43433</v>
      </c>
      <c r="C75" s="1">
        <f t="shared" ca="1" si="4"/>
        <v>3</v>
      </c>
      <c r="D75" s="1">
        <f ca="1">COUNTIF(Transactions[CustomerID],"="&amp;A75)</f>
        <v>1</v>
      </c>
      <c r="E75" s="9">
        <f ca="1">_xlfn.MAXIFS(Transactions[Transaction Amount], Transactions[CustomerID],A75)/'Customer Profiles'!$M$10</f>
        <v>0.83213163807727464</v>
      </c>
      <c r="F75" s="1">
        <f t="shared" ca="1" si="5"/>
        <v>0.71</v>
      </c>
      <c r="G75" s="1">
        <f t="shared" ca="1" si="6"/>
        <v>0.15</v>
      </c>
      <c r="H75" s="1">
        <f t="shared" ca="1" si="7"/>
        <v>1.4</v>
      </c>
    </row>
    <row r="76" spans="1:8">
      <c r="A76" s="1">
        <v>71</v>
      </c>
      <c r="B76" s="8">
        <f ca="1">_xlfn.MAXIFS(Transactions[Transaction Date], Transactions[CustomerID],A76)</f>
        <v>43214</v>
      </c>
      <c r="C76" s="1">
        <f t="shared" ca="1" si="4"/>
        <v>10</v>
      </c>
      <c r="D76" s="1">
        <f ca="1">COUNTIF(Transactions[CustomerID],"="&amp;A76)</f>
        <v>2</v>
      </c>
      <c r="E76" s="9">
        <f ca="1">_xlfn.MAXIFS(Transactions[Transaction Amount], Transactions[CustomerID],A76)/'Customer Profiles'!$M$10</f>
        <v>0.19114995143873745</v>
      </c>
      <c r="F76" s="1">
        <f t="shared" ca="1" si="5"/>
        <v>2.36</v>
      </c>
      <c r="G76" s="1">
        <f t="shared" ca="1" si="6"/>
        <v>0.3</v>
      </c>
      <c r="H76" s="1">
        <f t="shared" ca="1" si="7"/>
        <v>2.91</v>
      </c>
    </row>
    <row r="77" spans="1:8">
      <c r="A77" s="1">
        <v>72</v>
      </c>
      <c r="B77" s="8">
        <f ca="1">_xlfn.MAXIFS(Transactions[Transaction Date], Transactions[CustomerID],A77)</f>
        <v>43174</v>
      </c>
      <c r="C77" s="1">
        <f t="shared" ca="1" si="4"/>
        <v>11</v>
      </c>
      <c r="D77" s="1">
        <f ca="1">COUNTIF(Transactions[CustomerID],"="&amp;A77)</f>
        <v>1</v>
      </c>
      <c r="E77" s="9">
        <f ca="1">_xlfn.MAXIFS(Transactions[Transaction Amount], Transactions[CustomerID],A77)/'Customer Profiles'!$M$10</f>
        <v>0.48797280384992947</v>
      </c>
      <c r="F77" s="1">
        <f t="shared" ca="1" si="5"/>
        <v>2.59</v>
      </c>
      <c r="G77" s="1">
        <f t="shared" ca="1" si="6"/>
        <v>0.15</v>
      </c>
      <c r="H77" s="1">
        <f t="shared" ca="1" si="7"/>
        <v>3.19</v>
      </c>
    </row>
    <row r="78" spans="1:8">
      <c r="A78" s="1">
        <v>73</v>
      </c>
      <c r="B78" s="8">
        <f ca="1">_xlfn.MAXIFS(Transactions[Transaction Date], Transactions[CustomerID],A78)</f>
        <v>43447</v>
      </c>
      <c r="C78" s="1">
        <f t="shared" ca="1" si="4"/>
        <v>2</v>
      </c>
      <c r="D78" s="1">
        <f ca="1">COUNTIF(Transactions[CustomerID],"="&amp;A78)</f>
        <v>15</v>
      </c>
      <c r="E78" s="9">
        <f ca="1">_xlfn.MAXIFS(Transactions[Transaction Amount], Transactions[CustomerID],A78)/'Customer Profiles'!$M$10</f>
        <v>2.2290602438808329</v>
      </c>
      <c r="F78" s="1">
        <f t="shared" ca="1" si="5"/>
        <v>0.47</v>
      </c>
      <c r="G78" s="1">
        <f t="shared" ca="1" si="6"/>
        <v>2.25</v>
      </c>
      <c r="H78" s="1">
        <f t="shared" ca="1" si="7"/>
        <v>4.09</v>
      </c>
    </row>
    <row r="79" spans="1:8">
      <c r="A79" s="1">
        <v>74</v>
      </c>
      <c r="B79" s="8">
        <f ca="1">_xlfn.MAXIFS(Transactions[Transaction Date], Transactions[CustomerID],A79)</f>
        <v>43436</v>
      </c>
      <c r="C79" s="1">
        <f t="shared" ca="1" si="4"/>
        <v>2</v>
      </c>
      <c r="D79" s="1">
        <f ca="1">COUNTIF(Transactions[CustomerID],"="&amp;A79)</f>
        <v>4</v>
      </c>
      <c r="E79" s="9">
        <f ca="1">_xlfn.MAXIFS(Transactions[Transaction Amount], Transactions[CustomerID],A79)/'Customer Profiles'!$M$10</f>
        <v>5.3795792886260294</v>
      </c>
      <c r="F79" s="1">
        <f t="shared" ca="1" si="5"/>
        <v>0.47</v>
      </c>
      <c r="G79" s="1">
        <f t="shared" ca="1" si="6"/>
        <v>0.6</v>
      </c>
      <c r="H79" s="1">
        <f t="shared" ca="1" si="7"/>
        <v>4.33</v>
      </c>
    </row>
    <row r="80" spans="1:8">
      <c r="A80" s="1">
        <v>75</v>
      </c>
      <c r="B80" s="8">
        <f ca="1">_xlfn.MAXIFS(Transactions[Transaction Date], Transactions[CustomerID],A80)</f>
        <v>43096</v>
      </c>
      <c r="C80" s="1">
        <f t="shared" ca="1" si="4"/>
        <v>2</v>
      </c>
      <c r="D80" s="1">
        <f ca="1">COUNTIF(Transactions[CustomerID],"="&amp;A80)</f>
        <v>1</v>
      </c>
      <c r="E80" s="9">
        <f ca="1">_xlfn.MAXIFS(Transactions[Transaction Amount], Transactions[CustomerID],A80)/'Customer Profiles'!$M$10</f>
        <v>2.4018394762812592</v>
      </c>
      <c r="F80" s="1">
        <f t="shared" ca="1" si="5"/>
        <v>0.47</v>
      </c>
      <c r="G80" s="1">
        <f t="shared" ca="1" si="6"/>
        <v>0.15</v>
      </c>
      <c r="H80" s="1">
        <f t="shared" ca="1" si="7"/>
        <v>2.09</v>
      </c>
    </row>
    <row r="81" spans="1:8">
      <c r="A81" s="1">
        <v>76</v>
      </c>
      <c r="B81" s="8">
        <f ca="1">_xlfn.MAXIFS(Transactions[Transaction Date], Transactions[CustomerID],A81)</f>
        <v>43263</v>
      </c>
      <c r="C81" s="1">
        <f t="shared" ca="1" si="4"/>
        <v>8</v>
      </c>
      <c r="D81" s="1">
        <f ca="1">COUNTIF(Transactions[CustomerID],"="&amp;A81)</f>
        <v>1</v>
      </c>
      <c r="E81" s="9">
        <f ca="1">_xlfn.MAXIFS(Transactions[Transaction Amount], Transactions[CustomerID],A81)/'Customer Profiles'!$M$10</f>
        <v>0.79338278534468731</v>
      </c>
      <c r="F81" s="1">
        <f t="shared" ca="1" si="5"/>
        <v>1.89</v>
      </c>
      <c r="G81" s="1">
        <f t="shared" ca="1" si="6"/>
        <v>0.15</v>
      </c>
      <c r="H81" s="1">
        <f t="shared" ca="1" si="7"/>
        <v>2.63</v>
      </c>
    </row>
    <row r="82" spans="1:8">
      <c r="A82" s="1">
        <v>77</v>
      </c>
      <c r="B82" s="8">
        <f ca="1">_xlfn.MAXIFS(Transactions[Transaction Date], Transactions[CustomerID],A82)</f>
        <v>42963</v>
      </c>
      <c r="C82" s="1">
        <f t="shared" ca="1" si="4"/>
        <v>6</v>
      </c>
      <c r="D82" s="1">
        <f ca="1">COUNTIF(Transactions[CustomerID],"="&amp;A82)</f>
        <v>1</v>
      </c>
      <c r="E82" s="9">
        <f ca="1">_xlfn.MAXIFS(Transactions[Transaction Amount], Transactions[CustomerID],A82)/'Customer Profiles'!$M$10</f>
        <v>0.28884282030680919</v>
      </c>
      <c r="F82" s="1">
        <f t="shared" ca="1" si="5"/>
        <v>1.42</v>
      </c>
      <c r="G82" s="1">
        <f t="shared" ca="1" si="6"/>
        <v>0.15</v>
      </c>
      <c r="H82" s="1">
        <f t="shared" ca="1" si="7"/>
        <v>1.82</v>
      </c>
    </row>
    <row r="83" spans="1:8">
      <c r="A83" s="1">
        <v>78</v>
      </c>
      <c r="B83" s="8">
        <f ca="1">_xlfn.MAXIFS(Transactions[Transaction Date], Transactions[CustomerID],A83)</f>
        <v>42856</v>
      </c>
      <c r="C83" s="1">
        <f t="shared" ca="1" si="4"/>
        <v>10</v>
      </c>
      <c r="D83" s="1">
        <f ca="1">COUNTIF(Transactions[CustomerID],"="&amp;A83)</f>
        <v>2</v>
      </c>
      <c r="E83" s="9">
        <f ca="1">_xlfn.MAXIFS(Transactions[Transaction Amount], Transactions[CustomerID],A83)/'Customer Profiles'!$M$10</f>
        <v>0.86623514623939235</v>
      </c>
      <c r="F83" s="1">
        <f t="shared" ca="1" si="5"/>
        <v>2.36</v>
      </c>
      <c r="G83" s="1">
        <f t="shared" ca="1" si="6"/>
        <v>0.3</v>
      </c>
      <c r="H83" s="1">
        <f t="shared" ca="1" si="7"/>
        <v>3.32</v>
      </c>
    </row>
    <row r="84" spans="1:8">
      <c r="A84" s="1">
        <v>79</v>
      </c>
      <c r="B84" s="8">
        <f ca="1">_xlfn.MAXIFS(Transactions[Transaction Date], Transactions[CustomerID],A84)</f>
        <v>42825</v>
      </c>
      <c r="C84" s="1">
        <f t="shared" ca="1" si="4"/>
        <v>11</v>
      </c>
      <c r="D84" s="1">
        <f ca="1">COUNTIF(Transactions[CustomerID],"="&amp;A84)</f>
        <v>1</v>
      </c>
      <c r="E84" s="9">
        <f ca="1">_xlfn.MAXIFS(Transactions[Transaction Amount], Transactions[CustomerID],A84)/'Customer Profiles'!$M$10</f>
        <v>1.1718133706291611</v>
      </c>
      <c r="F84" s="1">
        <f t="shared" ca="1" si="5"/>
        <v>2.59</v>
      </c>
      <c r="G84" s="1">
        <f t="shared" ca="1" si="6"/>
        <v>0.15</v>
      </c>
      <c r="H84" s="1">
        <f t="shared" ca="1" si="7"/>
        <v>3.6</v>
      </c>
    </row>
    <row r="85" spans="1:8">
      <c r="A85" s="1">
        <v>80</v>
      </c>
      <c r="B85" s="8">
        <f ca="1">_xlfn.MAXIFS(Transactions[Transaction Date], Transactions[CustomerID],A85)</f>
        <v>43493</v>
      </c>
      <c r="C85" s="1">
        <f t="shared" ca="1" si="4"/>
        <v>1</v>
      </c>
      <c r="D85" s="1">
        <f ca="1">COUNTIF(Transactions[CustomerID],"="&amp;A85)</f>
        <v>42</v>
      </c>
      <c r="E85" s="9">
        <f ca="1">_xlfn.MAXIFS(Transactions[Transaction Amount], Transactions[CustomerID],A85)/'Customer Profiles'!$M$10</f>
        <v>5.0728213991358011</v>
      </c>
      <c r="F85" s="1">
        <f t="shared" ca="1" si="5"/>
        <v>0.24</v>
      </c>
      <c r="G85" s="1">
        <f t="shared" ca="1" si="6"/>
        <v>6.3</v>
      </c>
      <c r="H85" s="1">
        <f t="shared" ca="1" si="7"/>
        <v>9.59</v>
      </c>
    </row>
    <row r="86" spans="1:8">
      <c r="A86" s="1">
        <v>81</v>
      </c>
      <c r="B86" s="8">
        <f ca="1">_xlfn.MAXIFS(Transactions[Transaction Date], Transactions[CustomerID],A86)</f>
        <v>43459</v>
      </c>
      <c r="C86" s="1">
        <f t="shared" ca="1" si="4"/>
        <v>2</v>
      </c>
      <c r="D86" s="1">
        <f ca="1">COUNTIF(Transactions[CustomerID],"="&amp;A86)</f>
        <v>10</v>
      </c>
      <c r="E86" s="9">
        <f ca="1">_xlfn.MAXIFS(Transactions[Transaction Amount], Transactions[CustomerID],A86)/'Customer Profiles'!$M$10</f>
        <v>4.9276334985385297</v>
      </c>
      <c r="F86" s="1">
        <f t="shared" ca="1" si="5"/>
        <v>0.47</v>
      </c>
      <c r="G86" s="1">
        <f t="shared" ca="1" si="6"/>
        <v>1.5</v>
      </c>
      <c r="H86" s="1">
        <f t="shared" ca="1" si="7"/>
        <v>4.96</v>
      </c>
    </row>
    <row r="87" spans="1:8">
      <c r="A87" s="1">
        <v>82</v>
      </c>
      <c r="B87" s="8">
        <f ca="1">_xlfn.MAXIFS(Transactions[Transaction Date], Transactions[CustomerID],A87)</f>
        <v>43436</v>
      </c>
      <c r="C87" s="1">
        <f t="shared" ca="1" si="4"/>
        <v>2</v>
      </c>
      <c r="D87" s="1">
        <f ca="1">COUNTIF(Transactions[CustomerID],"="&amp;A87)</f>
        <v>15</v>
      </c>
      <c r="E87" s="9">
        <f ca="1">_xlfn.MAXIFS(Transactions[Transaction Amount], Transactions[CustomerID],A87)/'Customer Profiles'!$M$10</f>
        <v>1.3702434784513433</v>
      </c>
      <c r="F87" s="1">
        <f t="shared" ca="1" si="5"/>
        <v>0.47</v>
      </c>
      <c r="G87" s="1">
        <f t="shared" ca="1" si="6"/>
        <v>2.25</v>
      </c>
      <c r="H87" s="1">
        <f t="shared" ca="1" si="7"/>
        <v>3.57</v>
      </c>
    </row>
    <row r="88" spans="1:8">
      <c r="A88" s="1">
        <v>83</v>
      </c>
      <c r="B88" s="8">
        <f ca="1">_xlfn.MAXIFS(Transactions[Transaction Date], Transactions[CustomerID],A88)</f>
        <v>43491</v>
      </c>
      <c r="C88" s="1">
        <f t="shared" ca="1" si="4"/>
        <v>1</v>
      </c>
      <c r="D88" s="1">
        <f ca="1">COUNTIF(Transactions[CustomerID],"="&amp;A88)</f>
        <v>3</v>
      </c>
      <c r="E88" s="9">
        <f ca="1">_xlfn.MAXIFS(Transactions[Transaction Amount], Transactions[CustomerID],A88)/'Customer Profiles'!$M$10</f>
        <v>5.0179804069596932</v>
      </c>
      <c r="F88" s="1">
        <f t="shared" ca="1" si="5"/>
        <v>0.24</v>
      </c>
      <c r="G88" s="1">
        <f t="shared" ca="1" si="6"/>
        <v>0.45</v>
      </c>
      <c r="H88" s="1">
        <f t="shared" ca="1" si="7"/>
        <v>3.71</v>
      </c>
    </row>
    <row r="89" spans="1:8">
      <c r="A89" s="1">
        <v>84</v>
      </c>
      <c r="B89" s="8">
        <f ca="1">_xlfn.MAXIFS(Transactions[Transaction Date], Transactions[CustomerID],A89)</f>
        <v>43235</v>
      </c>
      <c r="C89" s="1">
        <f t="shared" ca="1" si="4"/>
        <v>9</v>
      </c>
      <c r="D89" s="1">
        <f ca="1">COUNTIF(Transactions[CustomerID],"="&amp;A89)</f>
        <v>1</v>
      </c>
      <c r="E89" s="9">
        <f ca="1">_xlfn.MAXIFS(Transactions[Transaction Amount], Transactions[CustomerID],A89)/'Customer Profiles'!$M$10</f>
        <v>0.32314174188079364</v>
      </c>
      <c r="F89" s="1">
        <f t="shared" ca="1" si="5"/>
        <v>2.12</v>
      </c>
      <c r="G89" s="1">
        <f t="shared" ca="1" si="6"/>
        <v>0.15</v>
      </c>
      <c r="H89" s="1">
        <f t="shared" ca="1" si="7"/>
        <v>2.59</v>
      </c>
    </row>
    <row r="90" spans="1:8">
      <c r="A90" s="1">
        <v>85</v>
      </c>
      <c r="B90" s="8">
        <f ca="1">_xlfn.MAXIFS(Transactions[Transaction Date], Transactions[CustomerID],A90)</f>
        <v>43166</v>
      </c>
      <c r="C90" s="1">
        <f t="shared" ca="1" si="4"/>
        <v>11</v>
      </c>
      <c r="D90" s="1">
        <f ca="1">COUNTIF(Transactions[CustomerID],"="&amp;A90)</f>
        <v>2</v>
      </c>
      <c r="E90" s="9">
        <f ca="1">_xlfn.MAXIFS(Transactions[Transaction Amount], Transactions[CustomerID],A90)/'Customer Profiles'!$M$10</f>
        <v>0.56470651464347232</v>
      </c>
      <c r="F90" s="1">
        <f t="shared" ca="1" si="5"/>
        <v>2.59</v>
      </c>
      <c r="G90" s="1">
        <f t="shared" ca="1" si="6"/>
        <v>0.3</v>
      </c>
      <c r="H90" s="1">
        <f t="shared" ca="1" si="7"/>
        <v>3.39</v>
      </c>
    </row>
    <row r="91" spans="1:8">
      <c r="A91" s="1">
        <v>86</v>
      </c>
      <c r="B91" s="8">
        <f ca="1">_xlfn.MAXIFS(Transactions[Transaction Date], Transactions[CustomerID],A91)</f>
        <v>43313</v>
      </c>
      <c r="C91" s="1">
        <f t="shared" ca="1" si="4"/>
        <v>7</v>
      </c>
      <c r="D91" s="1">
        <f ca="1">COUNTIF(Transactions[CustomerID],"="&amp;A91)</f>
        <v>1</v>
      </c>
      <c r="E91" s="9">
        <f ca="1">_xlfn.MAXIFS(Transactions[Transaction Amount], Transactions[CustomerID],A91)/'Customer Profiles'!$M$10</f>
        <v>0.88185340762058484</v>
      </c>
      <c r="F91" s="1">
        <f t="shared" ca="1" si="5"/>
        <v>1.65</v>
      </c>
      <c r="G91" s="1">
        <f t="shared" ca="1" si="6"/>
        <v>0.15</v>
      </c>
      <c r="H91" s="1">
        <f t="shared" ca="1" si="7"/>
        <v>2.4300000000000002</v>
      </c>
    </row>
    <row r="92" spans="1:8">
      <c r="A92" s="1">
        <v>87</v>
      </c>
      <c r="B92" s="8">
        <f ca="1">_xlfn.MAXIFS(Transactions[Transaction Date], Transactions[CustomerID],A92)</f>
        <v>43489</v>
      </c>
      <c r="C92" s="1">
        <f t="shared" ca="1" si="4"/>
        <v>1</v>
      </c>
      <c r="D92" s="1">
        <f ca="1">COUNTIF(Transactions[CustomerID],"="&amp;A92)</f>
        <v>10</v>
      </c>
      <c r="E92" s="9">
        <f ca="1">_xlfn.MAXIFS(Transactions[Transaction Amount], Transactions[CustomerID],A92)/'Customer Profiles'!$M$10</f>
        <v>1.1180393759566922</v>
      </c>
      <c r="F92" s="1">
        <f t="shared" ca="1" si="5"/>
        <v>0.24</v>
      </c>
      <c r="G92" s="1">
        <f t="shared" ca="1" si="6"/>
        <v>1.5</v>
      </c>
      <c r="H92" s="1">
        <f t="shared" ca="1" si="7"/>
        <v>2.42</v>
      </c>
    </row>
    <row r="93" spans="1:8">
      <c r="A93" s="1">
        <v>88</v>
      </c>
      <c r="B93" s="8">
        <f ca="1">_xlfn.MAXIFS(Transactions[Transaction Date], Transactions[CustomerID],A93)</f>
        <v>43460</v>
      </c>
      <c r="C93" s="1">
        <f t="shared" ca="1" si="4"/>
        <v>2</v>
      </c>
      <c r="D93" s="1">
        <f ca="1">COUNTIF(Transactions[CustomerID],"="&amp;A93)</f>
        <v>27</v>
      </c>
      <c r="E93" s="9">
        <f ca="1">_xlfn.MAXIFS(Transactions[Transaction Amount], Transactions[CustomerID],A93)/'Customer Profiles'!$M$10</f>
        <v>3.9455558363441585</v>
      </c>
      <c r="F93" s="1">
        <f t="shared" ca="1" si="5"/>
        <v>0.47</v>
      </c>
      <c r="G93" s="1">
        <f t="shared" ca="1" si="6"/>
        <v>4.05</v>
      </c>
      <c r="H93" s="1">
        <f t="shared" ca="1" si="7"/>
        <v>6.92</v>
      </c>
    </row>
    <row r="94" spans="1:8">
      <c r="A94" s="1">
        <v>89</v>
      </c>
      <c r="B94" s="8">
        <f ca="1">_xlfn.MAXIFS(Transactions[Transaction Date], Transactions[CustomerID],A94)</f>
        <v>43281</v>
      </c>
      <c r="C94" s="1">
        <f t="shared" ca="1" si="4"/>
        <v>8</v>
      </c>
      <c r="D94" s="1">
        <f ca="1">COUNTIF(Transactions[CustomerID],"="&amp;A94)</f>
        <v>1</v>
      </c>
      <c r="E94" s="9">
        <f ca="1">_xlfn.MAXIFS(Transactions[Transaction Amount], Transactions[CustomerID],A94)/'Customer Profiles'!$M$10</f>
        <v>0.63112838645790814</v>
      </c>
      <c r="F94" s="1">
        <f t="shared" ca="1" si="5"/>
        <v>1.89</v>
      </c>
      <c r="G94" s="1">
        <f t="shared" ca="1" si="6"/>
        <v>0.15</v>
      </c>
      <c r="H94" s="1">
        <f t="shared" ca="1" si="7"/>
        <v>2.5299999999999998</v>
      </c>
    </row>
    <row r="95" spans="1:8">
      <c r="A95" s="1">
        <v>90</v>
      </c>
      <c r="B95" s="8">
        <f ca="1">_xlfn.MAXIFS(Transactions[Transaction Date], Transactions[CustomerID],A95)</f>
        <v>43327</v>
      </c>
      <c r="C95" s="1">
        <f t="shared" ca="1" si="4"/>
        <v>6</v>
      </c>
      <c r="D95" s="1">
        <f ca="1">COUNTIF(Transactions[CustomerID],"="&amp;A95)</f>
        <v>1</v>
      </c>
      <c r="E95" s="9">
        <f ca="1">_xlfn.MAXIFS(Transactions[Transaction Amount], Transactions[CustomerID],A95)/'Customer Profiles'!$M$10</f>
        <v>2.9836978176488094</v>
      </c>
      <c r="F95" s="1">
        <f t="shared" ca="1" si="5"/>
        <v>1.42</v>
      </c>
      <c r="G95" s="1">
        <f t="shared" ca="1" si="6"/>
        <v>0.15</v>
      </c>
      <c r="H95" s="1">
        <f t="shared" ca="1" si="7"/>
        <v>3.44</v>
      </c>
    </row>
    <row r="96" spans="1:8">
      <c r="A96" s="1">
        <v>91</v>
      </c>
      <c r="B96" s="8">
        <f ca="1">_xlfn.MAXIFS(Transactions[Transaction Date], Transactions[CustomerID],A96)</f>
        <v>42958</v>
      </c>
      <c r="C96" s="1">
        <f t="shared" ca="1" si="4"/>
        <v>6</v>
      </c>
      <c r="D96" s="1">
        <f ca="1">COUNTIF(Transactions[CustomerID],"="&amp;A96)</f>
        <v>2</v>
      </c>
      <c r="E96" s="9">
        <f ca="1">_xlfn.MAXIFS(Transactions[Transaction Amount], Transactions[CustomerID],A96)/'Customer Profiles'!$M$10</f>
        <v>0.89512238255561205</v>
      </c>
      <c r="F96" s="1">
        <f t="shared" ca="1" si="5"/>
        <v>1.42</v>
      </c>
      <c r="G96" s="1">
        <f t="shared" ca="1" si="6"/>
        <v>0.3</v>
      </c>
      <c r="H96" s="1">
        <f t="shared" ca="1" si="7"/>
        <v>2.34</v>
      </c>
    </row>
    <row r="97" spans="1:8">
      <c r="A97" s="1">
        <v>92</v>
      </c>
      <c r="B97" s="8">
        <f ca="1">_xlfn.MAXIFS(Transactions[Transaction Date], Transactions[CustomerID],A97)</f>
        <v>43496</v>
      </c>
      <c r="C97" s="1">
        <f t="shared" ca="1" si="4"/>
        <v>1</v>
      </c>
      <c r="D97" s="1">
        <f ca="1">COUNTIF(Transactions[CustomerID],"="&amp;A97)</f>
        <v>14</v>
      </c>
      <c r="E97" s="9">
        <f ca="1">_xlfn.MAXIFS(Transactions[Transaction Amount], Transactions[CustomerID],A97)/'Customer Profiles'!$M$10</f>
        <v>4.2503023869406853</v>
      </c>
      <c r="F97" s="1">
        <f t="shared" ca="1" si="5"/>
        <v>0.24</v>
      </c>
      <c r="G97" s="1">
        <f t="shared" ca="1" si="6"/>
        <v>2.1</v>
      </c>
      <c r="H97" s="1">
        <f t="shared" ca="1" si="7"/>
        <v>4.9000000000000004</v>
      </c>
    </row>
    <row r="98" spans="1:8">
      <c r="A98" s="1">
        <v>93</v>
      </c>
      <c r="B98" s="8">
        <f ca="1">_xlfn.MAXIFS(Transactions[Transaction Date], Transactions[CustomerID],A98)</f>
        <v>43470</v>
      </c>
      <c r="C98" s="1">
        <f t="shared" ca="1" si="4"/>
        <v>1</v>
      </c>
      <c r="D98" s="1">
        <f ca="1">COUNTIF(Transactions[CustomerID],"="&amp;A98)</f>
        <v>19</v>
      </c>
      <c r="E98" s="9">
        <f ca="1">_xlfn.MAXIFS(Transactions[Transaction Amount], Transactions[CustomerID],A98)/'Customer Profiles'!$M$10</f>
        <v>3.6483094810562262</v>
      </c>
      <c r="F98" s="1">
        <f t="shared" ca="1" si="5"/>
        <v>0.24</v>
      </c>
      <c r="G98" s="1">
        <f t="shared" ca="1" si="6"/>
        <v>2.85</v>
      </c>
      <c r="H98" s="1">
        <f t="shared" ca="1" si="7"/>
        <v>5.29</v>
      </c>
    </row>
    <row r="99" spans="1:8">
      <c r="A99" s="1">
        <v>94</v>
      </c>
      <c r="B99" s="8">
        <f ca="1">_xlfn.MAXIFS(Transactions[Transaction Date], Transactions[CustomerID],A99)</f>
        <v>43246</v>
      </c>
      <c r="C99" s="1">
        <f t="shared" ca="1" si="4"/>
        <v>9</v>
      </c>
      <c r="D99" s="1">
        <f ca="1">COUNTIF(Transactions[CustomerID],"="&amp;A99)</f>
        <v>4</v>
      </c>
      <c r="E99" s="9">
        <f ca="1">_xlfn.MAXIFS(Transactions[Transaction Amount], Transactions[CustomerID],A99)/'Customer Profiles'!$M$10</f>
        <v>0.67438417524124095</v>
      </c>
      <c r="F99" s="1">
        <f t="shared" ca="1" si="5"/>
        <v>2.12</v>
      </c>
      <c r="G99" s="1">
        <f t="shared" ca="1" si="6"/>
        <v>0.6</v>
      </c>
      <c r="H99" s="1">
        <f t="shared" ca="1" si="7"/>
        <v>3.25</v>
      </c>
    </row>
    <row r="100" spans="1:8">
      <c r="A100" s="1">
        <v>95</v>
      </c>
      <c r="B100" s="8">
        <f ca="1">_xlfn.MAXIFS(Transactions[Transaction Date], Transactions[CustomerID],A100)</f>
        <v>43482</v>
      </c>
      <c r="C100" s="1">
        <f t="shared" ca="1" si="4"/>
        <v>1</v>
      </c>
      <c r="D100" s="1">
        <f ca="1">COUNTIF(Transactions[CustomerID],"="&amp;A100)</f>
        <v>16</v>
      </c>
      <c r="E100" s="9">
        <f ca="1">_xlfn.MAXIFS(Transactions[Transaction Amount], Transactions[CustomerID],A100)/'Customer Profiles'!$M$10</f>
        <v>6.2096531528148926</v>
      </c>
      <c r="F100" s="1">
        <f t="shared" ca="1" si="5"/>
        <v>0.24</v>
      </c>
      <c r="G100" s="1">
        <f t="shared" ca="1" si="6"/>
        <v>2.4</v>
      </c>
      <c r="H100" s="1">
        <f t="shared" ca="1" si="7"/>
        <v>6.38</v>
      </c>
    </row>
    <row r="101" spans="1:8">
      <c r="A101" s="1">
        <v>96</v>
      </c>
      <c r="B101" s="8">
        <f ca="1">_xlfn.MAXIFS(Transactions[Transaction Date], Transactions[CustomerID],A101)</f>
        <v>43103</v>
      </c>
      <c r="C101" s="1">
        <f t="shared" ca="1" si="4"/>
        <v>1</v>
      </c>
      <c r="D101" s="1">
        <f ca="1">COUNTIF(Transactions[CustomerID],"="&amp;A101)</f>
        <v>1</v>
      </c>
      <c r="E101" s="9">
        <f ca="1">_xlfn.MAXIFS(Transactions[Transaction Amount], Transactions[CustomerID],A101)/'Customer Profiles'!$M$10</f>
        <v>0.22825191984447105</v>
      </c>
      <c r="F101" s="1">
        <f t="shared" ca="1" si="5"/>
        <v>0.24</v>
      </c>
      <c r="G101" s="1">
        <f t="shared" ca="1" si="6"/>
        <v>0.15</v>
      </c>
      <c r="H101" s="1">
        <f t="shared" ca="1" si="7"/>
        <v>0.54</v>
      </c>
    </row>
    <row r="102" spans="1:8">
      <c r="A102" s="1">
        <v>97</v>
      </c>
      <c r="B102" s="8">
        <f ca="1">_xlfn.MAXIFS(Transactions[Transaction Date], Transactions[CustomerID],A102)</f>
        <v>43479</v>
      </c>
      <c r="C102" s="1">
        <f t="shared" ca="1" si="4"/>
        <v>1</v>
      </c>
      <c r="D102" s="1">
        <f ca="1">COUNTIF(Transactions[CustomerID],"="&amp;A102)</f>
        <v>1</v>
      </c>
      <c r="E102" s="9">
        <f ca="1">_xlfn.MAXIFS(Transactions[Transaction Amount], Transactions[CustomerID],A102)/'Customer Profiles'!$M$10</f>
        <v>0.48318380459534099</v>
      </c>
      <c r="F102" s="1">
        <f t="shared" ca="1" si="5"/>
        <v>0.24</v>
      </c>
      <c r="G102" s="1">
        <f t="shared" ca="1" si="6"/>
        <v>0.15</v>
      </c>
      <c r="H102" s="1">
        <f t="shared" ca="1" si="7"/>
        <v>0.69</v>
      </c>
    </row>
    <row r="103" spans="1:8">
      <c r="A103" s="1">
        <v>98</v>
      </c>
      <c r="B103" s="8">
        <f ca="1">_xlfn.MAXIFS(Transactions[Transaction Date], Transactions[CustomerID],A103)</f>
        <v>43335</v>
      </c>
      <c r="C103" s="1">
        <f t="shared" ca="1" si="4"/>
        <v>6</v>
      </c>
      <c r="D103" s="1">
        <f ca="1">COUNTIF(Transactions[CustomerID],"="&amp;A103)</f>
        <v>8</v>
      </c>
      <c r="E103" s="9">
        <f ca="1">_xlfn.MAXIFS(Transactions[Transaction Amount], Transactions[CustomerID],A103)/'Customer Profiles'!$M$10</f>
        <v>4.5925614937521946</v>
      </c>
      <c r="F103" s="1">
        <f t="shared" ca="1" si="5"/>
        <v>1.42</v>
      </c>
      <c r="G103" s="1">
        <f t="shared" ca="1" si="6"/>
        <v>1.2</v>
      </c>
      <c r="H103" s="1">
        <f t="shared" ca="1" si="7"/>
        <v>5.46</v>
      </c>
    </row>
    <row r="104" spans="1:8">
      <c r="A104" s="1">
        <v>99</v>
      </c>
      <c r="B104" s="8">
        <f ca="1">_xlfn.MAXIFS(Transactions[Transaction Date], Transactions[CustomerID],A104)</f>
        <v>43407</v>
      </c>
      <c r="C104" s="1">
        <f t="shared" ca="1" si="4"/>
        <v>3</v>
      </c>
      <c r="D104" s="1">
        <f ca="1">COUNTIF(Transactions[CustomerID],"="&amp;A104)</f>
        <v>4</v>
      </c>
      <c r="E104" s="9">
        <f ca="1">_xlfn.MAXIFS(Transactions[Transaction Amount], Transactions[CustomerID],A104)/'Customer Profiles'!$M$10</f>
        <v>0.36412301280076065</v>
      </c>
      <c r="F104" s="1">
        <f t="shared" ca="1" si="5"/>
        <v>0.71</v>
      </c>
      <c r="G104" s="1">
        <f t="shared" ca="1" si="6"/>
        <v>0.6</v>
      </c>
      <c r="H104" s="1">
        <f t="shared" ca="1" si="7"/>
        <v>1.57</v>
      </c>
    </row>
    <row r="105" spans="1:8">
      <c r="A105" s="1">
        <v>100</v>
      </c>
      <c r="B105" s="8">
        <f ca="1">_xlfn.MAXIFS(Transactions[Transaction Date], Transactions[CustomerID],A105)</f>
        <v>43318</v>
      </c>
      <c r="C105" s="1">
        <f t="shared" ca="1" si="4"/>
        <v>6</v>
      </c>
      <c r="D105" s="1">
        <f ca="1">COUNTIF(Transactions[CustomerID],"="&amp;A105)</f>
        <v>1</v>
      </c>
      <c r="E105" s="9">
        <f ca="1">_xlfn.MAXIFS(Transactions[Transaction Amount], Transactions[CustomerID],A105)/'Customer Profiles'!$M$10</f>
        <v>0.77613504291510083</v>
      </c>
      <c r="F105" s="1">
        <f t="shared" ca="1" si="5"/>
        <v>1.42</v>
      </c>
      <c r="G105" s="1">
        <f t="shared" ca="1" si="6"/>
        <v>0.15</v>
      </c>
      <c r="H105" s="1">
        <f t="shared" ca="1" si="7"/>
        <v>2.12</v>
      </c>
    </row>
    <row r="106" spans="1:8">
      <c r="A106" s="1">
        <v>101</v>
      </c>
      <c r="B106" s="8">
        <f ca="1">_xlfn.MAXIFS(Transactions[Transaction Date], Transactions[CustomerID],A106)</f>
        <v>43214</v>
      </c>
      <c r="C106" s="1">
        <f t="shared" ca="1" si="4"/>
        <v>10</v>
      </c>
      <c r="D106" s="1">
        <f ca="1">COUNTIF(Transactions[CustomerID],"="&amp;A106)</f>
        <v>5</v>
      </c>
      <c r="E106" s="9">
        <f ca="1">_xlfn.MAXIFS(Transactions[Transaction Amount], Transactions[CustomerID],A106)/'Customer Profiles'!$M$10</f>
        <v>7.8150180454055276</v>
      </c>
      <c r="F106" s="1">
        <f t="shared" ca="1" si="5"/>
        <v>2.36</v>
      </c>
      <c r="G106" s="1">
        <f t="shared" ca="1" si="6"/>
        <v>0.75</v>
      </c>
      <c r="H106" s="1">
        <f t="shared" ca="1" si="7"/>
        <v>7.94</v>
      </c>
    </row>
    <row r="107" spans="1:8">
      <c r="A107" s="1">
        <v>102</v>
      </c>
      <c r="B107" s="8">
        <f ca="1">_xlfn.MAXIFS(Transactions[Transaction Date], Transactions[CustomerID],A107)</f>
        <v>43301</v>
      </c>
      <c r="C107" s="1">
        <f t="shared" ca="1" si="4"/>
        <v>7</v>
      </c>
      <c r="D107" s="1">
        <f ca="1">COUNTIF(Transactions[CustomerID],"="&amp;A107)</f>
        <v>3</v>
      </c>
      <c r="E107" s="9">
        <f ca="1">_xlfn.MAXIFS(Transactions[Transaction Amount], Transactions[CustomerID],A107)/'Customer Profiles'!$M$10</f>
        <v>6.4085508881423934</v>
      </c>
      <c r="F107" s="1">
        <f t="shared" ca="1" si="5"/>
        <v>1.65</v>
      </c>
      <c r="G107" s="1">
        <f t="shared" ca="1" si="6"/>
        <v>0.45</v>
      </c>
      <c r="H107" s="1">
        <f t="shared" ca="1" si="7"/>
        <v>6.05</v>
      </c>
    </row>
    <row r="108" spans="1:8">
      <c r="A108" s="1">
        <v>103</v>
      </c>
      <c r="B108" s="8">
        <f ca="1">_xlfn.MAXIFS(Transactions[Transaction Date], Transactions[CustomerID],A108)</f>
        <v>43111</v>
      </c>
      <c r="C108" s="1">
        <f t="shared" ca="1" si="4"/>
        <v>1</v>
      </c>
      <c r="D108" s="1">
        <f ca="1">COUNTIF(Transactions[CustomerID],"="&amp;A108)</f>
        <v>1</v>
      </c>
      <c r="E108" s="9">
        <f ca="1">_xlfn.MAXIFS(Transactions[Transaction Amount], Transactions[CustomerID],A108)/'Customer Profiles'!$M$10</f>
        <v>0.5019208913193095</v>
      </c>
      <c r="F108" s="1">
        <f t="shared" ca="1" si="5"/>
        <v>0.24</v>
      </c>
      <c r="G108" s="1">
        <f t="shared" ca="1" si="6"/>
        <v>0.15</v>
      </c>
      <c r="H108" s="1">
        <f t="shared" ca="1" si="7"/>
        <v>0.7</v>
      </c>
    </row>
    <row r="109" spans="1:8">
      <c r="A109" s="1">
        <v>104</v>
      </c>
      <c r="B109" s="8">
        <f ca="1">_xlfn.MAXIFS(Transactions[Transaction Date], Transactions[CustomerID],A109)</f>
        <v>43124</v>
      </c>
      <c r="C109" s="1">
        <f t="shared" ca="1" si="4"/>
        <v>1</v>
      </c>
      <c r="D109" s="1">
        <f ca="1">COUNTIF(Transactions[CustomerID],"="&amp;A109)</f>
        <v>1</v>
      </c>
      <c r="E109" s="9">
        <f ca="1">_xlfn.MAXIFS(Transactions[Transaction Amount], Transactions[CustomerID],A109)/'Customer Profiles'!$M$10</f>
        <v>2.152155523689629</v>
      </c>
      <c r="F109" s="1">
        <f t="shared" ca="1" si="5"/>
        <v>0.24</v>
      </c>
      <c r="G109" s="1">
        <f t="shared" ca="1" si="6"/>
        <v>0.15</v>
      </c>
      <c r="H109" s="1">
        <f t="shared" ca="1" si="7"/>
        <v>1.69</v>
      </c>
    </row>
    <row r="110" spans="1:8">
      <c r="A110" s="1">
        <v>105</v>
      </c>
      <c r="B110" s="8">
        <f ca="1">_xlfn.MAXIFS(Transactions[Transaction Date], Transactions[CustomerID],A110)</f>
        <v>43069</v>
      </c>
      <c r="C110" s="1">
        <f t="shared" ca="1" si="4"/>
        <v>3</v>
      </c>
      <c r="D110" s="1">
        <f ca="1">COUNTIF(Transactions[CustomerID],"="&amp;A110)</f>
        <v>1</v>
      </c>
      <c r="E110" s="9">
        <f ca="1">_xlfn.MAXIFS(Transactions[Transaction Amount], Transactions[CustomerID],A110)/'Customer Profiles'!$M$10</f>
        <v>1.7283427669230058</v>
      </c>
      <c r="F110" s="1">
        <f t="shared" ca="1" si="5"/>
        <v>0.71</v>
      </c>
      <c r="G110" s="1">
        <f t="shared" ca="1" si="6"/>
        <v>0.15</v>
      </c>
      <c r="H110" s="1">
        <f t="shared" ca="1" si="7"/>
        <v>1.94</v>
      </c>
    </row>
    <row r="111" spans="1:8">
      <c r="A111" s="1">
        <v>106</v>
      </c>
      <c r="B111" s="8">
        <f ca="1">_xlfn.MAXIFS(Transactions[Transaction Date], Transactions[CustomerID],A111)</f>
        <v>43483</v>
      </c>
      <c r="C111" s="1">
        <f t="shared" ca="1" si="4"/>
        <v>1</v>
      </c>
      <c r="D111" s="1">
        <f ca="1">COUNTIF(Transactions[CustomerID],"="&amp;A111)</f>
        <v>1</v>
      </c>
      <c r="E111" s="9">
        <f ca="1">_xlfn.MAXIFS(Transactions[Transaction Amount], Transactions[CustomerID],A111)/'Customer Profiles'!$M$10</f>
        <v>0.26982981113639304</v>
      </c>
      <c r="F111" s="1">
        <f t="shared" ca="1" si="5"/>
        <v>0.24</v>
      </c>
      <c r="G111" s="1">
        <f t="shared" ca="1" si="6"/>
        <v>0.15</v>
      </c>
      <c r="H111" s="1">
        <f t="shared" ca="1" si="7"/>
        <v>0.56000000000000005</v>
      </c>
    </row>
    <row r="112" spans="1:8">
      <c r="A112" s="1">
        <v>107</v>
      </c>
      <c r="B112" s="8">
        <f ca="1">_xlfn.MAXIFS(Transactions[Transaction Date], Transactions[CustomerID],A112)</f>
        <v>43092</v>
      </c>
      <c r="C112" s="1">
        <f t="shared" ca="1" si="4"/>
        <v>2</v>
      </c>
      <c r="D112" s="1">
        <f ca="1">COUNTIF(Transactions[CustomerID],"="&amp;A112)</f>
        <v>3</v>
      </c>
      <c r="E112" s="9">
        <f ca="1">_xlfn.MAXIFS(Transactions[Transaction Amount], Transactions[CustomerID],A112)/'Customer Profiles'!$M$10</f>
        <v>0.28711606599463418</v>
      </c>
      <c r="F112" s="1">
        <f t="shared" ca="1" si="5"/>
        <v>0.47</v>
      </c>
      <c r="G112" s="1">
        <f t="shared" ca="1" si="6"/>
        <v>0.45</v>
      </c>
      <c r="H112" s="1">
        <f t="shared" ca="1" si="7"/>
        <v>1.1200000000000001</v>
      </c>
    </row>
    <row r="113" spans="1:8">
      <c r="A113" s="1">
        <v>108</v>
      </c>
      <c r="B113" s="8">
        <f ca="1">_xlfn.MAXIFS(Transactions[Transaction Date], Transactions[CustomerID],A113)</f>
        <v>42810</v>
      </c>
      <c r="C113" s="1">
        <f t="shared" ca="1" si="4"/>
        <v>11</v>
      </c>
      <c r="D113" s="1">
        <f ca="1">COUNTIF(Transactions[CustomerID],"="&amp;A113)</f>
        <v>1</v>
      </c>
      <c r="E113" s="9">
        <f ca="1">_xlfn.MAXIFS(Transactions[Transaction Amount], Transactions[CustomerID],A113)/'Customer Profiles'!$M$10</f>
        <v>1.3055058840981213</v>
      </c>
      <c r="F113" s="1">
        <f t="shared" ca="1" si="5"/>
        <v>2.59</v>
      </c>
      <c r="G113" s="1">
        <f t="shared" ca="1" si="6"/>
        <v>0.15</v>
      </c>
      <c r="H113" s="1">
        <f t="shared" ca="1" si="7"/>
        <v>3.68</v>
      </c>
    </row>
    <row r="114" spans="1:8">
      <c r="A114" s="1">
        <v>109</v>
      </c>
      <c r="B114" s="8">
        <f ca="1">_xlfn.MAXIFS(Transactions[Transaction Date], Transactions[CustomerID],A114)</f>
        <v>43442</v>
      </c>
      <c r="C114" s="1">
        <f t="shared" ca="1" si="4"/>
        <v>2</v>
      </c>
      <c r="D114" s="1">
        <f ca="1">COUNTIF(Transactions[CustomerID],"="&amp;A114)</f>
        <v>1</v>
      </c>
      <c r="E114" s="9">
        <f ca="1">_xlfn.MAXIFS(Transactions[Transaction Amount], Transactions[CustomerID],A114)/'Customer Profiles'!$M$10</f>
        <v>0.13076997914122224</v>
      </c>
      <c r="F114" s="1">
        <f t="shared" ca="1" si="5"/>
        <v>0.47</v>
      </c>
      <c r="G114" s="1">
        <f t="shared" ca="1" si="6"/>
        <v>0.15</v>
      </c>
      <c r="H114" s="1">
        <f t="shared" ca="1" si="7"/>
        <v>0.73</v>
      </c>
    </row>
    <row r="115" spans="1:8">
      <c r="A115" s="1">
        <v>110</v>
      </c>
      <c r="B115" s="8">
        <f ca="1">_xlfn.MAXIFS(Transactions[Transaction Date], Transactions[CustomerID],A115)</f>
        <v>43347</v>
      </c>
      <c r="C115" s="1">
        <f t="shared" ca="1" si="4"/>
        <v>5</v>
      </c>
      <c r="D115" s="1">
        <f ca="1">COUNTIF(Transactions[CustomerID],"="&amp;A115)</f>
        <v>1</v>
      </c>
      <c r="E115" s="9">
        <f ca="1">_xlfn.MAXIFS(Transactions[Transaction Amount], Transactions[CustomerID],A115)/'Customer Profiles'!$M$10</f>
        <v>0.10580310363045323</v>
      </c>
      <c r="F115" s="1">
        <f t="shared" ca="1" si="5"/>
        <v>1.18</v>
      </c>
      <c r="G115" s="1">
        <f t="shared" ca="1" si="6"/>
        <v>0.15</v>
      </c>
      <c r="H115" s="1">
        <f t="shared" ca="1" si="7"/>
        <v>1.46</v>
      </c>
    </row>
    <row r="116" spans="1:8">
      <c r="A116" s="1">
        <v>111</v>
      </c>
      <c r="B116" s="8">
        <f ca="1">_xlfn.MAXIFS(Transactions[Transaction Date], Transactions[CustomerID],A116)</f>
        <v>43497</v>
      </c>
      <c r="C116" s="1">
        <f t="shared" ca="1" si="4"/>
        <v>1</v>
      </c>
      <c r="D116" s="1">
        <f ca="1">COUNTIF(Transactions[CustomerID],"="&amp;A116)</f>
        <v>3</v>
      </c>
      <c r="E116" s="9">
        <f ca="1">_xlfn.MAXIFS(Transactions[Transaction Amount], Transactions[CustomerID],A116)/'Customer Profiles'!$M$10</f>
        <v>1.6923531092214448</v>
      </c>
      <c r="F116" s="1">
        <f t="shared" ca="1" si="5"/>
        <v>0.24</v>
      </c>
      <c r="G116" s="1">
        <f t="shared" ca="1" si="6"/>
        <v>0.45</v>
      </c>
      <c r="H116" s="1">
        <f t="shared" ca="1" si="7"/>
        <v>1.72</v>
      </c>
    </row>
    <row r="117" spans="1:8">
      <c r="A117" s="1">
        <v>112</v>
      </c>
      <c r="B117" s="8">
        <f ca="1">_xlfn.MAXIFS(Transactions[Transaction Date], Transactions[CustomerID],A117)</f>
        <v>43416</v>
      </c>
      <c r="C117" s="1">
        <f t="shared" ca="1" si="4"/>
        <v>3</v>
      </c>
      <c r="D117" s="1">
        <f ca="1">COUNTIF(Transactions[CustomerID],"="&amp;A117)</f>
        <v>3</v>
      </c>
      <c r="E117" s="9">
        <f ca="1">_xlfn.MAXIFS(Transactions[Transaction Amount], Transactions[CustomerID],A117)/'Customer Profiles'!$M$10</f>
        <v>3.9516407278035137</v>
      </c>
      <c r="F117" s="1">
        <f t="shared" ca="1" si="5"/>
        <v>0.71</v>
      </c>
      <c r="G117" s="1">
        <f t="shared" ca="1" si="6"/>
        <v>0.45</v>
      </c>
      <c r="H117" s="1">
        <f t="shared" ca="1" si="7"/>
        <v>3.57</v>
      </c>
    </row>
    <row r="118" spans="1:8">
      <c r="A118" s="1">
        <v>113</v>
      </c>
      <c r="B118" s="8">
        <f ca="1">_xlfn.MAXIFS(Transactions[Transaction Date], Transactions[CustomerID],A118)</f>
        <v>43359</v>
      </c>
      <c r="C118" s="1">
        <f t="shared" ca="1" si="4"/>
        <v>5</v>
      </c>
      <c r="D118" s="1">
        <f ca="1">COUNTIF(Transactions[CustomerID],"="&amp;A118)</f>
        <v>1</v>
      </c>
      <c r="E118" s="9">
        <f ca="1">_xlfn.MAXIFS(Transactions[Transaction Amount], Transactions[CustomerID],A118)/'Customer Profiles'!$M$10</f>
        <v>0.47074936317808058</v>
      </c>
      <c r="F118" s="1">
        <f t="shared" ca="1" si="5"/>
        <v>1.18</v>
      </c>
      <c r="G118" s="1">
        <f t="shared" ca="1" si="6"/>
        <v>0.15</v>
      </c>
      <c r="H118" s="1">
        <f t="shared" ca="1" si="7"/>
        <v>1.68</v>
      </c>
    </row>
    <row r="119" spans="1:8">
      <c r="A119" s="1">
        <v>114</v>
      </c>
      <c r="B119" s="8">
        <f ca="1">_xlfn.MAXIFS(Transactions[Transaction Date], Transactions[CustomerID],A119)</f>
        <v>43486</v>
      </c>
      <c r="C119" s="1">
        <f t="shared" ca="1" si="4"/>
        <v>1</v>
      </c>
      <c r="D119" s="1">
        <f ca="1">COUNTIF(Transactions[CustomerID],"="&amp;A119)</f>
        <v>2</v>
      </c>
      <c r="E119" s="9">
        <f ca="1">_xlfn.MAXIFS(Transactions[Transaction Amount], Transactions[CustomerID],A119)/'Customer Profiles'!$M$10</f>
        <v>4.3964398561753484</v>
      </c>
      <c r="F119" s="1">
        <f t="shared" ca="1" si="5"/>
        <v>0.24</v>
      </c>
      <c r="G119" s="1">
        <f t="shared" ca="1" si="6"/>
        <v>0.3</v>
      </c>
      <c r="H119" s="1">
        <f t="shared" ca="1" si="7"/>
        <v>3.19</v>
      </c>
    </row>
    <row r="120" spans="1:8">
      <c r="A120" s="1">
        <v>115</v>
      </c>
      <c r="B120" s="8">
        <f ca="1">_xlfn.MAXIFS(Transactions[Transaction Date], Transactions[CustomerID],A120)</f>
        <v>43197</v>
      </c>
      <c r="C120" s="1">
        <f t="shared" ca="1" si="4"/>
        <v>10</v>
      </c>
      <c r="D120" s="1">
        <f ca="1">COUNTIF(Transactions[CustomerID],"="&amp;A120)</f>
        <v>1</v>
      </c>
      <c r="E120" s="9">
        <f ca="1">_xlfn.MAXIFS(Transactions[Transaction Amount], Transactions[CustomerID],A120)/'Customer Profiles'!$M$10</f>
        <v>0.25191508355998377</v>
      </c>
      <c r="F120" s="1">
        <f t="shared" ca="1" si="5"/>
        <v>2.36</v>
      </c>
      <c r="G120" s="1">
        <f t="shared" ca="1" si="6"/>
        <v>0.15</v>
      </c>
      <c r="H120" s="1">
        <f t="shared" ca="1" si="7"/>
        <v>2.8</v>
      </c>
    </row>
    <row r="121" spans="1:8">
      <c r="A121" s="1">
        <v>116</v>
      </c>
      <c r="B121" s="8">
        <f ca="1">_xlfn.MAXIFS(Transactions[Transaction Date], Transactions[CustomerID],A121)</f>
        <v>43359</v>
      </c>
      <c r="C121" s="1">
        <f t="shared" ca="1" si="4"/>
        <v>5</v>
      </c>
      <c r="D121" s="1">
        <f ca="1">COUNTIF(Transactions[CustomerID],"="&amp;A121)</f>
        <v>3</v>
      </c>
      <c r="E121" s="9">
        <f ca="1">_xlfn.MAXIFS(Transactions[Transaction Amount], Transactions[CustomerID],A121)/'Customer Profiles'!$M$10</f>
        <v>0.80150570648246633</v>
      </c>
      <c r="F121" s="1">
        <f t="shared" ca="1" si="5"/>
        <v>1.18</v>
      </c>
      <c r="G121" s="1">
        <f t="shared" ca="1" si="6"/>
        <v>0.45</v>
      </c>
      <c r="H121" s="1">
        <f t="shared" ca="1" si="7"/>
        <v>2.1800000000000002</v>
      </c>
    </row>
    <row r="122" spans="1:8">
      <c r="A122" s="1">
        <v>117</v>
      </c>
      <c r="B122" s="8">
        <f ca="1">_xlfn.MAXIFS(Transactions[Transaction Date], Transactions[CustomerID],A122)</f>
        <v>42803</v>
      </c>
      <c r="C122" s="1">
        <f t="shared" ca="1" si="4"/>
        <v>11</v>
      </c>
      <c r="D122" s="1">
        <f ca="1">COUNTIF(Transactions[CustomerID],"="&amp;A122)</f>
        <v>1</v>
      </c>
      <c r="E122" s="9">
        <f ca="1">_xlfn.MAXIFS(Transactions[Transaction Amount], Transactions[CustomerID],A122)/'Customer Profiles'!$M$10</f>
        <v>0.84895770489716749</v>
      </c>
      <c r="F122" s="1">
        <f t="shared" ca="1" si="5"/>
        <v>2.59</v>
      </c>
      <c r="G122" s="1">
        <f t="shared" ca="1" si="6"/>
        <v>0.15</v>
      </c>
      <c r="H122" s="1">
        <f t="shared" ca="1" si="7"/>
        <v>3.41</v>
      </c>
    </row>
    <row r="123" spans="1:8">
      <c r="A123" s="1">
        <v>118</v>
      </c>
      <c r="B123" s="8">
        <f ca="1">_xlfn.MAXIFS(Transactions[Transaction Date], Transactions[CustomerID],A123)</f>
        <v>43059</v>
      </c>
      <c r="C123" s="1">
        <f t="shared" ca="1" si="4"/>
        <v>3</v>
      </c>
      <c r="D123" s="1">
        <f ca="1">COUNTIF(Transactions[CustomerID],"="&amp;A123)</f>
        <v>1</v>
      </c>
      <c r="E123" s="9">
        <f ca="1">_xlfn.MAXIFS(Transactions[Transaction Amount], Transactions[CustomerID],A123)/'Customer Profiles'!$M$10</f>
        <v>0.31573430631947647</v>
      </c>
      <c r="F123" s="1">
        <f t="shared" ca="1" si="5"/>
        <v>0.71</v>
      </c>
      <c r="G123" s="1">
        <f t="shared" ca="1" si="6"/>
        <v>0.15</v>
      </c>
      <c r="H123" s="1">
        <f t="shared" ca="1" si="7"/>
        <v>1.0900000000000001</v>
      </c>
    </row>
    <row r="124" spans="1:8">
      <c r="A124" s="1">
        <v>119</v>
      </c>
      <c r="B124" s="8">
        <f ca="1">_xlfn.MAXIFS(Transactions[Transaction Date], Transactions[CustomerID],A124)</f>
        <v>43450</v>
      </c>
      <c r="C124" s="1">
        <f t="shared" ca="1" si="4"/>
        <v>2</v>
      </c>
      <c r="D124" s="1">
        <f ca="1">COUNTIF(Transactions[CustomerID],"="&amp;A124)</f>
        <v>15</v>
      </c>
      <c r="E124" s="9">
        <f ca="1">_xlfn.MAXIFS(Transactions[Transaction Amount], Transactions[CustomerID],A124)/'Customer Profiles'!$M$10</f>
        <v>7.3274064412890301</v>
      </c>
      <c r="F124" s="1">
        <f t="shared" ca="1" si="5"/>
        <v>0.47</v>
      </c>
      <c r="G124" s="1">
        <f t="shared" ca="1" si="6"/>
        <v>2.25</v>
      </c>
      <c r="H124" s="1">
        <f t="shared" ca="1" si="7"/>
        <v>7.15</v>
      </c>
    </row>
    <row r="125" spans="1:8">
      <c r="A125" s="1">
        <v>120</v>
      </c>
      <c r="B125" s="8">
        <f ca="1">_xlfn.MAXIFS(Transactions[Transaction Date], Transactions[CustomerID],A125)</f>
        <v>43139</v>
      </c>
      <c r="C125" s="1">
        <f t="shared" ca="1" si="4"/>
        <v>1</v>
      </c>
      <c r="D125" s="1">
        <f ca="1">COUNTIF(Transactions[CustomerID],"="&amp;A125)</f>
        <v>3</v>
      </c>
      <c r="E125" s="9">
        <f ca="1">_xlfn.MAXIFS(Transactions[Transaction Amount], Transactions[CustomerID],A125)/'Customer Profiles'!$M$10</f>
        <v>2.4703923194632034</v>
      </c>
      <c r="F125" s="1">
        <f t="shared" ca="1" si="5"/>
        <v>0.24</v>
      </c>
      <c r="G125" s="1">
        <f t="shared" ca="1" si="6"/>
        <v>0.45</v>
      </c>
      <c r="H125" s="1">
        <f t="shared" ca="1" si="7"/>
        <v>2.1800000000000002</v>
      </c>
    </row>
    <row r="126" spans="1:8">
      <c r="A126" s="1">
        <v>121</v>
      </c>
      <c r="B126" s="8">
        <f ca="1">_xlfn.MAXIFS(Transactions[Transaction Date], Transactions[CustomerID],A126)</f>
        <v>42792</v>
      </c>
      <c r="C126" s="1">
        <f t="shared" ca="1" si="4"/>
        <v>1</v>
      </c>
      <c r="D126" s="1">
        <f ca="1">COUNTIF(Transactions[CustomerID],"="&amp;A126)</f>
        <v>1</v>
      </c>
      <c r="E126" s="9">
        <f ca="1">_xlfn.MAXIFS(Transactions[Transaction Amount], Transactions[CustomerID],A126)/'Customer Profiles'!$M$10</f>
        <v>0.19606556761035429</v>
      </c>
      <c r="F126" s="1">
        <f t="shared" ca="1" si="5"/>
        <v>0.24</v>
      </c>
      <c r="G126" s="1">
        <f t="shared" ca="1" si="6"/>
        <v>0.15</v>
      </c>
      <c r="H126" s="1">
        <f t="shared" ca="1" si="7"/>
        <v>0.52</v>
      </c>
    </row>
    <row r="127" spans="1:8">
      <c r="A127" s="1">
        <v>122</v>
      </c>
      <c r="B127" s="8">
        <f ca="1">_xlfn.MAXIFS(Transactions[Transaction Date], Transactions[CustomerID],A127)</f>
        <v>43426</v>
      </c>
      <c r="C127" s="1">
        <f t="shared" ca="1" si="4"/>
        <v>3</v>
      </c>
      <c r="D127" s="1">
        <f ca="1">COUNTIF(Transactions[CustomerID],"="&amp;A127)</f>
        <v>2</v>
      </c>
      <c r="E127" s="9">
        <f ca="1">_xlfn.MAXIFS(Transactions[Transaction Amount], Transactions[CustomerID],A127)/'Customer Profiles'!$M$10</f>
        <v>0.47483351467702262</v>
      </c>
      <c r="F127" s="1">
        <f t="shared" ca="1" si="5"/>
        <v>0.71</v>
      </c>
      <c r="G127" s="1">
        <f t="shared" ca="1" si="6"/>
        <v>0.3</v>
      </c>
      <c r="H127" s="1">
        <f t="shared" ca="1" si="7"/>
        <v>1.33</v>
      </c>
    </row>
    <row r="128" spans="1:8">
      <c r="A128" s="1">
        <v>123</v>
      </c>
      <c r="B128" s="8">
        <f ca="1">_xlfn.MAXIFS(Transactions[Transaction Date], Transactions[CustomerID],A128)</f>
        <v>43475</v>
      </c>
      <c r="C128" s="1">
        <f t="shared" ca="1" si="4"/>
        <v>1</v>
      </c>
      <c r="D128" s="1">
        <f ca="1">COUNTIF(Transactions[CustomerID],"="&amp;A128)</f>
        <v>2</v>
      </c>
      <c r="E128" s="9">
        <f ca="1">_xlfn.MAXIFS(Transactions[Transaction Amount], Transactions[CustomerID],A128)/'Customer Profiles'!$M$10</f>
        <v>0.87506196096352229</v>
      </c>
      <c r="F128" s="1">
        <f t="shared" ca="1" si="5"/>
        <v>0.24</v>
      </c>
      <c r="G128" s="1">
        <f t="shared" ca="1" si="6"/>
        <v>0.3</v>
      </c>
      <c r="H128" s="1">
        <f t="shared" ca="1" si="7"/>
        <v>1.08</v>
      </c>
    </row>
    <row r="129" spans="1:8">
      <c r="A129" s="1">
        <v>124</v>
      </c>
      <c r="B129" s="8">
        <f ca="1">_xlfn.MAXIFS(Transactions[Transaction Date], Transactions[CustomerID],A129)</f>
        <v>43487</v>
      </c>
      <c r="C129" s="1">
        <f t="shared" ca="1" si="4"/>
        <v>1</v>
      </c>
      <c r="D129" s="1">
        <f ca="1">COUNTIF(Transactions[CustomerID],"="&amp;A129)</f>
        <v>5</v>
      </c>
      <c r="E129" s="9">
        <f ca="1">_xlfn.MAXIFS(Transactions[Transaction Amount], Transactions[CustomerID],A129)/'Customer Profiles'!$M$10</f>
        <v>0.40217970249831897</v>
      </c>
      <c r="F129" s="1">
        <f t="shared" ca="1" si="5"/>
        <v>0.24</v>
      </c>
      <c r="G129" s="1">
        <f t="shared" ca="1" si="6"/>
        <v>0.75</v>
      </c>
      <c r="H129" s="1">
        <f t="shared" ca="1" si="7"/>
        <v>1.24</v>
      </c>
    </row>
    <row r="130" spans="1:8">
      <c r="A130" s="1">
        <v>125</v>
      </c>
      <c r="B130" s="8">
        <f ca="1">_xlfn.MAXIFS(Transactions[Transaction Date], Transactions[CustomerID],A130)</f>
        <v>43461</v>
      </c>
      <c r="C130" s="1">
        <f t="shared" ca="1" si="4"/>
        <v>2</v>
      </c>
      <c r="D130" s="1">
        <f ca="1">COUNTIF(Transactions[CustomerID],"="&amp;A130)</f>
        <v>8</v>
      </c>
      <c r="E130" s="9">
        <f ca="1">_xlfn.MAXIFS(Transactions[Transaction Amount], Transactions[CustomerID],A130)/'Customer Profiles'!$M$10</f>
        <v>2.0195405203860481</v>
      </c>
      <c r="F130" s="1">
        <f t="shared" ca="1" si="5"/>
        <v>0.47</v>
      </c>
      <c r="G130" s="1">
        <f t="shared" ca="1" si="6"/>
        <v>1.2</v>
      </c>
      <c r="H130" s="1">
        <f t="shared" ca="1" si="7"/>
        <v>2.91</v>
      </c>
    </row>
    <row r="131" spans="1:8">
      <c r="A131" s="1">
        <v>126</v>
      </c>
      <c r="B131" s="8">
        <f ca="1">_xlfn.MAXIFS(Transactions[Transaction Date], Transactions[CustomerID],A131)</f>
        <v>43462</v>
      </c>
      <c r="C131" s="1">
        <f t="shared" ca="1" si="4"/>
        <v>2</v>
      </c>
      <c r="D131" s="1">
        <f ca="1">COUNTIF(Transactions[CustomerID],"="&amp;A131)</f>
        <v>1</v>
      </c>
      <c r="E131" s="9">
        <f ca="1">_xlfn.MAXIFS(Transactions[Transaction Amount], Transactions[CustomerID],A131)/'Customer Profiles'!$M$10</f>
        <v>0.56854720196446307</v>
      </c>
      <c r="F131" s="1">
        <f t="shared" ca="1" si="5"/>
        <v>0.47</v>
      </c>
      <c r="G131" s="1">
        <f t="shared" ca="1" si="6"/>
        <v>0.15</v>
      </c>
      <c r="H131" s="1">
        <f t="shared" ca="1" si="7"/>
        <v>0.99</v>
      </c>
    </row>
    <row r="132" spans="1:8">
      <c r="A132" s="1">
        <v>127</v>
      </c>
      <c r="B132" s="8">
        <f ca="1">_xlfn.MAXIFS(Transactions[Transaction Date], Transactions[CustomerID],A132)</f>
        <v>43263</v>
      </c>
      <c r="C132" s="1">
        <f t="shared" ca="1" si="4"/>
        <v>8</v>
      </c>
      <c r="D132" s="1">
        <f ca="1">COUNTIF(Transactions[CustomerID],"="&amp;A132)</f>
        <v>1</v>
      </c>
      <c r="E132" s="9">
        <f ca="1">_xlfn.MAXIFS(Transactions[Transaction Amount], Transactions[CustomerID],A132)/'Customer Profiles'!$M$10</f>
        <v>0.40995022914202411</v>
      </c>
      <c r="F132" s="1">
        <f t="shared" ca="1" si="5"/>
        <v>1.89</v>
      </c>
      <c r="G132" s="1">
        <f t="shared" ca="1" si="6"/>
        <v>0.15</v>
      </c>
      <c r="H132" s="1">
        <f t="shared" ca="1" si="7"/>
        <v>2.4</v>
      </c>
    </row>
    <row r="133" spans="1:8">
      <c r="A133" s="1">
        <v>128</v>
      </c>
      <c r="B133" s="8">
        <f ca="1">_xlfn.MAXIFS(Transactions[Transaction Date], Transactions[CustomerID],A133)</f>
        <v>43472</v>
      </c>
      <c r="C133" s="1">
        <f t="shared" ca="1" si="4"/>
        <v>1</v>
      </c>
      <c r="D133" s="1">
        <f ca="1">COUNTIF(Transactions[CustomerID],"="&amp;A133)</f>
        <v>11</v>
      </c>
      <c r="E133" s="9">
        <f ca="1">_xlfn.MAXIFS(Transactions[Transaction Amount], Transactions[CustomerID],A133)/'Customer Profiles'!$M$10</f>
        <v>2.4558137020100799</v>
      </c>
      <c r="F133" s="1">
        <f t="shared" ca="1" si="5"/>
        <v>0.24</v>
      </c>
      <c r="G133" s="1">
        <f t="shared" ca="1" si="6"/>
        <v>1.65</v>
      </c>
      <c r="H133" s="1">
        <f t="shared" ca="1" si="7"/>
        <v>3.37</v>
      </c>
    </row>
    <row r="134" spans="1:8">
      <c r="A134" s="1">
        <v>129</v>
      </c>
      <c r="B134" s="8">
        <f ca="1">_xlfn.MAXIFS(Transactions[Transaction Date], Transactions[CustomerID],A134)</f>
        <v>43398</v>
      </c>
      <c r="C134" s="1">
        <f t="shared" ref="C134:C197" ca="1" si="8">(MAX(DATEDIF(B134,"03/01/2019","ym"),1))</f>
        <v>4</v>
      </c>
      <c r="D134" s="1">
        <f ca="1">COUNTIF(Transactions[CustomerID],"="&amp;A134)</f>
        <v>2</v>
      </c>
      <c r="E134" s="9">
        <f ca="1">_xlfn.MAXIFS(Transactions[Transaction Amount], Transactions[CustomerID],A134)/'Customer Profiles'!$M$10</f>
        <v>1.3665289585472258</v>
      </c>
      <c r="F134" s="1">
        <f t="shared" ref="F134:F197" ca="1" si="9">ROUND(C134/$M$8,2)</f>
        <v>0.94</v>
      </c>
      <c r="G134" s="1">
        <f t="shared" ref="G134:G197" ca="1" si="10">ROUND(D134/$M$6,2)</f>
        <v>0.3</v>
      </c>
      <c r="H134" s="1">
        <f t="shared" ref="H134:H197" ca="1" si="11">ROUND(C134*$K$6+D134*$K$7+E134*$K$8,2)</f>
        <v>2.12</v>
      </c>
    </row>
    <row r="135" spans="1:8">
      <c r="A135" s="1">
        <v>130</v>
      </c>
      <c r="B135" s="8">
        <f ca="1">_xlfn.MAXIFS(Transactions[Transaction Date], Transactions[CustomerID],A135)</f>
        <v>43419</v>
      </c>
      <c r="C135" s="1">
        <f t="shared" ca="1" si="8"/>
        <v>3</v>
      </c>
      <c r="D135" s="1">
        <f ca="1">COUNTIF(Transactions[CustomerID],"="&amp;A135)</f>
        <v>6</v>
      </c>
      <c r="E135" s="9">
        <f ca="1">_xlfn.MAXIFS(Transactions[Transaction Amount], Transactions[CustomerID],A135)/'Customer Profiles'!$M$10</f>
        <v>2.46282272005016</v>
      </c>
      <c r="F135" s="1">
        <f t="shared" ca="1" si="9"/>
        <v>0.71</v>
      </c>
      <c r="G135" s="1">
        <f t="shared" ca="1" si="10"/>
        <v>0.9</v>
      </c>
      <c r="H135" s="1">
        <f t="shared" ca="1" si="11"/>
        <v>3.13</v>
      </c>
    </row>
    <row r="136" spans="1:8">
      <c r="A136" s="1">
        <v>131</v>
      </c>
      <c r="B136" s="8">
        <f ca="1">_xlfn.MAXIFS(Transactions[Transaction Date], Transactions[CustomerID],A136)</f>
        <v>42917</v>
      </c>
      <c r="C136" s="1">
        <f t="shared" ca="1" si="8"/>
        <v>8</v>
      </c>
      <c r="D136" s="1">
        <f ca="1">COUNTIF(Transactions[CustomerID],"="&amp;A136)</f>
        <v>2</v>
      </c>
      <c r="E136" s="9">
        <f ca="1">_xlfn.MAXIFS(Transactions[Transaction Amount], Transactions[CustomerID],A136)/'Customer Profiles'!$M$10</f>
        <v>0.36455871881410745</v>
      </c>
      <c r="F136" s="1">
        <f t="shared" ca="1" si="9"/>
        <v>1.89</v>
      </c>
      <c r="G136" s="1">
        <f t="shared" ca="1" si="10"/>
        <v>0.3</v>
      </c>
      <c r="H136" s="1">
        <f t="shared" ca="1" si="11"/>
        <v>2.52</v>
      </c>
    </row>
    <row r="137" spans="1:8">
      <c r="A137" s="1">
        <v>132</v>
      </c>
      <c r="B137" s="8">
        <f ca="1">_xlfn.MAXIFS(Transactions[Transaction Date], Transactions[CustomerID],A137)</f>
        <v>43468</v>
      </c>
      <c r="C137" s="1">
        <f t="shared" ca="1" si="8"/>
        <v>1</v>
      </c>
      <c r="D137" s="1">
        <f ca="1">COUNTIF(Transactions[CustomerID],"="&amp;A137)</f>
        <v>2</v>
      </c>
      <c r="E137" s="9">
        <f ca="1">_xlfn.MAXIFS(Transactions[Transaction Amount], Transactions[CustomerID],A137)/'Customer Profiles'!$M$10</f>
        <v>0.33351813432116995</v>
      </c>
      <c r="F137" s="1">
        <f t="shared" ca="1" si="9"/>
        <v>0.24</v>
      </c>
      <c r="G137" s="1">
        <f t="shared" ca="1" si="10"/>
        <v>0.3</v>
      </c>
      <c r="H137" s="1">
        <f t="shared" ca="1" si="11"/>
        <v>0.75</v>
      </c>
    </row>
    <row r="138" spans="1:8">
      <c r="A138" s="1">
        <v>133</v>
      </c>
      <c r="B138" s="8">
        <f ca="1">_xlfn.MAXIFS(Transactions[Transaction Date], Transactions[CustomerID],A138)</f>
        <v>42741</v>
      </c>
      <c r="C138" s="1">
        <f t="shared" ca="1" si="8"/>
        <v>1</v>
      </c>
      <c r="D138" s="1">
        <f ca="1">COUNTIF(Transactions[CustomerID],"="&amp;A138)</f>
        <v>1</v>
      </c>
      <c r="E138" s="9">
        <f ca="1">_xlfn.MAXIFS(Transactions[Transaction Amount], Transactions[CustomerID],A138)/'Customer Profiles'!$M$10</f>
        <v>2.898721398256551</v>
      </c>
      <c r="F138" s="1">
        <f t="shared" ca="1" si="9"/>
        <v>0.24</v>
      </c>
      <c r="G138" s="1">
        <f t="shared" ca="1" si="10"/>
        <v>0.15</v>
      </c>
      <c r="H138" s="1">
        <f t="shared" ca="1" si="11"/>
        <v>2.14</v>
      </c>
    </row>
    <row r="139" spans="1:8">
      <c r="A139" s="1">
        <v>134</v>
      </c>
      <c r="B139" s="8">
        <f ca="1">_xlfn.MAXIFS(Transactions[Transaction Date], Transactions[CustomerID],A139)</f>
        <v>43494</v>
      </c>
      <c r="C139" s="1">
        <f t="shared" ca="1" si="8"/>
        <v>1</v>
      </c>
      <c r="D139" s="1">
        <f ca="1">COUNTIF(Transactions[CustomerID],"="&amp;A139)</f>
        <v>2</v>
      </c>
      <c r="E139" s="9">
        <f ca="1">_xlfn.MAXIFS(Transactions[Transaction Amount], Transactions[CustomerID],A139)/'Customer Profiles'!$M$10</f>
        <v>0.63826529220317829</v>
      </c>
      <c r="F139" s="1">
        <f t="shared" ca="1" si="9"/>
        <v>0.24</v>
      </c>
      <c r="G139" s="1">
        <f t="shared" ca="1" si="10"/>
        <v>0.3</v>
      </c>
      <c r="H139" s="1">
        <f t="shared" ca="1" si="11"/>
        <v>0.93</v>
      </c>
    </row>
    <row r="140" spans="1:8">
      <c r="A140" s="1">
        <v>135</v>
      </c>
      <c r="B140" s="8">
        <f ca="1">_xlfn.MAXIFS(Transactions[Transaction Date], Transactions[CustomerID],A140)</f>
        <v>43432</v>
      </c>
      <c r="C140" s="1">
        <f t="shared" ca="1" si="8"/>
        <v>3</v>
      </c>
      <c r="D140" s="1">
        <f ca="1">COUNTIF(Transactions[CustomerID],"="&amp;A140)</f>
        <v>1</v>
      </c>
      <c r="E140" s="9">
        <f ca="1">_xlfn.MAXIFS(Transactions[Transaction Amount], Transactions[CustomerID],A140)/'Customer Profiles'!$M$10</f>
        <v>0.78811356795226073</v>
      </c>
      <c r="F140" s="1">
        <f t="shared" ca="1" si="9"/>
        <v>0.71</v>
      </c>
      <c r="G140" s="1">
        <f t="shared" ca="1" si="10"/>
        <v>0.15</v>
      </c>
      <c r="H140" s="1">
        <f t="shared" ca="1" si="11"/>
        <v>1.37</v>
      </c>
    </row>
    <row r="141" spans="1:8">
      <c r="A141" s="1">
        <v>136</v>
      </c>
      <c r="B141" s="8">
        <f ca="1">_xlfn.MAXIFS(Transactions[Transaction Date], Transactions[CustomerID],A141)</f>
        <v>42992</v>
      </c>
      <c r="C141" s="1">
        <f t="shared" ca="1" si="8"/>
        <v>5</v>
      </c>
      <c r="D141" s="1">
        <f ca="1">COUNTIF(Transactions[CustomerID],"="&amp;A141)</f>
        <v>1</v>
      </c>
      <c r="E141" s="9">
        <f ca="1">_xlfn.MAXIFS(Transactions[Transaction Amount], Transactions[CustomerID],A141)/'Customer Profiles'!$M$10</f>
        <v>0.2595413939443027</v>
      </c>
      <c r="F141" s="1">
        <f t="shared" ca="1" si="9"/>
        <v>1.18</v>
      </c>
      <c r="G141" s="1">
        <f t="shared" ca="1" si="10"/>
        <v>0.15</v>
      </c>
      <c r="H141" s="1">
        <f t="shared" ca="1" si="11"/>
        <v>1.56</v>
      </c>
    </row>
    <row r="142" spans="1:8">
      <c r="A142" s="1">
        <v>137</v>
      </c>
      <c r="B142" s="8">
        <f ca="1">_xlfn.MAXIFS(Transactions[Transaction Date], Transactions[CustomerID],A142)</f>
        <v>43196</v>
      </c>
      <c r="C142" s="1">
        <f t="shared" ca="1" si="8"/>
        <v>10</v>
      </c>
      <c r="D142" s="1">
        <f ca="1">COUNTIF(Transactions[CustomerID],"="&amp;A142)</f>
        <v>1</v>
      </c>
      <c r="E142" s="9">
        <f ca="1">_xlfn.MAXIFS(Transactions[Transaction Amount], Transactions[CustomerID],A142)/'Customer Profiles'!$M$10</f>
        <v>7.6070572400050232E-2</v>
      </c>
      <c r="F142" s="1">
        <f t="shared" ca="1" si="9"/>
        <v>2.36</v>
      </c>
      <c r="G142" s="1">
        <f t="shared" ca="1" si="10"/>
        <v>0.15</v>
      </c>
      <c r="H142" s="1">
        <f t="shared" ca="1" si="11"/>
        <v>2.7</v>
      </c>
    </row>
    <row r="143" spans="1:8">
      <c r="A143" s="1">
        <v>138</v>
      </c>
      <c r="B143" s="8">
        <f ca="1">_xlfn.MAXIFS(Transactions[Transaction Date], Transactions[CustomerID],A143)</f>
        <v>43497</v>
      </c>
      <c r="C143" s="1">
        <f t="shared" ca="1" si="8"/>
        <v>1</v>
      </c>
      <c r="D143" s="1">
        <f ca="1">COUNTIF(Transactions[CustomerID],"="&amp;A143)</f>
        <v>87</v>
      </c>
      <c r="E143" s="9">
        <f ca="1">_xlfn.MAXIFS(Transactions[Transaction Amount], Transactions[CustomerID],A143)/'Customer Profiles'!$M$10</f>
        <v>7.1871048158084552</v>
      </c>
      <c r="F143" s="1">
        <f t="shared" ca="1" si="9"/>
        <v>0.24</v>
      </c>
      <c r="G143" s="1">
        <f t="shared" ca="1" si="10"/>
        <v>13.04</v>
      </c>
      <c r="H143" s="1">
        <f t="shared" ca="1" si="11"/>
        <v>17.61</v>
      </c>
    </row>
    <row r="144" spans="1:8">
      <c r="A144" s="1">
        <v>139</v>
      </c>
      <c r="B144" s="8">
        <f ca="1">_xlfn.MAXIFS(Transactions[Transaction Date], Transactions[CustomerID],A144)</f>
        <v>43237</v>
      </c>
      <c r="C144" s="1">
        <f t="shared" ca="1" si="8"/>
        <v>9</v>
      </c>
      <c r="D144" s="1">
        <f ca="1">COUNTIF(Transactions[CustomerID],"="&amp;A144)</f>
        <v>5</v>
      </c>
      <c r="E144" s="9">
        <f ca="1">_xlfn.MAXIFS(Transactions[Transaction Amount], Transactions[CustomerID],A144)/'Customer Profiles'!$M$10</f>
        <v>4.1836656788591791</v>
      </c>
      <c r="F144" s="1">
        <f t="shared" ca="1" si="9"/>
        <v>2.12</v>
      </c>
      <c r="G144" s="1">
        <f t="shared" ca="1" si="10"/>
        <v>0.75</v>
      </c>
      <c r="H144" s="1">
        <f t="shared" ca="1" si="11"/>
        <v>5.51</v>
      </c>
    </row>
    <row r="145" spans="1:8">
      <c r="A145" s="1">
        <v>140</v>
      </c>
      <c r="B145" s="8">
        <f ca="1">_xlfn.MAXIFS(Transactions[Transaction Date], Transactions[CustomerID],A145)</f>
        <v>43026</v>
      </c>
      <c r="C145" s="1">
        <f t="shared" ca="1" si="8"/>
        <v>4</v>
      </c>
      <c r="D145" s="1">
        <f ca="1">COUNTIF(Transactions[CustomerID],"="&amp;A145)</f>
        <v>1</v>
      </c>
      <c r="E145" s="9">
        <f ca="1">_xlfn.MAXIFS(Transactions[Transaction Amount], Transactions[CustomerID],A145)/'Customer Profiles'!$M$10</f>
        <v>3.2961328741802447</v>
      </c>
      <c r="F145" s="1">
        <f t="shared" ca="1" si="9"/>
        <v>0.94</v>
      </c>
      <c r="G145" s="1">
        <f t="shared" ca="1" si="10"/>
        <v>0.15</v>
      </c>
      <c r="H145" s="1">
        <f t="shared" ca="1" si="11"/>
        <v>3.13</v>
      </c>
    </row>
    <row r="146" spans="1:8">
      <c r="A146" s="1">
        <v>141</v>
      </c>
      <c r="B146" s="8">
        <f ca="1">_xlfn.MAXIFS(Transactions[Transaction Date], Transactions[CustomerID],A146)</f>
        <v>43134</v>
      </c>
      <c r="C146" s="1">
        <f t="shared" ca="1" si="8"/>
        <v>1</v>
      </c>
      <c r="D146" s="1">
        <f ca="1">COUNTIF(Transactions[CustomerID],"="&amp;A146)</f>
        <v>1</v>
      </c>
      <c r="E146" s="9">
        <f ca="1">_xlfn.MAXIFS(Transactions[Transaction Amount], Transactions[CustomerID],A146)/'Customer Profiles'!$M$10</f>
        <v>2.2191443995787203</v>
      </c>
      <c r="F146" s="1">
        <f t="shared" ca="1" si="9"/>
        <v>0.24</v>
      </c>
      <c r="G146" s="1">
        <f t="shared" ca="1" si="10"/>
        <v>0.15</v>
      </c>
      <c r="H146" s="1">
        <f t="shared" ca="1" si="11"/>
        <v>1.73</v>
      </c>
    </row>
    <row r="147" spans="1:8">
      <c r="A147" s="1">
        <v>142</v>
      </c>
      <c r="B147" s="8">
        <f ca="1">_xlfn.MAXIFS(Transactions[Transaction Date], Transactions[CustomerID],A147)</f>
        <v>43447</v>
      </c>
      <c r="C147" s="1">
        <f t="shared" ca="1" si="8"/>
        <v>2</v>
      </c>
      <c r="D147" s="1">
        <f ca="1">COUNTIF(Transactions[CustomerID],"="&amp;A147)</f>
        <v>18</v>
      </c>
      <c r="E147" s="9">
        <f ca="1">_xlfn.MAXIFS(Transactions[Transaction Amount], Transactions[CustomerID],A147)/'Customer Profiles'!$M$10</f>
        <v>7.0538705846217251</v>
      </c>
      <c r="F147" s="1">
        <f t="shared" ca="1" si="9"/>
        <v>0.47</v>
      </c>
      <c r="G147" s="1">
        <f t="shared" ca="1" si="10"/>
        <v>2.7</v>
      </c>
      <c r="H147" s="1">
        <f t="shared" ca="1" si="11"/>
        <v>7.43</v>
      </c>
    </row>
    <row r="148" spans="1:8">
      <c r="A148" s="1">
        <v>143</v>
      </c>
      <c r="B148" s="8">
        <f ca="1">_xlfn.MAXIFS(Transactions[Transaction Date], Transactions[CustomerID],A148)</f>
        <v>43356</v>
      </c>
      <c r="C148" s="1">
        <f t="shared" ca="1" si="8"/>
        <v>5</v>
      </c>
      <c r="D148" s="1">
        <f ca="1">COUNTIF(Transactions[CustomerID],"="&amp;A148)</f>
        <v>12</v>
      </c>
      <c r="E148" s="9">
        <f ca="1">_xlfn.MAXIFS(Transactions[Transaction Amount], Transactions[CustomerID],A148)/'Customer Profiles'!$M$10</f>
        <v>4.595606812361968</v>
      </c>
      <c r="F148" s="1">
        <f t="shared" ca="1" si="9"/>
        <v>1.18</v>
      </c>
      <c r="G148" s="1">
        <f t="shared" ca="1" si="10"/>
        <v>1.8</v>
      </c>
      <c r="H148" s="1">
        <f t="shared" ca="1" si="11"/>
        <v>5.81</v>
      </c>
    </row>
    <row r="149" spans="1:8">
      <c r="A149" s="1">
        <v>144</v>
      </c>
      <c r="B149" s="8">
        <f ca="1">_xlfn.MAXIFS(Transactions[Transaction Date], Transactions[CustomerID],A149)</f>
        <v>43442</v>
      </c>
      <c r="C149" s="1">
        <f t="shared" ca="1" si="8"/>
        <v>2</v>
      </c>
      <c r="D149" s="1">
        <f ca="1">COUNTIF(Transactions[CustomerID],"="&amp;A149)</f>
        <v>6</v>
      </c>
      <c r="E149" s="9">
        <f ca="1">_xlfn.MAXIFS(Transactions[Transaction Amount], Transactions[CustomerID],A149)/'Customer Profiles'!$M$10</f>
        <v>4.0221741684551349</v>
      </c>
      <c r="F149" s="1">
        <f t="shared" ca="1" si="9"/>
        <v>0.47</v>
      </c>
      <c r="G149" s="1">
        <f t="shared" ca="1" si="10"/>
        <v>0.9</v>
      </c>
      <c r="H149" s="1">
        <f t="shared" ca="1" si="11"/>
        <v>3.81</v>
      </c>
    </row>
    <row r="150" spans="1:8">
      <c r="A150" s="1">
        <v>145</v>
      </c>
      <c r="B150" s="8">
        <f ca="1">_xlfn.MAXIFS(Transactions[Transaction Date], Transactions[CustomerID],A150)</f>
        <v>43399</v>
      </c>
      <c r="C150" s="1">
        <f t="shared" ca="1" si="8"/>
        <v>4</v>
      </c>
      <c r="D150" s="1">
        <f ca="1">COUNTIF(Transactions[CustomerID],"="&amp;A150)</f>
        <v>1</v>
      </c>
      <c r="E150" s="9">
        <f ca="1">_xlfn.MAXIFS(Transactions[Transaction Amount], Transactions[CustomerID],A150)/'Customer Profiles'!$M$10</f>
        <v>0.17885303915051576</v>
      </c>
      <c r="F150" s="1">
        <f t="shared" ca="1" si="9"/>
        <v>0.94</v>
      </c>
      <c r="G150" s="1">
        <f t="shared" ca="1" si="10"/>
        <v>0.15</v>
      </c>
      <c r="H150" s="1">
        <f t="shared" ca="1" si="11"/>
        <v>1.26</v>
      </c>
    </row>
    <row r="151" spans="1:8">
      <c r="A151" s="1">
        <v>146</v>
      </c>
      <c r="B151" s="8">
        <f ca="1">_xlfn.MAXIFS(Transactions[Transaction Date], Transactions[CustomerID],A151)</f>
        <v>43375</v>
      </c>
      <c r="C151" s="1">
        <f t="shared" ca="1" si="8"/>
        <v>4</v>
      </c>
      <c r="D151" s="1">
        <f ca="1">COUNTIF(Transactions[CustomerID],"="&amp;A151)</f>
        <v>1</v>
      </c>
      <c r="E151" s="9">
        <f ca="1">_xlfn.MAXIFS(Transactions[Transaction Amount], Transactions[CustomerID],A151)/'Customer Profiles'!$M$10</f>
        <v>0.15241965874167215</v>
      </c>
      <c r="F151" s="1">
        <f t="shared" ca="1" si="9"/>
        <v>0.94</v>
      </c>
      <c r="G151" s="1">
        <f t="shared" ca="1" si="10"/>
        <v>0.15</v>
      </c>
      <c r="H151" s="1">
        <f t="shared" ca="1" si="11"/>
        <v>1.24</v>
      </c>
    </row>
    <row r="152" spans="1:8">
      <c r="A152" s="1">
        <v>147</v>
      </c>
      <c r="B152" s="8">
        <f ca="1">_xlfn.MAXIFS(Transactions[Transaction Date], Transactions[CustomerID],A152)</f>
        <v>43088</v>
      </c>
      <c r="C152" s="1">
        <f t="shared" ca="1" si="8"/>
        <v>2</v>
      </c>
      <c r="D152" s="1">
        <f ca="1">COUNTIF(Transactions[CustomerID],"="&amp;A152)</f>
        <v>1</v>
      </c>
      <c r="E152" s="9">
        <f ca="1">_xlfn.MAXIFS(Transactions[Transaction Amount], Transactions[CustomerID],A152)/'Customer Profiles'!$M$10</f>
        <v>0.55973673353180065</v>
      </c>
      <c r="F152" s="1">
        <f t="shared" ca="1" si="9"/>
        <v>0.47</v>
      </c>
      <c r="G152" s="1">
        <f t="shared" ca="1" si="10"/>
        <v>0.15</v>
      </c>
      <c r="H152" s="1">
        <f t="shared" ca="1" si="11"/>
        <v>0.99</v>
      </c>
    </row>
    <row r="153" spans="1:8">
      <c r="A153" s="1">
        <v>148</v>
      </c>
      <c r="B153" s="8">
        <f ca="1">_xlfn.MAXIFS(Transactions[Transaction Date], Transactions[CustomerID],A153)</f>
        <v>43451</v>
      </c>
      <c r="C153" s="1">
        <f t="shared" ca="1" si="8"/>
        <v>2</v>
      </c>
      <c r="D153" s="1">
        <f ca="1">COUNTIF(Transactions[CustomerID],"="&amp;A153)</f>
        <v>3</v>
      </c>
      <c r="E153" s="9">
        <f ca="1">_xlfn.MAXIFS(Transactions[Transaction Amount], Transactions[CustomerID],A153)/'Customer Profiles'!$M$10</f>
        <v>3.5695849718585584</v>
      </c>
      <c r="F153" s="1">
        <f t="shared" ca="1" si="9"/>
        <v>0.47</v>
      </c>
      <c r="G153" s="1">
        <f t="shared" ca="1" si="10"/>
        <v>0.45</v>
      </c>
      <c r="H153" s="1">
        <f t="shared" ca="1" si="11"/>
        <v>3.09</v>
      </c>
    </row>
    <row r="154" spans="1:8">
      <c r="A154" s="1">
        <v>149</v>
      </c>
      <c r="B154" s="8">
        <f ca="1">_xlfn.MAXIFS(Transactions[Transaction Date], Transactions[CustomerID],A154)</f>
        <v>43041</v>
      </c>
      <c r="C154" s="1">
        <f t="shared" ca="1" si="8"/>
        <v>3</v>
      </c>
      <c r="D154" s="1">
        <f ca="1">COUNTIF(Transactions[CustomerID],"="&amp;A154)</f>
        <v>1</v>
      </c>
      <c r="E154" s="9">
        <f ca="1">_xlfn.MAXIFS(Transactions[Transaction Amount], Transactions[CustomerID],A154)/'Customer Profiles'!$M$10</f>
        <v>2.2991972096857354</v>
      </c>
      <c r="F154" s="1">
        <f t="shared" ca="1" si="9"/>
        <v>0.71</v>
      </c>
      <c r="G154" s="1">
        <f t="shared" ca="1" si="10"/>
        <v>0.15</v>
      </c>
      <c r="H154" s="1">
        <f t="shared" ca="1" si="11"/>
        <v>2.2799999999999998</v>
      </c>
    </row>
    <row r="155" spans="1:8">
      <c r="A155" s="1">
        <v>150</v>
      </c>
      <c r="B155" s="8">
        <f ca="1">_xlfn.MAXIFS(Transactions[Transaction Date], Transactions[CustomerID],A155)</f>
        <v>43497</v>
      </c>
      <c r="C155" s="1">
        <f t="shared" ca="1" si="8"/>
        <v>1</v>
      </c>
      <c r="D155" s="1">
        <f ca="1">COUNTIF(Transactions[CustomerID],"="&amp;A155)</f>
        <v>4</v>
      </c>
      <c r="E155" s="9">
        <f ca="1">_xlfn.MAXIFS(Transactions[Transaction Amount], Transactions[CustomerID],A155)/'Customer Profiles'!$M$10</f>
        <v>1.4525418218259558</v>
      </c>
      <c r="F155" s="1">
        <f t="shared" ca="1" si="9"/>
        <v>0.24</v>
      </c>
      <c r="G155" s="1">
        <f t="shared" ca="1" si="10"/>
        <v>0.6</v>
      </c>
      <c r="H155" s="1">
        <f t="shared" ca="1" si="11"/>
        <v>1.72</v>
      </c>
    </row>
    <row r="156" spans="1:8">
      <c r="A156" s="1">
        <v>151</v>
      </c>
      <c r="B156" s="8">
        <f ca="1">_xlfn.MAXIFS(Transactions[Transaction Date], Transactions[CustomerID],A156)</f>
        <v>43456</v>
      </c>
      <c r="C156" s="1">
        <f t="shared" ca="1" si="8"/>
        <v>2</v>
      </c>
      <c r="D156" s="1">
        <f ca="1">COUNTIF(Transactions[CustomerID],"="&amp;A156)</f>
        <v>3</v>
      </c>
      <c r="E156" s="9">
        <f ca="1">_xlfn.MAXIFS(Transactions[Transaction Amount], Transactions[CustomerID],A156)/'Customer Profiles'!$M$10</f>
        <v>2.4620274369683477</v>
      </c>
      <c r="F156" s="1">
        <f t="shared" ca="1" si="9"/>
        <v>0.47</v>
      </c>
      <c r="G156" s="1">
        <f t="shared" ca="1" si="10"/>
        <v>0.45</v>
      </c>
      <c r="H156" s="1">
        <f t="shared" ca="1" si="11"/>
        <v>2.4300000000000002</v>
      </c>
    </row>
    <row r="157" spans="1:8">
      <c r="A157" s="1">
        <v>152</v>
      </c>
      <c r="B157" s="8">
        <f ca="1">_xlfn.MAXIFS(Transactions[Transaction Date], Transactions[CustomerID],A157)</f>
        <v>43005</v>
      </c>
      <c r="C157" s="1">
        <f t="shared" ca="1" si="8"/>
        <v>5</v>
      </c>
      <c r="D157" s="1">
        <f ca="1">COUNTIF(Transactions[CustomerID],"="&amp;A157)</f>
        <v>2</v>
      </c>
      <c r="E157" s="9">
        <f ca="1">_xlfn.MAXIFS(Transactions[Transaction Amount], Transactions[CustomerID],A157)/'Customer Profiles'!$M$10</f>
        <v>0.82539533116632868</v>
      </c>
      <c r="F157" s="1">
        <f t="shared" ca="1" si="9"/>
        <v>1.18</v>
      </c>
      <c r="G157" s="1">
        <f t="shared" ca="1" si="10"/>
        <v>0.3</v>
      </c>
      <c r="H157" s="1">
        <f t="shared" ca="1" si="11"/>
        <v>2.0499999999999998</v>
      </c>
    </row>
    <row r="158" spans="1:8">
      <c r="A158" s="1">
        <v>153</v>
      </c>
      <c r="B158" s="8">
        <f ca="1">_xlfn.MAXIFS(Transactions[Transaction Date], Transactions[CustomerID],A158)</f>
        <v>43481</v>
      </c>
      <c r="C158" s="1">
        <f t="shared" ca="1" si="8"/>
        <v>1</v>
      </c>
      <c r="D158" s="1">
        <f ca="1">COUNTIF(Transactions[CustomerID],"="&amp;A158)</f>
        <v>7</v>
      </c>
      <c r="E158" s="9">
        <f ca="1">_xlfn.MAXIFS(Transactions[Transaction Amount], Transactions[CustomerID],A158)/'Customer Profiles'!$M$10</f>
        <v>3.6399978763277145</v>
      </c>
      <c r="F158" s="1">
        <f t="shared" ca="1" si="9"/>
        <v>0.24</v>
      </c>
      <c r="G158" s="1">
        <f t="shared" ca="1" si="10"/>
        <v>1.05</v>
      </c>
      <c r="H158" s="1">
        <f t="shared" ca="1" si="11"/>
        <v>3.48</v>
      </c>
    </row>
    <row r="159" spans="1:8">
      <c r="A159" s="1">
        <v>154</v>
      </c>
      <c r="B159" s="8">
        <f ca="1">_xlfn.MAXIFS(Transactions[Transaction Date], Transactions[CustomerID],A159)</f>
        <v>42790</v>
      </c>
      <c r="C159" s="1">
        <f t="shared" ca="1" si="8"/>
        <v>1</v>
      </c>
      <c r="D159" s="1">
        <f ca="1">COUNTIF(Transactions[CustomerID],"="&amp;A159)</f>
        <v>1</v>
      </c>
      <c r="E159" s="9">
        <f ca="1">_xlfn.MAXIFS(Transactions[Transaction Amount], Transactions[CustomerID],A159)/'Customer Profiles'!$M$10</f>
        <v>1.4734293736813193</v>
      </c>
      <c r="F159" s="1">
        <f t="shared" ca="1" si="9"/>
        <v>0.24</v>
      </c>
      <c r="G159" s="1">
        <f t="shared" ca="1" si="10"/>
        <v>0.15</v>
      </c>
      <c r="H159" s="1">
        <f t="shared" ca="1" si="11"/>
        <v>1.28</v>
      </c>
    </row>
    <row r="160" spans="1:8">
      <c r="A160" s="1">
        <v>155</v>
      </c>
      <c r="B160" s="8">
        <f ca="1">_xlfn.MAXIFS(Transactions[Transaction Date], Transactions[CustomerID],A160)</f>
        <v>43496</v>
      </c>
      <c r="C160" s="1">
        <f t="shared" ca="1" si="8"/>
        <v>1</v>
      </c>
      <c r="D160" s="1">
        <f ca="1">COUNTIF(Transactions[CustomerID],"="&amp;A160)</f>
        <v>20</v>
      </c>
      <c r="E160" s="9">
        <f ca="1">_xlfn.MAXIFS(Transactions[Transaction Amount], Transactions[CustomerID],A160)/'Customer Profiles'!$M$10</f>
        <v>4.4624143924891699</v>
      </c>
      <c r="F160" s="1">
        <f t="shared" ca="1" si="9"/>
        <v>0.24</v>
      </c>
      <c r="G160" s="1">
        <f t="shared" ca="1" si="10"/>
        <v>3</v>
      </c>
      <c r="H160" s="1">
        <f t="shared" ca="1" si="11"/>
        <v>5.93</v>
      </c>
    </row>
    <row r="161" spans="1:8">
      <c r="A161" s="1">
        <v>156</v>
      </c>
      <c r="B161" s="8">
        <f ca="1">_xlfn.MAXIFS(Transactions[Transaction Date], Transactions[CustomerID],A161)</f>
        <v>43303</v>
      </c>
      <c r="C161" s="1">
        <f t="shared" ca="1" si="8"/>
        <v>7</v>
      </c>
      <c r="D161" s="1">
        <f ca="1">COUNTIF(Transactions[CustomerID],"="&amp;A161)</f>
        <v>2</v>
      </c>
      <c r="E161" s="9">
        <f ca="1">_xlfn.MAXIFS(Transactions[Transaction Amount], Transactions[CustomerID],A161)/'Customer Profiles'!$M$10</f>
        <v>1.0883175226369197</v>
      </c>
      <c r="F161" s="1">
        <f t="shared" ca="1" si="9"/>
        <v>1.65</v>
      </c>
      <c r="G161" s="1">
        <f t="shared" ca="1" si="10"/>
        <v>0.3</v>
      </c>
      <c r="H161" s="1">
        <f t="shared" ca="1" si="11"/>
        <v>2.7</v>
      </c>
    </row>
    <row r="162" spans="1:8">
      <c r="A162" s="1">
        <v>157</v>
      </c>
      <c r="B162" s="8">
        <f ca="1">_xlfn.MAXIFS(Transactions[Transaction Date], Transactions[CustomerID],A162)</f>
        <v>42849</v>
      </c>
      <c r="C162" s="1">
        <f t="shared" ca="1" si="8"/>
        <v>10</v>
      </c>
      <c r="D162" s="1">
        <f ca="1">COUNTIF(Transactions[CustomerID],"="&amp;A162)</f>
        <v>1</v>
      </c>
      <c r="E162" s="9">
        <f ca="1">_xlfn.MAXIFS(Transactions[Transaction Amount], Transactions[CustomerID],A162)/'Customer Profiles'!$M$10</f>
        <v>0.15393557330561447</v>
      </c>
      <c r="F162" s="1">
        <f t="shared" ca="1" si="9"/>
        <v>2.36</v>
      </c>
      <c r="G162" s="1">
        <f t="shared" ca="1" si="10"/>
        <v>0.15</v>
      </c>
      <c r="H162" s="1">
        <f t="shared" ca="1" si="11"/>
        <v>2.74</v>
      </c>
    </row>
    <row r="163" spans="1:8">
      <c r="A163" s="1">
        <v>158</v>
      </c>
      <c r="B163" s="8">
        <f ca="1">_xlfn.MAXIFS(Transactions[Transaction Date], Transactions[CustomerID],A163)</f>
        <v>43260</v>
      </c>
      <c r="C163" s="1">
        <f t="shared" ca="1" si="8"/>
        <v>8</v>
      </c>
      <c r="D163" s="1">
        <f ca="1">COUNTIF(Transactions[CustomerID],"="&amp;A163)</f>
        <v>1</v>
      </c>
      <c r="E163" s="9">
        <f ca="1">_xlfn.MAXIFS(Transactions[Transaction Amount], Transactions[CustomerID],A163)/'Customer Profiles'!$M$10</f>
        <v>0.37207735950502696</v>
      </c>
      <c r="F163" s="1">
        <f t="shared" ca="1" si="9"/>
        <v>1.89</v>
      </c>
      <c r="G163" s="1">
        <f t="shared" ca="1" si="10"/>
        <v>0.15</v>
      </c>
      <c r="H163" s="1">
        <f t="shared" ca="1" si="11"/>
        <v>2.37</v>
      </c>
    </row>
    <row r="164" spans="1:8">
      <c r="A164" s="1">
        <v>159</v>
      </c>
      <c r="B164" s="8">
        <f ca="1">_xlfn.MAXIFS(Transactions[Transaction Date], Transactions[CustomerID],A164)</f>
        <v>43285</v>
      </c>
      <c r="C164" s="1">
        <f t="shared" ca="1" si="8"/>
        <v>7</v>
      </c>
      <c r="D164" s="1">
        <f ca="1">COUNTIF(Transactions[CustomerID],"="&amp;A164)</f>
        <v>1</v>
      </c>
      <c r="E164" s="9">
        <f ca="1">_xlfn.MAXIFS(Transactions[Transaction Amount], Transactions[CustomerID],A164)/'Customer Profiles'!$M$10</f>
        <v>1.9950584871812183</v>
      </c>
      <c r="F164" s="1">
        <f t="shared" ca="1" si="9"/>
        <v>1.65</v>
      </c>
      <c r="G164" s="1">
        <f t="shared" ca="1" si="10"/>
        <v>0.15</v>
      </c>
      <c r="H164" s="1">
        <f t="shared" ca="1" si="11"/>
        <v>3.1</v>
      </c>
    </row>
    <row r="165" spans="1:8">
      <c r="A165" s="1">
        <v>160</v>
      </c>
      <c r="B165" s="8">
        <f ca="1">_xlfn.MAXIFS(Transactions[Transaction Date], Transactions[CustomerID],A165)</f>
        <v>43487</v>
      </c>
      <c r="C165" s="1">
        <f t="shared" ca="1" si="8"/>
        <v>1</v>
      </c>
      <c r="D165" s="1">
        <f ca="1">COUNTIF(Transactions[CustomerID],"="&amp;A165)</f>
        <v>1</v>
      </c>
      <c r="E165" s="9">
        <f ca="1">_xlfn.MAXIFS(Transactions[Transaction Amount], Transactions[CustomerID],A165)/'Customer Profiles'!$M$10</f>
        <v>0.39439365716753788</v>
      </c>
      <c r="F165" s="1">
        <f t="shared" ca="1" si="9"/>
        <v>0.24</v>
      </c>
      <c r="G165" s="1">
        <f t="shared" ca="1" si="10"/>
        <v>0.15</v>
      </c>
      <c r="H165" s="1">
        <f t="shared" ca="1" si="11"/>
        <v>0.64</v>
      </c>
    </row>
    <row r="166" spans="1:8">
      <c r="A166" s="1">
        <v>161</v>
      </c>
      <c r="B166" s="8">
        <f ca="1">_xlfn.MAXIFS(Transactions[Transaction Date], Transactions[CustomerID],A166)</f>
        <v>43392</v>
      </c>
      <c r="C166" s="1">
        <f t="shared" ca="1" si="8"/>
        <v>4</v>
      </c>
      <c r="D166" s="1">
        <f ca="1">COUNTIF(Transactions[CustomerID],"="&amp;A166)</f>
        <v>1</v>
      </c>
      <c r="E166" s="9">
        <f ca="1">_xlfn.MAXIFS(Transactions[Transaction Amount], Transactions[CustomerID],A166)/'Customer Profiles'!$M$10</f>
        <v>2.9455662429283787</v>
      </c>
      <c r="F166" s="1">
        <f t="shared" ca="1" si="9"/>
        <v>0.94</v>
      </c>
      <c r="G166" s="1">
        <f t="shared" ca="1" si="10"/>
        <v>0.15</v>
      </c>
      <c r="H166" s="1">
        <f t="shared" ca="1" si="11"/>
        <v>2.92</v>
      </c>
    </row>
    <row r="167" spans="1:8">
      <c r="A167" s="1">
        <v>162</v>
      </c>
      <c r="B167" s="8">
        <f ca="1">_xlfn.MAXIFS(Transactions[Transaction Date], Transactions[CustomerID],A167)</f>
        <v>43117</v>
      </c>
      <c r="C167" s="1">
        <f t="shared" ca="1" si="8"/>
        <v>1</v>
      </c>
      <c r="D167" s="1">
        <f ca="1">COUNTIF(Transactions[CustomerID],"="&amp;A167)</f>
        <v>1</v>
      </c>
      <c r="E167" s="9">
        <f ca="1">_xlfn.MAXIFS(Transactions[Transaction Amount], Transactions[CustomerID],A167)/'Customer Profiles'!$M$10</f>
        <v>0.74302938764852833</v>
      </c>
      <c r="F167" s="1">
        <f t="shared" ca="1" si="9"/>
        <v>0.24</v>
      </c>
      <c r="G167" s="1">
        <f t="shared" ca="1" si="10"/>
        <v>0.15</v>
      </c>
      <c r="H167" s="1">
        <f t="shared" ca="1" si="11"/>
        <v>0.85</v>
      </c>
    </row>
    <row r="168" spans="1:8">
      <c r="A168" s="1">
        <v>163</v>
      </c>
      <c r="B168" s="8">
        <f ca="1">_xlfn.MAXIFS(Transactions[Transaction Date], Transactions[CustomerID],A168)</f>
        <v>43479</v>
      </c>
      <c r="C168" s="1">
        <f t="shared" ca="1" si="8"/>
        <v>1</v>
      </c>
      <c r="D168" s="1">
        <f ca="1">COUNTIF(Transactions[CustomerID],"="&amp;A168)</f>
        <v>11</v>
      </c>
      <c r="E168" s="9">
        <f ca="1">_xlfn.MAXIFS(Transactions[Transaction Amount], Transactions[CustomerID],A168)/'Customer Profiles'!$M$10</f>
        <v>4.2967210109629734</v>
      </c>
      <c r="F168" s="1">
        <f t="shared" ca="1" si="9"/>
        <v>0.24</v>
      </c>
      <c r="G168" s="1">
        <f t="shared" ca="1" si="10"/>
        <v>1.65</v>
      </c>
      <c r="H168" s="1">
        <f t="shared" ca="1" si="11"/>
        <v>4.4800000000000004</v>
      </c>
    </row>
    <row r="169" spans="1:8">
      <c r="A169" s="1">
        <v>164</v>
      </c>
      <c r="B169" s="8">
        <f ca="1">_xlfn.MAXIFS(Transactions[Transaction Date], Transactions[CustomerID],A169)</f>
        <v>42820</v>
      </c>
      <c r="C169" s="1">
        <f t="shared" ca="1" si="8"/>
        <v>11</v>
      </c>
      <c r="D169" s="1">
        <f ca="1">COUNTIF(Transactions[CustomerID],"="&amp;A169)</f>
        <v>1</v>
      </c>
      <c r="E169" s="9">
        <f ca="1">_xlfn.MAXIFS(Transactions[Transaction Amount], Transactions[CustomerID],A169)/'Customer Profiles'!$M$10</f>
        <v>1.1551130185293601</v>
      </c>
      <c r="F169" s="1">
        <f t="shared" ca="1" si="9"/>
        <v>2.59</v>
      </c>
      <c r="G169" s="1">
        <f t="shared" ca="1" si="10"/>
        <v>0.15</v>
      </c>
      <c r="H169" s="1">
        <f t="shared" ca="1" si="11"/>
        <v>3.59</v>
      </c>
    </row>
    <row r="170" spans="1:8">
      <c r="A170" s="1">
        <v>165</v>
      </c>
      <c r="B170" s="8">
        <f ca="1">_xlfn.MAXIFS(Transactions[Transaction Date], Transactions[CustomerID],A170)</f>
        <v>43472</v>
      </c>
      <c r="C170" s="1">
        <f t="shared" ca="1" si="8"/>
        <v>1</v>
      </c>
      <c r="D170" s="1">
        <f ca="1">COUNTIF(Transactions[CustomerID],"="&amp;A170)</f>
        <v>46</v>
      </c>
      <c r="E170" s="9">
        <f ca="1">_xlfn.MAXIFS(Transactions[Transaction Amount], Transactions[CustomerID],A170)/'Customer Profiles'!$M$10</f>
        <v>6.0069282277606604</v>
      </c>
      <c r="F170" s="1">
        <f t="shared" ca="1" si="9"/>
        <v>0.24</v>
      </c>
      <c r="G170" s="1">
        <f t="shared" ca="1" si="10"/>
        <v>6.9</v>
      </c>
      <c r="H170" s="1">
        <f t="shared" ca="1" si="11"/>
        <v>10.75</v>
      </c>
    </row>
    <row r="171" spans="1:8">
      <c r="A171" s="1">
        <v>166</v>
      </c>
      <c r="B171" s="8">
        <f ca="1">_xlfn.MAXIFS(Transactions[Transaction Date], Transactions[CustomerID],A171)</f>
        <v>43443</v>
      </c>
      <c r="C171" s="1">
        <f t="shared" ca="1" si="8"/>
        <v>2</v>
      </c>
      <c r="D171" s="1">
        <f ca="1">COUNTIF(Transactions[CustomerID],"="&amp;A171)</f>
        <v>10</v>
      </c>
      <c r="E171" s="9">
        <f ca="1">_xlfn.MAXIFS(Transactions[Transaction Amount], Transactions[CustomerID],A171)/'Customer Profiles'!$M$10</f>
        <v>2.4838475570105385</v>
      </c>
      <c r="F171" s="1">
        <f t="shared" ca="1" si="9"/>
        <v>0.47</v>
      </c>
      <c r="G171" s="1">
        <f t="shared" ca="1" si="10"/>
        <v>1.5</v>
      </c>
      <c r="H171" s="1">
        <f t="shared" ca="1" si="11"/>
        <v>3.49</v>
      </c>
    </row>
    <row r="172" spans="1:8">
      <c r="A172" s="1">
        <v>167</v>
      </c>
      <c r="B172" s="8">
        <f ca="1">_xlfn.MAXIFS(Transactions[Transaction Date], Transactions[CustomerID],A172)</f>
        <v>42949</v>
      </c>
      <c r="C172" s="1">
        <f t="shared" ca="1" si="8"/>
        <v>6</v>
      </c>
      <c r="D172" s="1">
        <f ca="1">COUNTIF(Transactions[CustomerID],"="&amp;A172)</f>
        <v>1</v>
      </c>
      <c r="E172" s="9">
        <f ca="1">_xlfn.MAXIFS(Transactions[Transaction Amount], Transactions[CustomerID],A172)/'Customer Profiles'!$M$10</f>
        <v>0.18927789199490724</v>
      </c>
      <c r="F172" s="1">
        <f t="shared" ca="1" si="9"/>
        <v>1.42</v>
      </c>
      <c r="G172" s="1">
        <f t="shared" ca="1" si="10"/>
        <v>0.15</v>
      </c>
      <c r="H172" s="1">
        <f t="shared" ca="1" si="11"/>
        <v>1.76</v>
      </c>
    </row>
    <row r="173" spans="1:8">
      <c r="A173" s="1">
        <v>168</v>
      </c>
      <c r="B173" s="8">
        <f ca="1">_xlfn.MAXIFS(Transactions[Transaction Date], Transactions[CustomerID],A173)</f>
        <v>43357</v>
      </c>
      <c r="C173" s="1">
        <f t="shared" ca="1" si="8"/>
        <v>5</v>
      </c>
      <c r="D173" s="1">
        <f ca="1">COUNTIF(Transactions[CustomerID],"="&amp;A173)</f>
        <v>16</v>
      </c>
      <c r="E173" s="9">
        <f ca="1">_xlfn.MAXIFS(Transactions[Transaction Amount], Transactions[CustomerID],A173)/'Customer Profiles'!$M$10</f>
        <v>2.2710067369297926</v>
      </c>
      <c r="F173" s="1">
        <f t="shared" ca="1" si="9"/>
        <v>1.18</v>
      </c>
      <c r="G173" s="1">
        <f t="shared" ca="1" si="10"/>
        <v>2.4</v>
      </c>
      <c r="H173" s="1">
        <f t="shared" ca="1" si="11"/>
        <v>5.01</v>
      </c>
    </row>
    <row r="174" spans="1:8">
      <c r="A174" s="1">
        <v>169</v>
      </c>
      <c r="B174" s="8">
        <f ca="1">_xlfn.MAXIFS(Transactions[Transaction Date], Transactions[CustomerID],A174)</f>
        <v>43275</v>
      </c>
      <c r="C174" s="1">
        <f t="shared" ca="1" si="8"/>
        <v>8</v>
      </c>
      <c r="D174" s="1">
        <f ca="1">COUNTIF(Transactions[CustomerID],"="&amp;A174)</f>
        <v>4</v>
      </c>
      <c r="E174" s="9">
        <f ca="1">_xlfn.MAXIFS(Transactions[Transaction Amount], Transactions[CustomerID],A174)/'Customer Profiles'!$M$10</f>
        <v>5.4421570489150248</v>
      </c>
      <c r="F174" s="1">
        <f t="shared" ca="1" si="9"/>
        <v>1.89</v>
      </c>
      <c r="G174" s="1">
        <f t="shared" ca="1" si="10"/>
        <v>0.6</v>
      </c>
      <c r="H174" s="1">
        <f t="shared" ca="1" si="11"/>
        <v>5.87</v>
      </c>
    </row>
    <row r="175" spans="1:8">
      <c r="A175" s="1">
        <v>170</v>
      </c>
      <c r="B175" s="8">
        <f ca="1">_xlfn.MAXIFS(Transactions[Transaction Date], Transactions[CustomerID],A175)</f>
        <v>43233</v>
      </c>
      <c r="C175" s="1">
        <f t="shared" ca="1" si="8"/>
        <v>9</v>
      </c>
      <c r="D175" s="1">
        <f ca="1">COUNTIF(Transactions[CustomerID],"="&amp;A175)</f>
        <v>2</v>
      </c>
      <c r="E175" s="9">
        <f ca="1">_xlfn.MAXIFS(Transactions[Transaction Amount], Transactions[CustomerID],A175)/'Customer Profiles'!$M$10</f>
        <v>5.9767491803303727</v>
      </c>
      <c r="F175" s="1">
        <f t="shared" ca="1" si="9"/>
        <v>2.12</v>
      </c>
      <c r="G175" s="1">
        <f t="shared" ca="1" si="10"/>
        <v>0.3</v>
      </c>
      <c r="H175" s="1">
        <f t="shared" ca="1" si="11"/>
        <v>6.14</v>
      </c>
    </row>
    <row r="176" spans="1:8">
      <c r="A176" s="1">
        <v>171</v>
      </c>
      <c r="B176" s="8">
        <f ca="1">_xlfn.MAXIFS(Transactions[Transaction Date], Transactions[CustomerID],A176)</f>
        <v>42967</v>
      </c>
      <c r="C176" s="1">
        <f t="shared" ca="1" si="8"/>
        <v>6</v>
      </c>
      <c r="D176" s="1">
        <f ca="1">COUNTIF(Transactions[CustomerID],"="&amp;A176)</f>
        <v>1</v>
      </c>
      <c r="E176" s="9">
        <f ca="1">_xlfn.MAXIFS(Transactions[Transaction Amount], Transactions[CustomerID],A176)/'Customer Profiles'!$M$10</f>
        <v>0.39383343536006532</v>
      </c>
      <c r="F176" s="1">
        <f t="shared" ca="1" si="9"/>
        <v>1.42</v>
      </c>
      <c r="G176" s="1">
        <f t="shared" ca="1" si="10"/>
        <v>0.15</v>
      </c>
      <c r="H176" s="1">
        <f t="shared" ca="1" si="11"/>
        <v>1.89</v>
      </c>
    </row>
    <row r="177" spans="1:8">
      <c r="A177" s="1">
        <v>172</v>
      </c>
      <c r="B177" s="8">
        <f ca="1">_xlfn.MAXIFS(Transactions[Transaction Date], Transactions[CustomerID],A177)</f>
        <v>43191</v>
      </c>
      <c r="C177" s="1">
        <f t="shared" ca="1" si="8"/>
        <v>11</v>
      </c>
      <c r="D177" s="1">
        <f ca="1">COUNTIF(Transactions[CustomerID],"="&amp;A177)</f>
        <v>7</v>
      </c>
      <c r="E177" s="9">
        <f ca="1">_xlfn.MAXIFS(Transactions[Transaction Amount], Transactions[CustomerID],A177)/'Customer Profiles'!$M$10</f>
        <v>4.7355958680813615</v>
      </c>
      <c r="F177" s="1">
        <f t="shared" ca="1" si="9"/>
        <v>2.59</v>
      </c>
      <c r="G177" s="1">
        <f t="shared" ca="1" si="10"/>
        <v>1.05</v>
      </c>
      <c r="H177" s="1">
        <f t="shared" ca="1" si="11"/>
        <v>6.64</v>
      </c>
    </row>
    <row r="178" spans="1:8">
      <c r="A178" s="1">
        <v>173</v>
      </c>
      <c r="B178" s="8">
        <f ca="1">_xlfn.MAXIFS(Transactions[Transaction Date], Transactions[CustomerID],A178)</f>
        <v>43418</v>
      </c>
      <c r="C178" s="1">
        <f t="shared" ca="1" si="8"/>
        <v>3</v>
      </c>
      <c r="D178" s="1">
        <f ca="1">COUNTIF(Transactions[CustomerID],"="&amp;A178)</f>
        <v>7</v>
      </c>
      <c r="E178" s="9">
        <f ca="1">_xlfn.MAXIFS(Transactions[Transaction Amount], Transactions[CustomerID],A178)/'Customer Profiles'!$M$10</f>
        <v>6.0893335926214487</v>
      </c>
      <c r="F178" s="1">
        <f t="shared" ca="1" si="9"/>
        <v>0.71</v>
      </c>
      <c r="G178" s="1">
        <f t="shared" ca="1" si="10"/>
        <v>1.05</v>
      </c>
      <c r="H178" s="1">
        <f t="shared" ca="1" si="11"/>
        <v>5.45</v>
      </c>
    </row>
    <row r="179" spans="1:8">
      <c r="A179" s="1">
        <v>174</v>
      </c>
      <c r="B179" s="8">
        <f ca="1">_xlfn.MAXIFS(Transactions[Transaction Date], Transactions[CustomerID],A179)</f>
        <v>43183</v>
      </c>
      <c r="C179" s="1">
        <f t="shared" ca="1" si="8"/>
        <v>11</v>
      </c>
      <c r="D179" s="1">
        <f ca="1">COUNTIF(Transactions[CustomerID],"="&amp;A179)</f>
        <v>3</v>
      </c>
      <c r="E179" s="9">
        <f ca="1">_xlfn.MAXIFS(Transactions[Transaction Amount], Transactions[CustomerID],A179)/'Customer Profiles'!$M$10</f>
        <v>0.41711446690488219</v>
      </c>
      <c r="F179" s="1">
        <f t="shared" ca="1" si="9"/>
        <v>2.59</v>
      </c>
      <c r="G179" s="1">
        <f t="shared" ca="1" si="10"/>
        <v>0.45</v>
      </c>
      <c r="H179" s="1">
        <f t="shared" ca="1" si="11"/>
        <v>3.45</v>
      </c>
    </row>
    <row r="180" spans="1:8">
      <c r="A180" s="1">
        <v>175</v>
      </c>
      <c r="B180" s="8">
        <f ca="1">_xlfn.MAXIFS(Transactions[Transaction Date], Transactions[CustomerID],A180)</f>
        <v>43152</v>
      </c>
      <c r="C180" s="1">
        <f t="shared" ca="1" si="8"/>
        <v>1</v>
      </c>
      <c r="D180" s="1">
        <f ca="1">COUNTIF(Transactions[CustomerID],"="&amp;A180)</f>
        <v>1</v>
      </c>
      <c r="E180" s="9">
        <f ca="1">_xlfn.MAXIFS(Transactions[Transaction Amount], Transactions[CustomerID],A180)/'Customer Profiles'!$M$10</f>
        <v>0.14799921078836878</v>
      </c>
      <c r="F180" s="1">
        <f t="shared" ca="1" si="9"/>
        <v>0.24</v>
      </c>
      <c r="G180" s="1">
        <f t="shared" ca="1" si="10"/>
        <v>0.15</v>
      </c>
      <c r="H180" s="1">
        <f t="shared" ca="1" si="11"/>
        <v>0.49</v>
      </c>
    </row>
    <row r="181" spans="1:8">
      <c r="A181" s="1">
        <v>176</v>
      </c>
      <c r="B181" s="8">
        <f ca="1">_xlfn.MAXIFS(Transactions[Transaction Date], Transactions[CustomerID],A181)</f>
        <v>43441</v>
      </c>
      <c r="C181" s="1">
        <f t="shared" ca="1" si="8"/>
        <v>2</v>
      </c>
      <c r="D181" s="1">
        <f ca="1">COUNTIF(Transactions[CustomerID],"="&amp;A181)</f>
        <v>1</v>
      </c>
      <c r="E181" s="9">
        <f ca="1">_xlfn.MAXIFS(Transactions[Transaction Amount], Transactions[CustomerID],A181)/'Customer Profiles'!$M$10</f>
        <v>0.32660763380435281</v>
      </c>
      <c r="F181" s="1">
        <f t="shared" ca="1" si="9"/>
        <v>0.47</v>
      </c>
      <c r="G181" s="1">
        <f t="shared" ca="1" si="10"/>
        <v>0.15</v>
      </c>
      <c r="H181" s="1">
        <f t="shared" ca="1" si="11"/>
        <v>0.85</v>
      </c>
    </row>
    <row r="182" spans="1:8">
      <c r="A182" s="1">
        <v>177</v>
      </c>
      <c r="B182" s="8">
        <f ca="1">_xlfn.MAXIFS(Transactions[Transaction Date], Transactions[CustomerID],A182)</f>
        <v>43374</v>
      </c>
      <c r="C182" s="1">
        <f t="shared" ca="1" si="8"/>
        <v>5</v>
      </c>
      <c r="D182" s="1">
        <f ca="1">COUNTIF(Transactions[CustomerID],"="&amp;A182)</f>
        <v>3</v>
      </c>
      <c r="E182" s="9">
        <f ca="1">_xlfn.MAXIFS(Transactions[Transaction Amount], Transactions[CustomerID],A182)/'Customer Profiles'!$M$10</f>
        <v>0.4239276242027637</v>
      </c>
      <c r="F182" s="1">
        <f t="shared" ca="1" si="9"/>
        <v>1.18</v>
      </c>
      <c r="G182" s="1">
        <f t="shared" ca="1" si="10"/>
        <v>0.45</v>
      </c>
      <c r="H182" s="1">
        <f t="shared" ca="1" si="11"/>
        <v>1.95</v>
      </c>
    </row>
    <row r="183" spans="1:8">
      <c r="A183" s="1">
        <v>178</v>
      </c>
      <c r="B183" s="8">
        <f ca="1">_xlfn.MAXIFS(Transactions[Transaction Date], Transactions[CustomerID],A183)</f>
        <v>43448</v>
      </c>
      <c r="C183" s="1">
        <f t="shared" ca="1" si="8"/>
        <v>2</v>
      </c>
      <c r="D183" s="1">
        <f ca="1">COUNTIF(Transactions[CustomerID],"="&amp;A183)</f>
        <v>2</v>
      </c>
      <c r="E183" s="9">
        <f ca="1">_xlfn.MAXIFS(Transactions[Transaction Amount], Transactions[CustomerID],A183)/'Customer Profiles'!$M$10</f>
        <v>1.7318687720255819</v>
      </c>
      <c r="F183" s="1">
        <f t="shared" ca="1" si="9"/>
        <v>0.47</v>
      </c>
      <c r="G183" s="1">
        <f t="shared" ca="1" si="10"/>
        <v>0.3</v>
      </c>
      <c r="H183" s="1">
        <f t="shared" ca="1" si="11"/>
        <v>1.84</v>
      </c>
    </row>
    <row r="184" spans="1:8">
      <c r="A184" s="1">
        <v>179</v>
      </c>
      <c r="B184" s="8">
        <f ca="1">_xlfn.MAXIFS(Transactions[Transaction Date], Transactions[CustomerID],A184)</f>
        <v>43352</v>
      </c>
      <c r="C184" s="1">
        <f t="shared" ca="1" si="8"/>
        <v>5</v>
      </c>
      <c r="D184" s="1">
        <f ca="1">COUNTIF(Transactions[CustomerID],"="&amp;A184)</f>
        <v>1</v>
      </c>
      <c r="E184" s="9">
        <f ca="1">_xlfn.MAXIFS(Transactions[Transaction Amount], Transactions[CustomerID],A184)/'Customer Profiles'!$M$10</f>
        <v>0.12164754147768386</v>
      </c>
      <c r="F184" s="1">
        <f t="shared" ca="1" si="9"/>
        <v>1.18</v>
      </c>
      <c r="G184" s="1">
        <f t="shared" ca="1" si="10"/>
        <v>0.15</v>
      </c>
      <c r="H184" s="1">
        <f t="shared" ca="1" si="11"/>
        <v>1.47</v>
      </c>
    </row>
    <row r="185" spans="1:8">
      <c r="A185" s="1">
        <v>180</v>
      </c>
      <c r="B185" s="8">
        <f ca="1">_xlfn.MAXIFS(Transactions[Transaction Date], Transactions[CustomerID],A185)</f>
        <v>42993</v>
      </c>
      <c r="C185" s="1">
        <f t="shared" ca="1" si="8"/>
        <v>5</v>
      </c>
      <c r="D185" s="1">
        <f ca="1">COUNTIF(Transactions[CustomerID],"="&amp;A185)</f>
        <v>1</v>
      </c>
      <c r="E185" s="9">
        <f ca="1">_xlfn.MAXIFS(Transactions[Transaction Amount], Transactions[CustomerID],A185)/'Customer Profiles'!$M$10</f>
        <v>0.10047975502446392</v>
      </c>
      <c r="F185" s="1">
        <f t="shared" ca="1" si="9"/>
        <v>1.18</v>
      </c>
      <c r="G185" s="1">
        <f t="shared" ca="1" si="10"/>
        <v>0.15</v>
      </c>
      <c r="H185" s="1">
        <f t="shared" ca="1" si="11"/>
        <v>1.46</v>
      </c>
    </row>
    <row r="186" spans="1:8">
      <c r="A186" s="1">
        <v>181</v>
      </c>
      <c r="B186" s="8">
        <f ca="1">_xlfn.MAXIFS(Transactions[Transaction Date], Transactions[CustomerID],A186)</f>
        <v>43272</v>
      </c>
      <c r="C186" s="1">
        <f t="shared" ca="1" si="8"/>
        <v>8</v>
      </c>
      <c r="D186" s="1">
        <f ca="1">COUNTIF(Transactions[CustomerID],"="&amp;A186)</f>
        <v>1</v>
      </c>
      <c r="E186" s="9">
        <f ca="1">_xlfn.MAXIFS(Transactions[Transaction Amount], Transactions[CustomerID],A186)/'Customer Profiles'!$M$10</f>
        <v>1.0455995836933567</v>
      </c>
      <c r="F186" s="1">
        <f t="shared" ca="1" si="9"/>
        <v>1.89</v>
      </c>
      <c r="G186" s="1">
        <f t="shared" ca="1" si="10"/>
        <v>0.15</v>
      </c>
      <c r="H186" s="1">
        <f t="shared" ca="1" si="11"/>
        <v>2.78</v>
      </c>
    </row>
    <row r="187" spans="1:8">
      <c r="A187" s="1">
        <v>182</v>
      </c>
      <c r="B187" s="8">
        <f ca="1">_xlfn.MAXIFS(Transactions[Transaction Date], Transactions[CustomerID],A187)</f>
        <v>43015</v>
      </c>
      <c r="C187" s="1">
        <f t="shared" ca="1" si="8"/>
        <v>4</v>
      </c>
      <c r="D187" s="1">
        <f ca="1">COUNTIF(Transactions[CustomerID],"="&amp;A187)</f>
        <v>1</v>
      </c>
      <c r="E187" s="9">
        <f ca="1">_xlfn.MAXIFS(Transactions[Transaction Amount], Transactions[CustomerID],A187)/'Customer Profiles'!$M$10</f>
        <v>0.9860118856847303</v>
      </c>
      <c r="F187" s="1">
        <f t="shared" ca="1" si="9"/>
        <v>0.94</v>
      </c>
      <c r="G187" s="1">
        <f t="shared" ca="1" si="10"/>
        <v>0.15</v>
      </c>
      <c r="H187" s="1">
        <f t="shared" ca="1" si="11"/>
        <v>1.74</v>
      </c>
    </row>
    <row r="188" spans="1:8">
      <c r="A188" s="1">
        <v>183</v>
      </c>
      <c r="B188" s="8">
        <f ca="1">_xlfn.MAXIFS(Transactions[Transaction Date], Transactions[CustomerID],A188)</f>
        <v>43304</v>
      </c>
      <c r="C188" s="1">
        <f t="shared" ca="1" si="8"/>
        <v>7</v>
      </c>
      <c r="D188" s="1">
        <f ca="1">COUNTIF(Transactions[CustomerID],"="&amp;A188)</f>
        <v>6</v>
      </c>
      <c r="E188" s="9">
        <f ca="1">_xlfn.MAXIFS(Transactions[Transaction Amount], Transactions[CustomerID],A188)/'Customer Profiles'!$M$10</f>
        <v>1.5718025792481438</v>
      </c>
      <c r="F188" s="1">
        <f t="shared" ca="1" si="9"/>
        <v>1.65</v>
      </c>
      <c r="G188" s="1">
        <f t="shared" ca="1" si="10"/>
        <v>0.9</v>
      </c>
      <c r="H188" s="1">
        <f t="shared" ca="1" si="11"/>
        <v>3.59</v>
      </c>
    </row>
    <row r="189" spans="1:8">
      <c r="A189" s="1">
        <v>184</v>
      </c>
      <c r="B189" s="8">
        <f ca="1">_xlfn.MAXIFS(Transactions[Transaction Date], Transactions[CustomerID],A189)</f>
        <v>43495</v>
      </c>
      <c r="C189" s="1">
        <f t="shared" ca="1" si="8"/>
        <v>1</v>
      </c>
      <c r="D189" s="1">
        <f ca="1">COUNTIF(Transactions[CustomerID],"="&amp;A189)</f>
        <v>15</v>
      </c>
      <c r="E189" s="9">
        <f ca="1">_xlfn.MAXIFS(Transactions[Transaction Amount], Transactions[CustomerID],A189)/'Customer Profiles'!$M$10</f>
        <v>2.2541845416920663</v>
      </c>
      <c r="F189" s="1">
        <f t="shared" ca="1" si="9"/>
        <v>0.24</v>
      </c>
      <c r="G189" s="1">
        <f t="shared" ca="1" si="10"/>
        <v>2.25</v>
      </c>
      <c r="H189" s="1">
        <f t="shared" ca="1" si="11"/>
        <v>3.85</v>
      </c>
    </row>
    <row r="190" spans="1:8">
      <c r="A190" s="1">
        <v>185</v>
      </c>
      <c r="B190" s="8">
        <f ca="1">_xlfn.MAXIFS(Transactions[Transaction Date], Transactions[CustomerID],A190)</f>
        <v>43074</v>
      </c>
      <c r="C190" s="1">
        <f t="shared" ca="1" si="8"/>
        <v>2</v>
      </c>
      <c r="D190" s="1">
        <f ca="1">COUNTIF(Transactions[CustomerID],"="&amp;A190)</f>
        <v>1</v>
      </c>
      <c r="E190" s="9">
        <f ca="1">_xlfn.MAXIFS(Transactions[Transaction Amount], Transactions[CustomerID],A190)/'Customer Profiles'!$M$10</f>
        <v>0.17401081951062378</v>
      </c>
      <c r="F190" s="1">
        <f t="shared" ca="1" si="9"/>
        <v>0.47</v>
      </c>
      <c r="G190" s="1">
        <f t="shared" ca="1" si="10"/>
        <v>0.15</v>
      </c>
      <c r="H190" s="1">
        <f t="shared" ca="1" si="11"/>
        <v>0.75</v>
      </c>
    </row>
    <row r="191" spans="1:8">
      <c r="A191" s="1">
        <v>186</v>
      </c>
      <c r="B191" s="8">
        <f ca="1">_xlfn.MAXIFS(Transactions[Transaction Date], Transactions[CustomerID],A191)</f>
        <v>43478</v>
      </c>
      <c r="C191" s="1">
        <f t="shared" ca="1" si="8"/>
        <v>1</v>
      </c>
      <c r="D191" s="1">
        <f ca="1">COUNTIF(Transactions[CustomerID],"="&amp;A191)</f>
        <v>7</v>
      </c>
      <c r="E191" s="9">
        <f ca="1">_xlfn.MAXIFS(Transactions[Transaction Amount], Transactions[CustomerID],A191)/'Customer Profiles'!$M$10</f>
        <v>1.7856111693224785</v>
      </c>
      <c r="F191" s="1">
        <f t="shared" ca="1" si="9"/>
        <v>0.24</v>
      </c>
      <c r="G191" s="1">
        <f t="shared" ca="1" si="10"/>
        <v>1.05</v>
      </c>
      <c r="H191" s="1">
        <f t="shared" ca="1" si="11"/>
        <v>2.37</v>
      </c>
    </row>
    <row r="192" spans="1:8">
      <c r="A192" s="1">
        <v>187</v>
      </c>
      <c r="B192" s="8">
        <f ca="1">_xlfn.MAXIFS(Transactions[Transaction Date], Transactions[CustomerID],A192)</f>
        <v>43135</v>
      </c>
      <c r="C192" s="1">
        <f t="shared" ca="1" si="8"/>
        <v>1</v>
      </c>
      <c r="D192" s="1">
        <f ca="1">COUNTIF(Transactions[CustomerID],"="&amp;A192)</f>
        <v>2</v>
      </c>
      <c r="E192" s="9">
        <f ca="1">_xlfn.MAXIFS(Transactions[Transaction Amount], Transactions[CustomerID],A192)/'Customer Profiles'!$M$10</f>
        <v>5.0451654400158343</v>
      </c>
      <c r="F192" s="1">
        <f t="shared" ca="1" si="9"/>
        <v>0.24</v>
      </c>
      <c r="G192" s="1">
        <f t="shared" ca="1" si="10"/>
        <v>0.3</v>
      </c>
      <c r="H192" s="1">
        <f t="shared" ca="1" si="11"/>
        <v>3.58</v>
      </c>
    </row>
    <row r="193" spans="1:8">
      <c r="A193" s="1">
        <v>188</v>
      </c>
      <c r="B193" s="8">
        <f ca="1">_xlfn.MAXIFS(Transactions[Transaction Date], Transactions[CustomerID],A193)</f>
        <v>43151</v>
      </c>
      <c r="C193" s="1">
        <f t="shared" ca="1" si="8"/>
        <v>1</v>
      </c>
      <c r="D193" s="1">
        <f ca="1">COUNTIF(Transactions[CustomerID],"="&amp;A193)</f>
        <v>1</v>
      </c>
      <c r="E193" s="9">
        <f ca="1">_xlfn.MAXIFS(Transactions[Transaction Amount], Transactions[CustomerID],A193)/'Customer Profiles'!$M$10</f>
        <v>0.65241804608078235</v>
      </c>
      <c r="F193" s="1">
        <f t="shared" ca="1" si="9"/>
        <v>0.24</v>
      </c>
      <c r="G193" s="1">
        <f t="shared" ca="1" si="10"/>
        <v>0.15</v>
      </c>
      <c r="H193" s="1">
        <f t="shared" ca="1" si="11"/>
        <v>0.79</v>
      </c>
    </row>
    <row r="194" spans="1:8">
      <c r="A194" s="1">
        <v>189</v>
      </c>
      <c r="B194" s="8">
        <f ca="1">_xlfn.MAXIFS(Transactions[Transaction Date], Transactions[CustomerID],A194)</f>
        <v>43314</v>
      </c>
      <c r="C194" s="1">
        <f t="shared" ca="1" si="8"/>
        <v>6</v>
      </c>
      <c r="D194" s="1">
        <f ca="1">COUNTIF(Transactions[CustomerID],"="&amp;A194)</f>
        <v>1</v>
      </c>
      <c r="E194" s="9">
        <f ca="1">_xlfn.MAXIFS(Transactions[Transaction Amount], Transactions[CustomerID],A194)/'Customer Profiles'!$M$10</f>
        <v>5.9792555704988481E-2</v>
      </c>
      <c r="F194" s="1">
        <f t="shared" ca="1" si="9"/>
        <v>1.42</v>
      </c>
      <c r="G194" s="1">
        <f t="shared" ca="1" si="10"/>
        <v>0.15</v>
      </c>
      <c r="H194" s="1">
        <f t="shared" ca="1" si="11"/>
        <v>1.69</v>
      </c>
    </row>
    <row r="195" spans="1:8">
      <c r="A195" s="1">
        <v>190</v>
      </c>
      <c r="B195" s="8">
        <f ca="1">_xlfn.MAXIFS(Transactions[Transaction Date], Transactions[CustomerID],A195)</f>
        <v>43279</v>
      </c>
      <c r="C195" s="1">
        <f t="shared" ca="1" si="8"/>
        <v>8</v>
      </c>
      <c r="D195" s="1">
        <f ca="1">COUNTIF(Transactions[CustomerID],"="&amp;A195)</f>
        <v>2</v>
      </c>
      <c r="E195" s="9">
        <f ca="1">_xlfn.MAXIFS(Transactions[Transaction Amount], Transactions[CustomerID],A195)/'Customer Profiles'!$M$10</f>
        <v>0.87783850517736939</v>
      </c>
      <c r="F195" s="1">
        <f t="shared" ca="1" si="9"/>
        <v>1.89</v>
      </c>
      <c r="G195" s="1">
        <f t="shared" ca="1" si="10"/>
        <v>0.3</v>
      </c>
      <c r="H195" s="1">
        <f t="shared" ca="1" si="11"/>
        <v>2.83</v>
      </c>
    </row>
    <row r="196" spans="1:8">
      <c r="A196" s="1">
        <v>191</v>
      </c>
      <c r="B196" s="8">
        <f ca="1">_xlfn.MAXIFS(Transactions[Transaction Date], Transactions[CustomerID],A196)</f>
        <v>42927</v>
      </c>
      <c r="C196" s="1">
        <f t="shared" ca="1" si="8"/>
        <v>7</v>
      </c>
      <c r="D196" s="1">
        <f ca="1">COUNTIF(Transactions[CustomerID],"="&amp;A196)</f>
        <v>1</v>
      </c>
      <c r="E196" s="9">
        <f ca="1">_xlfn.MAXIFS(Transactions[Transaction Amount], Transactions[CustomerID],A196)/'Customer Profiles'!$M$10</f>
        <v>0.69543146895739238</v>
      </c>
      <c r="F196" s="1">
        <f t="shared" ca="1" si="9"/>
        <v>1.65</v>
      </c>
      <c r="G196" s="1">
        <f t="shared" ca="1" si="10"/>
        <v>0.15</v>
      </c>
      <c r="H196" s="1">
        <f t="shared" ca="1" si="11"/>
        <v>2.3199999999999998</v>
      </c>
    </row>
    <row r="197" spans="1:8">
      <c r="A197" s="1">
        <v>192</v>
      </c>
      <c r="B197" s="8">
        <f ca="1">_xlfn.MAXIFS(Transactions[Transaction Date], Transactions[CustomerID],A197)</f>
        <v>43481</v>
      </c>
      <c r="C197" s="1">
        <f t="shared" ca="1" si="8"/>
        <v>1</v>
      </c>
      <c r="D197" s="1">
        <f ca="1">COUNTIF(Transactions[CustomerID],"="&amp;A197)</f>
        <v>19</v>
      </c>
      <c r="E197" s="9">
        <f ca="1">_xlfn.MAXIFS(Transactions[Transaction Amount], Transactions[CustomerID],A197)/'Customer Profiles'!$M$10</f>
        <v>4.8692176190093628</v>
      </c>
      <c r="F197" s="1">
        <f t="shared" ca="1" si="9"/>
        <v>0.24</v>
      </c>
      <c r="G197" s="1">
        <f t="shared" ca="1" si="10"/>
        <v>2.85</v>
      </c>
      <c r="H197" s="1">
        <f t="shared" ca="1" si="11"/>
        <v>6.02</v>
      </c>
    </row>
    <row r="198" spans="1:8">
      <c r="A198" s="1">
        <v>193</v>
      </c>
      <c r="B198" s="8">
        <f ca="1">_xlfn.MAXIFS(Transactions[Transaction Date], Transactions[CustomerID],A198)</f>
        <v>43267</v>
      </c>
      <c r="C198" s="1">
        <f t="shared" ref="C198:C261" ca="1" si="12">(MAX(DATEDIF(B198,"03/01/2019","ym"),1))</f>
        <v>8</v>
      </c>
      <c r="D198" s="1">
        <f ca="1">COUNTIF(Transactions[CustomerID],"="&amp;A198)</f>
        <v>1</v>
      </c>
      <c r="E198" s="9">
        <f ca="1">_xlfn.MAXIFS(Transactions[Transaction Amount], Transactions[CustomerID],A198)/'Customer Profiles'!$M$10</f>
        <v>0.26758936537809863</v>
      </c>
      <c r="F198" s="1">
        <f t="shared" ref="F198:F261" ca="1" si="13">ROUND(C198/$M$8,2)</f>
        <v>1.89</v>
      </c>
      <c r="G198" s="1">
        <f t="shared" ref="G198:G261" ca="1" si="14">ROUND(D198/$M$6,2)</f>
        <v>0.15</v>
      </c>
      <c r="H198" s="1">
        <f t="shared" ref="H198:H261" ca="1" si="15">ROUND(C198*$K$6+D198*$K$7+E198*$K$8,2)</f>
        <v>2.31</v>
      </c>
    </row>
    <row r="199" spans="1:8">
      <c r="A199" s="1">
        <v>194</v>
      </c>
      <c r="B199" s="8">
        <f ca="1">_xlfn.MAXIFS(Transactions[Transaction Date], Transactions[CustomerID],A199)</f>
        <v>43096</v>
      </c>
      <c r="C199" s="1">
        <f t="shared" ca="1" si="12"/>
        <v>2</v>
      </c>
      <c r="D199" s="1">
        <f ca="1">COUNTIF(Transactions[CustomerID],"="&amp;A199)</f>
        <v>1</v>
      </c>
      <c r="E199" s="9">
        <f ca="1">_xlfn.MAXIFS(Transactions[Transaction Amount], Transactions[CustomerID],A199)/'Customer Profiles'!$M$10</f>
        <v>1.6129094875218184</v>
      </c>
      <c r="F199" s="1">
        <f t="shared" ca="1" si="13"/>
        <v>0.47</v>
      </c>
      <c r="G199" s="1">
        <f t="shared" ca="1" si="14"/>
        <v>0.15</v>
      </c>
      <c r="H199" s="1">
        <f t="shared" ca="1" si="15"/>
        <v>1.62</v>
      </c>
    </row>
    <row r="200" spans="1:8">
      <c r="A200" s="1">
        <v>195</v>
      </c>
      <c r="B200" s="8">
        <f ca="1">_xlfn.MAXIFS(Transactions[Transaction Date], Transactions[CustomerID],A200)</f>
        <v>43443</v>
      </c>
      <c r="C200" s="1">
        <f t="shared" ca="1" si="12"/>
        <v>2</v>
      </c>
      <c r="D200" s="1">
        <f ca="1">COUNTIF(Transactions[CustomerID],"="&amp;A200)</f>
        <v>9</v>
      </c>
      <c r="E200" s="9">
        <f ca="1">_xlfn.MAXIFS(Transactions[Transaction Amount], Transactions[CustomerID],A200)/'Customer Profiles'!$M$10</f>
        <v>3.274635407058768</v>
      </c>
      <c r="F200" s="1">
        <f t="shared" ca="1" si="13"/>
        <v>0.47</v>
      </c>
      <c r="G200" s="1">
        <f t="shared" ca="1" si="14"/>
        <v>1.35</v>
      </c>
      <c r="H200" s="1">
        <f t="shared" ca="1" si="15"/>
        <v>3.81</v>
      </c>
    </row>
    <row r="201" spans="1:8">
      <c r="A201" s="1">
        <v>196</v>
      </c>
      <c r="B201" s="8">
        <f ca="1">_xlfn.MAXIFS(Transactions[Transaction Date], Transactions[CustomerID],A201)</f>
        <v>43494</v>
      </c>
      <c r="C201" s="1">
        <f t="shared" ca="1" si="12"/>
        <v>1</v>
      </c>
      <c r="D201" s="1">
        <f ca="1">COUNTIF(Transactions[CustomerID],"="&amp;A201)</f>
        <v>2</v>
      </c>
      <c r="E201" s="9">
        <f ca="1">_xlfn.MAXIFS(Transactions[Transaction Amount], Transactions[CustomerID],A201)/'Customer Profiles'!$M$10</f>
        <v>0.82660862067175378</v>
      </c>
      <c r="F201" s="1">
        <f t="shared" ca="1" si="13"/>
        <v>0.24</v>
      </c>
      <c r="G201" s="1">
        <f t="shared" ca="1" si="14"/>
        <v>0.3</v>
      </c>
      <c r="H201" s="1">
        <f t="shared" ca="1" si="15"/>
        <v>1.05</v>
      </c>
    </row>
    <row r="202" spans="1:8">
      <c r="A202" s="1">
        <v>197</v>
      </c>
      <c r="B202" s="8">
        <f ca="1">_xlfn.MAXIFS(Transactions[Transaction Date], Transactions[CustomerID],A202)</f>
        <v>43230</v>
      </c>
      <c r="C202" s="1">
        <f t="shared" ca="1" si="12"/>
        <v>9</v>
      </c>
      <c r="D202" s="1">
        <f ca="1">COUNTIF(Transactions[CustomerID],"="&amp;A202)</f>
        <v>3</v>
      </c>
      <c r="E202" s="9">
        <f ca="1">_xlfn.MAXIFS(Transactions[Transaction Amount], Transactions[CustomerID],A202)/'Customer Profiles'!$M$10</f>
        <v>4.2798349507092777</v>
      </c>
      <c r="F202" s="1">
        <f t="shared" ca="1" si="13"/>
        <v>2.12</v>
      </c>
      <c r="G202" s="1">
        <f t="shared" ca="1" si="14"/>
        <v>0.45</v>
      </c>
      <c r="H202" s="1">
        <f t="shared" ca="1" si="15"/>
        <v>5.27</v>
      </c>
    </row>
    <row r="203" spans="1:8">
      <c r="A203" s="1">
        <v>198</v>
      </c>
      <c r="B203" s="8">
        <f ca="1">_xlfn.MAXIFS(Transactions[Transaction Date], Transactions[CustomerID],A203)</f>
        <v>43328</v>
      </c>
      <c r="C203" s="1">
        <f t="shared" ca="1" si="12"/>
        <v>6</v>
      </c>
      <c r="D203" s="1">
        <f ca="1">COUNTIF(Transactions[CustomerID],"="&amp;A203)</f>
        <v>1</v>
      </c>
      <c r="E203" s="9">
        <f ca="1">_xlfn.MAXIFS(Transactions[Transaction Amount], Transactions[CustomerID],A203)/'Customer Profiles'!$M$10</f>
        <v>0.44321916817424417</v>
      </c>
      <c r="F203" s="1">
        <f t="shared" ca="1" si="13"/>
        <v>1.42</v>
      </c>
      <c r="G203" s="1">
        <f t="shared" ca="1" si="14"/>
        <v>0.15</v>
      </c>
      <c r="H203" s="1">
        <f t="shared" ca="1" si="15"/>
        <v>1.92</v>
      </c>
    </row>
    <row r="204" spans="1:8">
      <c r="A204" s="1">
        <v>199</v>
      </c>
      <c r="B204" s="8">
        <f ca="1">_xlfn.MAXIFS(Transactions[Transaction Date], Transactions[CustomerID],A204)</f>
        <v>43338</v>
      </c>
      <c r="C204" s="1">
        <f t="shared" ca="1" si="12"/>
        <v>6</v>
      </c>
      <c r="D204" s="1">
        <f ca="1">COUNTIF(Transactions[CustomerID],"="&amp;A204)</f>
        <v>1</v>
      </c>
      <c r="E204" s="9">
        <f ca="1">_xlfn.MAXIFS(Transactions[Transaction Amount], Transactions[CustomerID],A204)/'Customer Profiles'!$M$10</f>
        <v>1.3339116030208256</v>
      </c>
      <c r="F204" s="1">
        <f t="shared" ca="1" si="13"/>
        <v>1.42</v>
      </c>
      <c r="G204" s="1">
        <f t="shared" ca="1" si="14"/>
        <v>0.15</v>
      </c>
      <c r="H204" s="1">
        <f t="shared" ca="1" si="15"/>
        <v>2.4500000000000002</v>
      </c>
    </row>
    <row r="205" spans="1:8">
      <c r="A205" s="1">
        <v>200</v>
      </c>
      <c r="B205" s="8">
        <f ca="1">_xlfn.MAXIFS(Transactions[Transaction Date], Transactions[CustomerID],A205)</f>
        <v>42888</v>
      </c>
      <c r="C205" s="1">
        <f t="shared" ca="1" si="12"/>
        <v>8</v>
      </c>
      <c r="D205" s="1">
        <f ca="1">COUNTIF(Transactions[CustomerID],"="&amp;A205)</f>
        <v>1</v>
      </c>
      <c r="E205" s="9">
        <f ca="1">_xlfn.MAXIFS(Transactions[Transaction Amount], Transactions[CustomerID],A205)/'Customer Profiles'!$M$10</f>
        <v>6.592456921821487</v>
      </c>
      <c r="F205" s="1">
        <f t="shared" ca="1" si="13"/>
        <v>1.89</v>
      </c>
      <c r="G205" s="1">
        <f t="shared" ca="1" si="14"/>
        <v>0.15</v>
      </c>
      <c r="H205" s="1">
        <f t="shared" ca="1" si="15"/>
        <v>6.11</v>
      </c>
    </row>
    <row r="206" spans="1:8">
      <c r="A206" s="1">
        <v>201</v>
      </c>
      <c r="B206" s="8">
        <f ca="1">_xlfn.MAXIFS(Transactions[Transaction Date], Transactions[CustomerID],A206)</f>
        <v>43157</v>
      </c>
      <c r="C206" s="1">
        <f t="shared" ca="1" si="12"/>
        <v>1</v>
      </c>
      <c r="D206" s="1">
        <f ca="1">COUNTIF(Transactions[CustomerID],"="&amp;A206)</f>
        <v>3</v>
      </c>
      <c r="E206" s="9">
        <f ca="1">_xlfn.MAXIFS(Transactions[Transaction Amount], Transactions[CustomerID],A206)/'Customer Profiles'!$M$10</f>
        <v>1.4601013721928409</v>
      </c>
      <c r="F206" s="1">
        <f t="shared" ca="1" si="13"/>
        <v>0.24</v>
      </c>
      <c r="G206" s="1">
        <f t="shared" ca="1" si="14"/>
        <v>0.45</v>
      </c>
      <c r="H206" s="1">
        <f t="shared" ca="1" si="15"/>
        <v>1.58</v>
      </c>
    </row>
    <row r="207" spans="1:8">
      <c r="A207" s="1">
        <v>202</v>
      </c>
      <c r="B207" s="8">
        <f ca="1">_xlfn.MAXIFS(Transactions[Transaction Date], Transactions[CustomerID],A207)</f>
        <v>43452</v>
      </c>
      <c r="C207" s="1">
        <f t="shared" ca="1" si="12"/>
        <v>2</v>
      </c>
      <c r="D207" s="1">
        <f ca="1">COUNTIF(Transactions[CustomerID],"="&amp;A207)</f>
        <v>2</v>
      </c>
      <c r="E207" s="9">
        <f ca="1">_xlfn.MAXIFS(Transactions[Transaction Amount], Transactions[CustomerID],A207)/'Customer Profiles'!$M$10</f>
        <v>4.9517024512663879</v>
      </c>
      <c r="F207" s="1">
        <f t="shared" ca="1" si="13"/>
        <v>0.47</v>
      </c>
      <c r="G207" s="1">
        <f t="shared" ca="1" si="14"/>
        <v>0.3</v>
      </c>
      <c r="H207" s="1">
        <f t="shared" ca="1" si="15"/>
        <v>3.77</v>
      </c>
    </row>
    <row r="208" spans="1:8">
      <c r="A208" s="1">
        <v>203</v>
      </c>
      <c r="B208" s="8">
        <f ca="1">_xlfn.MAXIFS(Transactions[Transaction Date], Transactions[CustomerID],A208)</f>
        <v>43034</v>
      </c>
      <c r="C208" s="1">
        <f t="shared" ca="1" si="12"/>
        <v>4</v>
      </c>
      <c r="D208" s="1">
        <f ca="1">COUNTIF(Transactions[CustomerID],"="&amp;A208)</f>
        <v>1</v>
      </c>
      <c r="E208" s="9">
        <f ca="1">_xlfn.MAXIFS(Transactions[Transaction Amount], Transactions[CustomerID],A208)/'Customer Profiles'!$M$10</f>
        <v>0.59370048134630293</v>
      </c>
      <c r="F208" s="1">
        <f t="shared" ca="1" si="13"/>
        <v>0.94</v>
      </c>
      <c r="G208" s="1">
        <f t="shared" ca="1" si="14"/>
        <v>0.15</v>
      </c>
      <c r="H208" s="1">
        <f t="shared" ca="1" si="15"/>
        <v>1.51</v>
      </c>
    </row>
    <row r="209" spans="1:8">
      <c r="A209" s="1">
        <v>204</v>
      </c>
      <c r="B209" s="8">
        <f ca="1">_xlfn.MAXIFS(Transactions[Transaction Date], Transactions[CustomerID],A209)</f>
        <v>42842</v>
      </c>
      <c r="C209" s="1">
        <f t="shared" ca="1" si="12"/>
        <v>10</v>
      </c>
      <c r="D209" s="1">
        <f ca="1">COUNTIF(Transactions[CustomerID],"="&amp;A209)</f>
        <v>1</v>
      </c>
      <c r="E209" s="9">
        <f ca="1">_xlfn.MAXIFS(Transactions[Transaction Amount], Transactions[CustomerID],A209)/'Customer Profiles'!$M$10</f>
        <v>1.328805763186337</v>
      </c>
      <c r="F209" s="1">
        <f t="shared" ca="1" si="13"/>
        <v>2.36</v>
      </c>
      <c r="G209" s="1">
        <f t="shared" ca="1" si="14"/>
        <v>0.15</v>
      </c>
      <c r="H209" s="1">
        <f t="shared" ca="1" si="15"/>
        <v>3.45</v>
      </c>
    </row>
    <row r="210" spans="1:8">
      <c r="A210" s="1">
        <v>205</v>
      </c>
      <c r="B210" s="8">
        <f ca="1">_xlfn.MAXIFS(Transactions[Transaction Date], Transactions[CustomerID],A210)</f>
        <v>43383</v>
      </c>
      <c r="C210" s="1">
        <f t="shared" ca="1" si="12"/>
        <v>4</v>
      </c>
      <c r="D210" s="1">
        <f ca="1">COUNTIF(Transactions[CustomerID],"="&amp;A210)</f>
        <v>1</v>
      </c>
      <c r="E210" s="9">
        <f ca="1">_xlfn.MAXIFS(Transactions[Transaction Amount], Transactions[CustomerID],A210)/'Customer Profiles'!$M$10</f>
        <v>1.6615467740631626</v>
      </c>
      <c r="F210" s="1">
        <f t="shared" ca="1" si="13"/>
        <v>0.94</v>
      </c>
      <c r="G210" s="1">
        <f t="shared" ca="1" si="14"/>
        <v>0.15</v>
      </c>
      <c r="H210" s="1">
        <f t="shared" ca="1" si="15"/>
        <v>2.15</v>
      </c>
    </row>
    <row r="211" spans="1:8">
      <c r="A211" s="1">
        <v>206</v>
      </c>
      <c r="B211" s="8">
        <f ca="1">_xlfn.MAXIFS(Transactions[Transaction Date], Transactions[CustomerID],A211)</f>
        <v>43447</v>
      </c>
      <c r="C211" s="1">
        <f t="shared" ca="1" si="12"/>
        <v>2</v>
      </c>
      <c r="D211" s="1">
        <f ca="1">COUNTIF(Transactions[CustomerID],"="&amp;A211)</f>
        <v>4</v>
      </c>
      <c r="E211" s="9">
        <f ca="1">_xlfn.MAXIFS(Transactions[Transaction Amount], Transactions[CustomerID],A211)/'Customer Profiles'!$M$10</f>
        <v>4.4503797832702121</v>
      </c>
      <c r="F211" s="1">
        <f t="shared" ca="1" si="13"/>
        <v>0.47</v>
      </c>
      <c r="G211" s="1">
        <f t="shared" ca="1" si="14"/>
        <v>0.6</v>
      </c>
      <c r="H211" s="1">
        <f t="shared" ca="1" si="15"/>
        <v>3.77</v>
      </c>
    </row>
    <row r="212" spans="1:8">
      <c r="A212" s="1">
        <v>207</v>
      </c>
      <c r="B212" s="8">
        <f ca="1">_xlfn.MAXIFS(Transactions[Transaction Date], Transactions[CustomerID],A212)</f>
        <v>43488</v>
      </c>
      <c r="C212" s="1">
        <f t="shared" ca="1" si="12"/>
        <v>1</v>
      </c>
      <c r="D212" s="1">
        <f ca="1">COUNTIF(Transactions[CustomerID],"="&amp;A212)</f>
        <v>4</v>
      </c>
      <c r="E212" s="9">
        <f ca="1">_xlfn.MAXIFS(Transactions[Transaction Amount], Transactions[CustomerID],A212)/'Customer Profiles'!$M$10</f>
        <v>1.5965207981818343</v>
      </c>
      <c r="F212" s="1">
        <f t="shared" ca="1" si="13"/>
        <v>0.24</v>
      </c>
      <c r="G212" s="1">
        <f t="shared" ca="1" si="14"/>
        <v>0.6</v>
      </c>
      <c r="H212" s="1">
        <f t="shared" ca="1" si="15"/>
        <v>1.81</v>
      </c>
    </row>
    <row r="213" spans="1:8">
      <c r="A213" s="1">
        <v>208</v>
      </c>
      <c r="B213" s="8">
        <f ca="1">_xlfn.MAXIFS(Transactions[Transaction Date], Transactions[CustomerID],A213)</f>
        <v>43491</v>
      </c>
      <c r="C213" s="1">
        <f t="shared" ca="1" si="12"/>
        <v>1</v>
      </c>
      <c r="D213" s="1">
        <f ca="1">COUNTIF(Transactions[CustomerID],"="&amp;A213)</f>
        <v>80</v>
      </c>
      <c r="E213" s="9">
        <f ca="1">_xlfn.MAXIFS(Transactions[Transaction Amount], Transactions[CustomerID],A213)/'Customer Profiles'!$M$10</f>
        <v>8.9889841768254453</v>
      </c>
      <c r="F213" s="1">
        <f t="shared" ca="1" si="13"/>
        <v>0.24</v>
      </c>
      <c r="G213" s="1">
        <f t="shared" ca="1" si="14"/>
        <v>11.99</v>
      </c>
      <c r="H213" s="1">
        <f t="shared" ca="1" si="15"/>
        <v>17.64</v>
      </c>
    </row>
    <row r="214" spans="1:8">
      <c r="A214" s="1">
        <v>209</v>
      </c>
      <c r="B214" s="8">
        <f ca="1">_xlfn.MAXIFS(Transactions[Transaction Date], Transactions[CustomerID],A214)</f>
        <v>43482</v>
      </c>
      <c r="C214" s="1">
        <f t="shared" ca="1" si="12"/>
        <v>1</v>
      </c>
      <c r="D214" s="1">
        <f ca="1">COUNTIF(Transactions[CustomerID],"="&amp;A214)</f>
        <v>1</v>
      </c>
      <c r="E214" s="9">
        <f ca="1">_xlfn.MAXIFS(Transactions[Transaction Amount], Transactions[CustomerID],A214)/'Customer Profiles'!$M$10</f>
        <v>1.2508289188519734</v>
      </c>
      <c r="F214" s="1">
        <f t="shared" ca="1" si="13"/>
        <v>0.24</v>
      </c>
      <c r="G214" s="1">
        <f t="shared" ca="1" si="14"/>
        <v>0.15</v>
      </c>
      <c r="H214" s="1">
        <f t="shared" ca="1" si="15"/>
        <v>1.1499999999999999</v>
      </c>
    </row>
    <row r="215" spans="1:8">
      <c r="A215" s="1">
        <v>210</v>
      </c>
      <c r="B215" s="8">
        <f ca="1">_xlfn.MAXIFS(Transactions[Transaction Date], Transactions[CustomerID],A215)</f>
        <v>43078</v>
      </c>
      <c r="C215" s="1">
        <f t="shared" ca="1" si="12"/>
        <v>2</v>
      </c>
      <c r="D215" s="1">
        <f ca="1">COUNTIF(Transactions[CustomerID],"="&amp;A215)</f>
        <v>1</v>
      </c>
      <c r="E215" s="9">
        <f ca="1">_xlfn.MAXIFS(Transactions[Transaction Amount], Transactions[CustomerID],A215)/'Customer Profiles'!$M$10</f>
        <v>0.76518680490175395</v>
      </c>
      <c r="F215" s="1">
        <f t="shared" ca="1" si="13"/>
        <v>0.47</v>
      </c>
      <c r="G215" s="1">
        <f t="shared" ca="1" si="14"/>
        <v>0.15</v>
      </c>
      <c r="H215" s="1">
        <f t="shared" ca="1" si="15"/>
        <v>1.1100000000000001</v>
      </c>
    </row>
    <row r="216" spans="1:8">
      <c r="A216" s="1">
        <v>211</v>
      </c>
      <c r="B216" s="8">
        <f ca="1">_xlfn.MAXIFS(Transactions[Transaction Date], Transactions[CustomerID],A216)</f>
        <v>42981</v>
      </c>
      <c r="C216" s="1">
        <f t="shared" ca="1" si="12"/>
        <v>5</v>
      </c>
      <c r="D216" s="1">
        <f ca="1">COUNTIF(Transactions[CustomerID],"="&amp;A216)</f>
        <v>1</v>
      </c>
      <c r="E216" s="9">
        <f ca="1">_xlfn.MAXIFS(Transactions[Transaction Amount], Transactions[CustomerID],A216)/'Customer Profiles'!$M$10</f>
        <v>7.0788533222695488E-2</v>
      </c>
      <c r="F216" s="1">
        <f t="shared" ca="1" si="13"/>
        <v>1.18</v>
      </c>
      <c r="G216" s="1">
        <f t="shared" ca="1" si="14"/>
        <v>0.15</v>
      </c>
      <c r="H216" s="1">
        <f t="shared" ca="1" si="15"/>
        <v>1.44</v>
      </c>
    </row>
    <row r="217" spans="1:8">
      <c r="A217" s="1">
        <v>212</v>
      </c>
      <c r="B217" s="8">
        <f ca="1">_xlfn.MAXIFS(Transactions[Transaction Date], Transactions[CustomerID],A217)</f>
        <v>43454</v>
      </c>
      <c r="C217" s="1">
        <f t="shared" ca="1" si="12"/>
        <v>2</v>
      </c>
      <c r="D217" s="1">
        <f ca="1">COUNTIF(Transactions[CustomerID],"="&amp;A217)</f>
        <v>1</v>
      </c>
      <c r="E217" s="9">
        <f ca="1">_xlfn.MAXIFS(Transactions[Transaction Amount], Transactions[CustomerID],A217)/'Customer Profiles'!$M$10</f>
        <v>5.6875209311723796E-2</v>
      </c>
      <c r="F217" s="1">
        <f t="shared" ca="1" si="13"/>
        <v>0.47</v>
      </c>
      <c r="G217" s="1">
        <f t="shared" ca="1" si="14"/>
        <v>0.15</v>
      </c>
      <c r="H217" s="1">
        <f t="shared" ca="1" si="15"/>
        <v>0.68</v>
      </c>
    </row>
    <row r="218" spans="1:8">
      <c r="A218" s="1">
        <v>213</v>
      </c>
      <c r="B218" s="8">
        <f ca="1">_xlfn.MAXIFS(Transactions[Transaction Date], Transactions[CustomerID],A218)</f>
        <v>43046</v>
      </c>
      <c r="C218" s="1">
        <f t="shared" ca="1" si="12"/>
        <v>3</v>
      </c>
      <c r="D218" s="1">
        <f ca="1">COUNTIF(Transactions[CustomerID],"="&amp;A218)</f>
        <v>3</v>
      </c>
      <c r="E218" s="9">
        <f ca="1">_xlfn.MAXIFS(Transactions[Transaction Amount], Transactions[CustomerID],A218)/'Customer Profiles'!$M$10</f>
        <v>0.57346654963863797</v>
      </c>
      <c r="F218" s="1">
        <f t="shared" ca="1" si="13"/>
        <v>0.71</v>
      </c>
      <c r="G218" s="1">
        <f t="shared" ca="1" si="14"/>
        <v>0.45</v>
      </c>
      <c r="H218" s="1">
        <f t="shared" ca="1" si="15"/>
        <v>1.54</v>
      </c>
    </row>
    <row r="219" spans="1:8">
      <c r="A219" s="1">
        <v>214</v>
      </c>
      <c r="B219" s="8">
        <f ca="1">_xlfn.MAXIFS(Transactions[Transaction Date], Transactions[CustomerID],A219)</f>
        <v>43083</v>
      </c>
      <c r="C219" s="1">
        <f t="shared" ca="1" si="12"/>
        <v>2</v>
      </c>
      <c r="D219" s="1">
        <f ca="1">COUNTIF(Transactions[CustomerID],"="&amp;A219)</f>
        <v>1</v>
      </c>
      <c r="E219" s="9">
        <f ca="1">_xlfn.MAXIFS(Transactions[Transaction Amount], Transactions[CustomerID],A219)/'Customer Profiles'!$M$10</f>
        <v>2.0798925707334961</v>
      </c>
      <c r="F219" s="1">
        <f t="shared" ca="1" si="13"/>
        <v>0.47</v>
      </c>
      <c r="G219" s="1">
        <f t="shared" ca="1" si="14"/>
        <v>0.15</v>
      </c>
      <c r="H219" s="1">
        <f t="shared" ca="1" si="15"/>
        <v>1.9</v>
      </c>
    </row>
    <row r="220" spans="1:8">
      <c r="A220" s="1">
        <v>215</v>
      </c>
      <c r="B220" s="8">
        <f ca="1">_xlfn.MAXIFS(Transactions[Transaction Date], Transactions[CustomerID],A220)</f>
        <v>43485</v>
      </c>
      <c r="C220" s="1">
        <f t="shared" ca="1" si="12"/>
        <v>1</v>
      </c>
      <c r="D220" s="1">
        <f ca="1">COUNTIF(Transactions[CustomerID],"="&amp;A220)</f>
        <v>3</v>
      </c>
      <c r="E220" s="9">
        <f ca="1">_xlfn.MAXIFS(Transactions[Transaction Amount], Transactions[CustomerID],A220)/'Customer Profiles'!$M$10</f>
        <v>1.8520921964932442</v>
      </c>
      <c r="F220" s="1">
        <f t="shared" ca="1" si="13"/>
        <v>0.24</v>
      </c>
      <c r="G220" s="1">
        <f t="shared" ca="1" si="14"/>
        <v>0.45</v>
      </c>
      <c r="H220" s="1">
        <f t="shared" ca="1" si="15"/>
        <v>1.81</v>
      </c>
    </row>
    <row r="221" spans="1:8">
      <c r="A221" s="1">
        <v>216</v>
      </c>
      <c r="B221" s="8">
        <f ca="1">_xlfn.MAXIFS(Transactions[Transaction Date], Transactions[CustomerID],A221)</f>
        <v>43396</v>
      </c>
      <c r="C221" s="1">
        <f t="shared" ca="1" si="12"/>
        <v>4</v>
      </c>
      <c r="D221" s="1">
        <f ca="1">COUNTIF(Transactions[CustomerID],"="&amp;A221)</f>
        <v>5</v>
      </c>
      <c r="E221" s="9">
        <f ca="1">_xlfn.MAXIFS(Transactions[Transaction Amount], Transactions[CustomerID],A221)/'Customer Profiles'!$M$10</f>
        <v>0.58074971026510591</v>
      </c>
      <c r="F221" s="1">
        <f t="shared" ca="1" si="13"/>
        <v>0.94</v>
      </c>
      <c r="G221" s="1">
        <f t="shared" ca="1" si="14"/>
        <v>0.75</v>
      </c>
      <c r="H221" s="1">
        <f t="shared" ca="1" si="15"/>
        <v>2.1</v>
      </c>
    </row>
    <row r="222" spans="1:8">
      <c r="A222" s="1">
        <v>217</v>
      </c>
      <c r="B222" s="8">
        <f ca="1">_xlfn.MAXIFS(Transactions[Transaction Date], Transactions[CustomerID],A222)</f>
        <v>43213</v>
      </c>
      <c r="C222" s="1">
        <f t="shared" ca="1" si="12"/>
        <v>10</v>
      </c>
      <c r="D222" s="1">
        <f ca="1">COUNTIF(Transactions[CustomerID],"="&amp;A222)</f>
        <v>2</v>
      </c>
      <c r="E222" s="9">
        <f ca="1">_xlfn.MAXIFS(Transactions[Transaction Amount], Transactions[CustomerID],A222)/'Customer Profiles'!$M$10</f>
        <v>3.1888683743775719</v>
      </c>
      <c r="F222" s="1">
        <f t="shared" ca="1" si="13"/>
        <v>2.36</v>
      </c>
      <c r="G222" s="1">
        <f t="shared" ca="1" si="14"/>
        <v>0.3</v>
      </c>
      <c r="H222" s="1">
        <f t="shared" ca="1" si="15"/>
        <v>4.71</v>
      </c>
    </row>
    <row r="223" spans="1:8">
      <c r="A223" s="1">
        <v>218</v>
      </c>
      <c r="B223" s="8">
        <f ca="1">_xlfn.MAXIFS(Transactions[Transaction Date], Transactions[CustomerID],A223)</f>
        <v>43390</v>
      </c>
      <c r="C223" s="1">
        <f t="shared" ca="1" si="12"/>
        <v>4</v>
      </c>
      <c r="D223" s="1">
        <f ca="1">COUNTIF(Transactions[CustomerID],"="&amp;A223)</f>
        <v>1</v>
      </c>
      <c r="E223" s="9">
        <f ca="1">_xlfn.MAXIFS(Transactions[Transaction Amount], Transactions[CustomerID],A223)/'Customer Profiles'!$M$10</f>
        <v>8.0459898017262818E-2</v>
      </c>
      <c r="F223" s="1">
        <f t="shared" ca="1" si="13"/>
        <v>0.94</v>
      </c>
      <c r="G223" s="1">
        <f t="shared" ca="1" si="14"/>
        <v>0.15</v>
      </c>
      <c r="H223" s="1">
        <f t="shared" ca="1" si="15"/>
        <v>1.2</v>
      </c>
    </row>
    <row r="224" spans="1:8">
      <c r="A224" s="1">
        <v>219</v>
      </c>
      <c r="B224" s="8">
        <f ca="1">_xlfn.MAXIFS(Transactions[Transaction Date], Transactions[CustomerID],A224)</f>
        <v>43340</v>
      </c>
      <c r="C224" s="1">
        <f t="shared" ca="1" si="12"/>
        <v>6</v>
      </c>
      <c r="D224" s="1">
        <f ca="1">COUNTIF(Transactions[CustomerID],"="&amp;A224)</f>
        <v>1</v>
      </c>
      <c r="E224" s="9">
        <f ca="1">_xlfn.MAXIFS(Transactions[Transaction Amount], Transactions[CustomerID],A224)/'Customer Profiles'!$M$10</f>
        <v>6.9753904158184638E-2</v>
      </c>
      <c r="F224" s="1">
        <f t="shared" ca="1" si="13"/>
        <v>1.42</v>
      </c>
      <c r="G224" s="1">
        <f t="shared" ca="1" si="14"/>
        <v>0.15</v>
      </c>
      <c r="H224" s="1">
        <f t="shared" ca="1" si="15"/>
        <v>1.69</v>
      </c>
    </row>
    <row r="225" spans="1:8">
      <c r="A225" s="1">
        <v>220</v>
      </c>
      <c r="B225" s="8">
        <f ca="1">_xlfn.MAXIFS(Transactions[Transaction Date], Transactions[CustomerID],A225)</f>
        <v>43485</v>
      </c>
      <c r="C225" s="1">
        <f t="shared" ca="1" si="12"/>
        <v>1</v>
      </c>
      <c r="D225" s="1">
        <f ca="1">COUNTIF(Transactions[CustomerID],"="&amp;A225)</f>
        <v>13</v>
      </c>
      <c r="E225" s="9">
        <f ca="1">_xlfn.MAXIFS(Transactions[Transaction Amount], Transactions[CustomerID],A225)/'Customer Profiles'!$M$10</f>
        <v>6.6239278531995938</v>
      </c>
      <c r="F225" s="1">
        <f t="shared" ca="1" si="13"/>
        <v>0.24</v>
      </c>
      <c r="G225" s="1">
        <f t="shared" ca="1" si="14"/>
        <v>1.95</v>
      </c>
      <c r="H225" s="1">
        <f t="shared" ca="1" si="15"/>
        <v>6.17</v>
      </c>
    </row>
    <row r="226" spans="1:8">
      <c r="A226" s="1">
        <v>221</v>
      </c>
      <c r="B226" s="8">
        <f ca="1">_xlfn.MAXIFS(Transactions[Transaction Date], Transactions[CustomerID],A226)</f>
        <v>43396</v>
      </c>
      <c r="C226" s="1">
        <f t="shared" ca="1" si="12"/>
        <v>4</v>
      </c>
      <c r="D226" s="1">
        <f ca="1">COUNTIF(Transactions[CustomerID],"="&amp;A226)</f>
        <v>4</v>
      </c>
      <c r="E226" s="9">
        <f ca="1">_xlfn.MAXIFS(Transactions[Transaction Amount], Transactions[CustomerID],A226)/'Customer Profiles'!$M$10</f>
        <v>2.0511256037203669</v>
      </c>
      <c r="F226" s="1">
        <f t="shared" ca="1" si="13"/>
        <v>0.94</v>
      </c>
      <c r="G226" s="1">
        <f t="shared" ca="1" si="14"/>
        <v>0.6</v>
      </c>
      <c r="H226" s="1">
        <f t="shared" ca="1" si="15"/>
        <v>2.83</v>
      </c>
    </row>
    <row r="227" spans="1:8">
      <c r="A227" s="1">
        <v>222</v>
      </c>
      <c r="B227" s="8">
        <f ca="1">_xlfn.MAXIFS(Transactions[Transaction Date], Transactions[CustomerID],A227)</f>
        <v>43302</v>
      </c>
      <c r="C227" s="1">
        <f t="shared" ca="1" si="12"/>
        <v>7</v>
      </c>
      <c r="D227" s="1">
        <f ca="1">COUNTIF(Transactions[CustomerID],"="&amp;A227)</f>
        <v>1</v>
      </c>
      <c r="E227" s="9">
        <f ca="1">_xlfn.MAXIFS(Transactions[Transaction Amount], Transactions[CustomerID],A227)/'Customer Profiles'!$M$10</f>
        <v>0.18977656285075181</v>
      </c>
      <c r="F227" s="1">
        <f t="shared" ca="1" si="13"/>
        <v>1.65</v>
      </c>
      <c r="G227" s="1">
        <f t="shared" ca="1" si="14"/>
        <v>0.15</v>
      </c>
      <c r="H227" s="1">
        <f t="shared" ca="1" si="15"/>
        <v>2.0099999999999998</v>
      </c>
    </row>
    <row r="228" spans="1:8">
      <c r="A228" s="1">
        <v>223</v>
      </c>
      <c r="B228" s="8">
        <f ca="1">_xlfn.MAXIFS(Transactions[Transaction Date], Transactions[CustomerID],A228)</f>
        <v>43295</v>
      </c>
      <c r="C228" s="1">
        <f t="shared" ca="1" si="12"/>
        <v>7</v>
      </c>
      <c r="D228" s="1">
        <f ca="1">COUNTIF(Transactions[CustomerID],"="&amp;A228)</f>
        <v>2</v>
      </c>
      <c r="E228" s="9">
        <f ca="1">_xlfn.MAXIFS(Transactions[Transaction Amount], Transactions[CustomerID],A228)/'Customer Profiles'!$M$10</f>
        <v>1.9289995695335338</v>
      </c>
      <c r="F228" s="1">
        <f t="shared" ca="1" si="13"/>
        <v>1.65</v>
      </c>
      <c r="G228" s="1">
        <f t="shared" ca="1" si="14"/>
        <v>0.3</v>
      </c>
      <c r="H228" s="1">
        <f t="shared" ca="1" si="15"/>
        <v>3.21</v>
      </c>
    </row>
    <row r="229" spans="1:8">
      <c r="A229" s="1">
        <v>224</v>
      </c>
      <c r="B229" s="8">
        <f ca="1">_xlfn.MAXIFS(Transactions[Transaction Date], Transactions[CustomerID],A229)</f>
        <v>43491</v>
      </c>
      <c r="C229" s="1">
        <f t="shared" ca="1" si="12"/>
        <v>1</v>
      </c>
      <c r="D229" s="1">
        <f ca="1">COUNTIF(Transactions[CustomerID],"="&amp;A229)</f>
        <v>9</v>
      </c>
      <c r="E229" s="9">
        <f ca="1">_xlfn.MAXIFS(Transactions[Transaction Amount], Transactions[CustomerID],A229)/'Customer Profiles'!$M$10</f>
        <v>7.6529157523206361</v>
      </c>
      <c r="F229" s="1">
        <f t="shared" ca="1" si="13"/>
        <v>0.24</v>
      </c>
      <c r="G229" s="1">
        <f t="shared" ca="1" si="14"/>
        <v>1.35</v>
      </c>
      <c r="H229" s="1">
        <f t="shared" ca="1" si="15"/>
        <v>6.19</v>
      </c>
    </row>
    <row r="230" spans="1:8">
      <c r="A230" s="1">
        <v>225</v>
      </c>
      <c r="B230" s="8">
        <f ca="1">_xlfn.MAXIFS(Transactions[Transaction Date], Transactions[CustomerID],A230)</f>
        <v>42772</v>
      </c>
      <c r="C230" s="1">
        <f t="shared" ca="1" si="12"/>
        <v>1</v>
      </c>
      <c r="D230" s="1">
        <f ca="1">COUNTIF(Transactions[CustomerID],"="&amp;A230)</f>
        <v>1</v>
      </c>
      <c r="E230" s="9">
        <f ca="1">_xlfn.MAXIFS(Transactions[Transaction Amount], Transactions[CustomerID],A230)/'Customer Profiles'!$M$10</f>
        <v>0.66581813316733507</v>
      </c>
      <c r="F230" s="1">
        <f t="shared" ca="1" si="13"/>
        <v>0.24</v>
      </c>
      <c r="G230" s="1">
        <f t="shared" ca="1" si="14"/>
        <v>0.15</v>
      </c>
      <c r="H230" s="1">
        <f t="shared" ca="1" si="15"/>
        <v>0.8</v>
      </c>
    </row>
    <row r="231" spans="1:8">
      <c r="A231" s="1">
        <v>226</v>
      </c>
      <c r="B231" s="8">
        <f ca="1">_xlfn.MAXIFS(Transactions[Transaction Date], Transactions[CustomerID],A231)</f>
        <v>43345</v>
      </c>
      <c r="C231" s="1">
        <f t="shared" ca="1" si="12"/>
        <v>5</v>
      </c>
      <c r="D231" s="1">
        <f ca="1">COUNTIF(Transactions[CustomerID],"="&amp;A231)</f>
        <v>1</v>
      </c>
      <c r="E231" s="9">
        <f ca="1">_xlfn.MAXIFS(Transactions[Transaction Amount], Transactions[CustomerID],A231)/'Customer Profiles'!$M$10</f>
        <v>0.22523748536102123</v>
      </c>
      <c r="F231" s="1">
        <f t="shared" ca="1" si="13"/>
        <v>1.18</v>
      </c>
      <c r="G231" s="1">
        <f t="shared" ca="1" si="14"/>
        <v>0.15</v>
      </c>
      <c r="H231" s="1">
        <f t="shared" ca="1" si="15"/>
        <v>1.54</v>
      </c>
    </row>
    <row r="232" spans="1:8">
      <c r="A232" s="1">
        <v>227</v>
      </c>
      <c r="B232" s="8">
        <f ca="1">_xlfn.MAXIFS(Transactions[Transaction Date], Transactions[CustomerID],A232)</f>
        <v>42998</v>
      </c>
      <c r="C232" s="1">
        <f t="shared" ca="1" si="12"/>
        <v>5</v>
      </c>
      <c r="D232" s="1">
        <f ca="1">COUNTIF(Transactions[CustomerID],"="&amp;A232)</f>
        <v>1</v>
      </c>
      <c r="E232" s="9">
        <f ca="1">_xlfn.MAXIFS(Transactions[Transaction Amount], Transactions[CustomerID],A232)/'Customer Profiles'!$M$10</f>
        <v>0.20752824610790219</v>
      </c>
      <c r="F232" s="1">
        <f t="shared" ca="1" si="13"/>
        <v>1.18</v>
      </c>
      <c r="G232" s="1">
        <f t="shared" ca="1" si="14"/>
        <v>0.15</v>
      </c>
      <c r="H232" s="1">
        <f t="shared" ca="1" si="15"/>
        <v>1.52</v>
      </c>
    </row>
    <row r="233" spans="1:8">
      <c r="A233" s="1">
        <v>228</v>
      </c>
      <c r="B233" s="8">
        <f ca="1">_xlfn.MAXIFS(Transactions[Transaction Date], Transactions[CustomerID],A233)</f>
        <v>43048</v>
      </c>
      <c r="C233" s="1">
        <f t="shared" ca="1" si="12"/>
        <v>3</v>
      </c>
      <c r="D233" s="1">
        <f ca="1">COUNTIF(Transactions[CustomerID],"="&amp;A233)</f>
        <v>1</v>
      </c>
      <c r="E233" s="9">
        <f ca="1">_xlfn.MAXIFS(Transactions[Transaction Amount], Transactions[CustomerID],A233)/'Customer Profiles'!$M$10</f>
        <v>0.66728524800538225</v>
      </c>
      <c r="F233" s="1">
        <f t="shared" ca="1" si="13"/>
        <v>0.71</v>
      </c>
      <c r="G233" s="1">
        <f t="shared" ca="1" si="14"/>
        <v>0.15</v>
      </c>
      <c r="H233" s="1">
        <f t="shared" ca="1" si="15"/>
        <v>1.3</v>
      </c>
    </row>
    <row r="234" spans="1:8">
      <c r="A234" s="1">
        <v>229</v>
      </c>
      <c r="B234" s="8">
        <f ca="1">_xlfn.MAXIFS(Transactions[Transaction Date], Transactions[CustomerID],A234)</f>
        <v>43241</v>
      </c>
      <c r="C234" s="1">
        <f t="shared" ca="1" si="12"/>
        <v>9</v>
      </c>
      <c r="D234" s="1">
        <f ca="1">COUNTIF(Transactions[CustomerID],"="&amp;A234)</f>
        <v>1</v>
      </c>
      <c r="E234" s="9">
        <f ca="1">_xlfn.MAXIFS(Transactions[Transaction Amount], Transactions[CustomerID],A234)/'Customer Profiles'!$M$10</f>
        <v>0.91832076624709502</v>
      </c>
      <c r="F234" s="1">
        <f t="shared" ca="1" si="13"/>
        <v>2.12</v>
      </c>
      <c r="G234" s="1">
        <f t="shared" ca="1" si="14"/>
        <v>0.15</v>
      </c>
      <c r="H234" s="1">
        <f t="shared" ca="1" si="15"/>
        <v>2.95</v>
      </c>
    </row>
    <row r="235" spans="1:8">
      <c r="A235" s="1">
        <v>230</v>
      </c>
      <c r="B235" s="8">
        <f ca="1">_xlfn.MAXIFS(Transactions[Transaction Date], Transactions[CustomerID],A235)</f>
        <v>43466</v>
      </c>
      <c r="C235" s="1">
        <f t="shared" ca="1" si="12"/>
        <v>2</v>
      </c>
      <c r="D235" s="1">
        <f ca="1">COUNTIF(Transactions[CustomerID],"="&amp;A235)</f>
        <v>9</v>
      </c>
      <c r="E235" s="9">
        <f ca="1">_xlfn.MAXIFS(Transactions[Transaction Amount], Transactions[CustomerID],A235)/'Customer Profiles'!$M$10</f>
        <v>3.3493214776548661</v>
      </c>
      <c r="F235" s="1">
        <f t="shared" ca="1" si="13"/>
        <v>0.47</v>
      </c>
      <c r="G235" s="1">
        <f t="shared" ca="1" si="14"/>
        <v>1.35</v>
      </c>
      <c r="H235" s="1">
        <f t="shared" ca="1" si="15"/>
        <v>3.86</v>
      </c>
    </row>
    <row r="236" spans="1:8">
      <c r="A236" s="1">
        <v>231</v>
      </c>
      <c r="B236" s="8">
        <f ca="1">_xlfn.MAXIFS(Transactions[Transaction Date], Transactions[CustomerID],A236)</f>
        <v>43384</v>
      </c>
      <c r="C236" s="1">
        <f t="shared" ca="1" si="12"/>
        <v>4</v>
      </c>
      <c r="D236" s="1">
        <f ca="1">COUNTIF(Transactions[CustomerID],"="&amp;A236)</f>
        <v>7</v>
      </c>
      <c r="E236" s="9">
        <f ca="1">_xlfn.MAXIFS(Transactions[Transaction Amount], Transactions[CustomerID],A236)/'Customer Profiles'!$M$10</f>
        <v>0.80452019127583418</v>
      </c>
      <c r="F236" s="1">
        <f t="shared" ca="1" si="13"/>
        <v>0.94</v>
      </c>
      <c r="G236" s="1">
        <f t="shared" ca="1" si="14"/>
        <v>1.05</v>
      </c>
      <c r="H236" s="1">
        <f t="shared" ca="1" si="15"/>
        <v>2.5299999999999998</v>
      </c>
    </row>
    <row r="237" spans="1:8">
      <c r="A237" s="1">
        <v>232</v>
      </c>
      <c r="B237" s="8">
        <f ca="1">_xlfn.MAXIFS(Transactions[Transaction Date], Transactions[CustomerID],A237)</f>
        <v>42738</v>
      </c>
      <c r="C237" s="1">
        <f t="shared" ca="1" si="12"/>
        <v>1</v>
      </c>
      <c r="D237" s="1">
        <f ca="1">COUNTIF(Transactions[CustomerID],"="&amp;A237)</f>
        <v>1</v>
      </c>
      <c r="E237" s="9">
        <f ca="1">_xlfn.MAXIFS(Transactions[Transaction Amount], Transactions[CustomerID],A237)/'Customer Profiles'!$M$10</f>
        <v>9.7985926212807994E-2</v>
      </c>
      <c r="F237" s="1">
        <f t="shared" ca="1" si="13"/>
        <v>0.24</v>
      </c>
      <c r="G237" s="1">
        <f t="shared" ca="1" si="14"/>
        <v>0.15</v>
      </c>
      <c r="H237" s="1">
        <f t="shared" ca="1" si="15"/>
        <v>0.46</v>
      </c>
    </row>
    <row r="238" spans="1:8">
      <c r="A238" s="1">
        <v>233</v>
      </c>
      <c r="B238" s="8">
        <f ca="1">_xlfn.MAXIFS(Transactions[Transaction Date], Transactions[CustomerID],A238)</f>
        <v>43275</v>
      </c>
      <c r="C238" s="1">
        <f t="shared" ca="1" si="12"/>
        <v>8</v>
      </c>
      <c r="D238" s="1">
        <f ca="1">COUNTIF(Transactions[CustomerID],"="&amp;A238)</f>
        <v>2</v>
      </c>
      <c r="E238" s="9">
        <f ca="1">_xlfn.MAXIFS(Transactions[Transaction Amount], Transactions[CustomerID],A238)/'Customer Profiles'!$M$10</f>
        <v>2.9932677330034614</v>
      </c>
      <c r="F238" s="1">
        <f t="shared" ca="1" si="13"/>
        <v>1.89</v>
      </c>
      <c r="G238" s="1">
        <f t="shared" ca="1" si="14"/>
        <v>0.3</v>
      </c>
      <c r="H238" s="1">
        <f t="shared" ca="1" si="15"/>
        <v>4.0999999999999996</v>
      </c>
    </row>
    <row r="239" spans="1:8">
      <c r="A239" s="1">
        <v>234</v>
      </c>
      <c r="B239" s="8">
        <f ca="1">_xlfn.MAXIFS(Transactions[Transaction Date], Transactions[CustomerID],A239)</f>
        <v>43467</v>
      </c>
      <c r="C239" s="1">
        <f t="shared" ca="1" si="12"/>
        <v>1</v>
      </c>
      <c r="D239" s="1">
        <f ca="1">COUNTIF(Transactions[CustomerID],"="&amp;A239)</f>
        <v>1</v>
      </c>
      <c r="E239" s="9">
        <f ca="1">_xlfn.MAXIFS(Transactions[Transaction Amount], Transactions[CustomerID],A239)/'Customer Profiles'!$M$10</f>
        <v>0.40860974617286938</v>
      </c>
      <c r="F239" s="1">
        <f t="shared" ca="1" si="13"/>
        <v>0.24</v>
      </c>
      <c r="G239" s="1">
        <f t="shared" ca="1" si="14"/>
        <v>0.15</v>
      </c>
      <c r="H239" s="1">
        <f t="shared" ca="1" si="15"/>
        <v>0.65</v>
      </c>
    </row>
    <row r="240" spans="1:8">
      <c r="A240" s="1">
        <v>235</v>
      </c>
      <c r="B240" s="8">
        <f ca="1">_xlfn.MAXIFS(Transactions[Transaction Date], Transactions[CustomerID],A240)</f>
        <v>43410</v>
      </c>
      <c r="C240" s="1">
        <f t="shared" ca="1" si="12"/>
        <v>3</v>
      </c>
      <c r="D240" s="1">
        <f ca="1">COUNTIF(Transactions[CustomerID],"="&amp;A240)</f>
        <v>22</v>
      </c>
      <c r="E240" s="9">
        <f ca="1">_xlfn.MAXIFS(Transactions[Transaction Amount], Transactions[CustomerID],A240)/'Customer Profiles'!$M$10</f>
        <v>5.7111606870957399</v>
      </c>
      <c r="F240" s="1">
        <f t="shared" ca="1" si="13"/>
        <v>0.71</v>
      </c>
      <c r="G240" s="1">
        <f t="shared" ca="1" si="14"/>
        <v>3.3</v>
      </c>
      <c r="H240" s="1">
        <f t="shared" ca="1" si="15"/>
        <v>7.48</v>
      </c>
    </row>
    <row r="241" spans="1:8">
      <c r="A241" s="1">
        <v>236</v>
      </c>
      <c r="B241" s="8">
        <f ca="1">_xlfn.MAXIFS(Transactions[Transaction Date], Transactions[CustomerID],A241)</f>
        <v>43483</v>
      </c>
      <c r="C241" s="1">
        <f t="shared" ca="1" si="12"/>
        <v>1</v>
      </c>
      <c r="D241" s="1">
        <f ca="1">COUNTIF(Transactions[CustomerID],"="&amp;A241)</f>
        <v>65</v>
      </c>
      <c r="E241" s="9">
        <f ca="1">_xlfn.MAXIFS(Transactions[Transaction Amount], Transactions[CustomerID],A241)/'Customer Profiles'!$M$10</f>
        <v>5.7558185617683995</v>
      </c>
      <c r="F241" s="1">
        <f t="shared" ca="1" si="13"/>
        <v>0.24</v>
      </c>
      <c r="G241" s="1">
        <f t="shared" ca="1" si="14"/>
        <v>9.75</v>
      </c>
      <c r="H241" s="1">
        <f t="shared" ca="1" si="15"/>
        <v>13.45</v>
      </c>
    </row>
    <row r="242" spans="1:8">
      <c r="A242" s="1">
        <v>237</v>
      </c>
      <c r="B242" s="8">
        <f ca="1">_xlfn.MAXIFS(Transactions[Transaction Date], Transactions[CustomerID],A242)</f>
        <v>43123</v>
      </c>
      <c r="C242" s="1">
        <f t="shared" ca="1" si="12"/>
        <v>1</v>
      </c>
      <c r="D242" s="1">
        <f ca="1">COUNTIF(Transactions[CustomerID],"="&amp;A242)</f>
        <v>2</v>
      </c>
      <c r="E242" s="9">
        <f ca="1">_xlfn.MAXIFS(Transactions[Transaction Amount], Transactions[CustomerID],A242)/'Customer Profiles'!$M$10</f>
        <v>0.69315890138467484</v>
      </c>
      <c r="F242" s="1">
        <f t="shared" ca="1" si="13"/>
        <v>0.24</v>
      </c>
      <c r="G242" s="1">
        <f t="shared" ca="1" si="14"/>
        <v>0.3</v>
      </c>
      <c r="H242" s="1">
        <f t="shared" ca="1" si="15"/>
        <v>0.97</v>
      </c>
    </row>
    <row r="243" spans="1:8">
      <c r="A243" s="1">
        <v>238</v>
      </c>
      <c r="B243" s="8">
        <f ca="1">_xlfn.MAXIFS(Transactions[Transaction Date], Transactions[CustomerID],A243)</f>
        <v>43070</v>
      </c>
      <c r="C243" s="1">
        <f t="shared" ca="1" si="12"/>
        <v>3</v>
      </c>
      <c r="D243" s="1">
        <f ca="1">COUNTIF(Transactions[CustomerID],"="&amp;A243)</f>
        <v>10</v>
      </c>
      <c r="E243" s="9">
        <f ca="1">_xlfn.MAXIFS(Transactions[Transaction Amount], Transactions[CustomerID],A243)/'Customer Profiles'!$M$10</f>
        <v>6.6931982381728234</v>
      </c>
      <c r="F243" s="1">
        <f t="shared" ca="1" si="13"/>
        <v>0.71</v>
      </c>
      <c r="G243" s="1">
        <f t="shared" ca="1" si="14"/>
        <v>1.5</v>
      </c>
      <c r="H243" s="1">
        <f t="shared" ca="1" si="15"/>
        <v>6.27</v>
      </c>
    </row>
    <row r="244" spans="1:8">
      <c r="A244" s="1">
        <v>239</v>
      </c>
      <c r="B244" s="8">
        <f ca="1">_xlfn.MAXIFS(Transactions[Transaction Date], Transactions[CustomerID],A244)</f>
        <v>43198</v>
      </c>
      <c r="C244" s="1">
        <f t="shared" ca="1" si="12"/>
        <v>10</v>
      </c>
      <c r="D244" s="1">
        <f ca="1">COUNTIF(Transactions[CustomerID],"="&amp;A244)</f>
        <v>3</v>
      </c>
      <c r="E244" s="9">
        <f ca="1">_xlfn.MAXIFS(Transactions[Transaction Amount], Transactions[CustomerID],A244)/'Customer Profiles'!$M$10</f>
        <v>0.9400755415381673</v>
      </c>
      <c r="F244" s="1">
        <f t="shared" ca="1" si="13"/>
        <v>2.36</v>
      </c>
      <c r="G244" s="1">
        <f t="shared" ca="1" si="14"/>
        <v>0.45</v>
      </c>
      <c r="H244" s="1">
        <f t="shared" ca="1" si="15"/>
        <v>3.51</v>
      </c>
    </row>
    <row r="245" spans="1:8">
      <c r="A245" s="1">
        <v>240</v>
      </c>
      <c r="B245" s="8">
        <f ca="1">_xlfn.MAXIFS(Transactions[Transaction Date], Transactions[CustomerID],A245)</f>
        <v>42935</v>
      </c>
      <c r="C245" s="1">
        <f t="shared" ca="1" si="12"/>
        <v>7</v>
      </c>
      <c r="D245" s="1">
        <f ca="1">COUNTIF(Transactions[CustomerID],"="&amp;A245)</f>
        <v>1</v>
      </c>
      <c r="E245" s="9">
        <f ca="1">_xlfn.MAXIFS(Transactions[Transaction Amount], Transactions[CustomerID],A245)/'Customer Profiles'!$M$10</f>
        <v>0.32061277169387004</v>
      </c>
      <c r="F245" s="1">
        <f t="shared" ca="1" si="13"/>
        <v>1.65</v>
      </c>
      <c r="G245" s="1">
        <f t="shared" ca="1" si="14"/>
        <v>0.15</v>
      </c>
      <c r="H245" s="1">
        <f t="shared" ca="1" si="15"/>
        <v>2.09</v>
      </c>
    </row>
    <row r="246" spans="1:8">
      <c r="A246" s="1">
        <v>241</v>
      </c>
      <c r="B246" s="8">
        <f ca="1">_xlfn.MAXIFS(Transactions[Transaction Date], Transactions[CustomerID],A246)</f>
        <v>43074</v>
      </c>
      <c r="C246" s="1">
        <f t="shared" ca="1" si="12"/>
        <v>2</v>
      </c>
      <c r="D246" s="1">
        <f ca="1">COUNTIF(Transactions[CustomerID],"="&amp;A246)</f>
        <v>1</v>
      </c>
      <c r="E246" s="9">
        <f ca="1">_xlfn.MAXIFS(Transactions[Transaction Amount], Transactions[CustomerID],A246)/'Customer Profiles'!$M$10</f>
        <v>0.52213494912693248</v>
      </c>
      <c r="F246" s="1">
        <f t="shared" ca="1" si="13"/>
        <v>0.47</v>
      </c>
      <c r="G246" s="1">
        <f t="shared" ca="1" si="14"/>
        <v>0.15</v>
      </c>
      <c r="H246" s="1">
        <f t="shared" ca="1" si="15"/>
        <v>0.96</v>
      </c>
    </row>
    <row r="247" spans="1:8">
      <c r="A247" s="1">
        <v>242</v>
      </c>
      <c r="B247" s="8">
        <f ca="1">_xlfn.MAXIFS(Transactions[Transaction Date], Transactions[CustomerID],A247)</f>
        <v>43220</v>
      </c>
      <c r="C247" s="1">
        <f t="shared" ca="1" si="12"/>
        <v>10</v>
      </c>
      <c r="D247" s="1">
        <f ca="1">COUNTIF(Transactions[CustomerID],"="&amp;A247)</f>
        <v>2</v>
      </c>
      <c r="E247" s="9">
        <f ca="1">_xlfn.MAXIFS(Transactions[Transaction Amount], Transactions[CustomerID],A247)/'Customer Profiles'!$M$10</f>
        <v>7.688602691427679</v>
      </c>
      <c r="F247" s="1">
        <f t="shared" ca="1" si="13"/>
        <v>2.36</v>
      </c>
      <c r="G247" s="1">
        <f t="shared" ca="1" si="14"/>
        <v>0.3</v>
      </c>
      <c r="H247" s="1">
        <f t="shared" ca="1" si="15"/>
        <v>7.41</v>
      </c>
    </row>
    <row r="248" spans="1:8">
      <c r="A248" s="1">
        <v>243</v>
      </c>
      <c r="B248" s="8">
        <f ca="1">_xlfn.MAXIFS(Transactions[Transaction Date], Transactions[CustomerID],A248)</f>
        <v>43482</v>
      </c>
      <c r="C248" s="1">
        <f t="shared" ca="1" si="12"/>
        <v>1</v>
      </c>
      <c r="D248" s="1">
        <f ca="1">COUNTIF(Transactions[CustomerID],"="&amp;A248)</f>
        <v>8</v>
      </c>
      <c r="E248" s="9">
        <f ca="1">_xlfn.MAXIFS(Transactions[Transaction Amount], Transactions[CustomerID],A248)/'Customer Profiles'!$M$10</f>
        <v>4.192276152540626</v>
      </c>
      <c r="F248" s="1">
        <f t="shared" ca="1" si="13"/>
        <v>0.24</v>
      </c>
      <c r="G248" s="1">
        <f t="shared" ca="1" si="14"/>
        <v>1.2</v>
      </c>
      <c r="H248" s="1">
        <f t="shared" ca="1" si="15"/>
        <v>3.97</v>
      </c>
    </row>
    <row r="249" spans="1:8">
      <c r="A249" s="1">
        <v>244</v>
      </c>
      <c r="B249" s="8">
        <f ca="1">_xlfn.MAXIFS(Transactions[Transaction Date], Transactions[CustomerID],A249)</f>
        <v>43195</v>
      </c>
      <c r="C249" s="1">
        <f t="shared" ca="1" si="12"/>
        <v>10</v>
      </c>
      <c r="D249" s="1">
        <f ca="1">COUNTIF(Transactions[CustomerID],"="&amp;A249)</f>
        <v>1</v>
      </c>
      <c r="E249" s="9">
        <f ca="1">_xlfn.MAXIFS(Transactions[Transaction Amount], Transactions[CustomerID],A249)/'Customer Profiles'!$M$10</f>
        <v>4.7978716177958205</v>
      </c>
      <c r="F249" s="1">
        <f t="shared" ca="1" si="13"/>
        <v>2.36</v>
      </c>
      <c r="G249" s="1">
        <f t="shared" ca="1" si="14"/>
        <v>0.15</v>
      </c>
      <c r="H249" s="1">
        <f t="shared" ca="1" si="15"/>
        <v>5.53</v>
      </c>
    </row>
    <row r="250" spans="1:8">
      <c r="A250" s="1">
        <v>245</v>
      </c>
      <c r="B250" s="8">
        <f ca="1">_xlfn.MAXIFS(Transactions[Transaction Date], Transactions[CustomerID],A250)</f>
        <v>43487</v>
      </c>
      <c r="C250" s="1">
        <f t="shared" ca="1" si="12"/>
        <v>1</v>
      </c>
      <c r="D250" s="1">
        <f ca="1">COUNTIF(Transactions[CustomerID],"="&amp;A250)</f>
        <v>5</v>
      </c>
      <c r="E250" s="9">
        <f ca="1">_xlfn.MAXIFS(Transactions[Transaction Amount], Transactions[CustomerID],A250)/'Customer Profiles'!$M$10</f>
        <v>3.2443478112667097</v>
      </c>
      <c r="F250" s="1">
        <f t="shared" ca="1" si="13"/>
        <v>0.24</v>
      </c>
      <c r="G250" s="1">
        <f t="shared" ca="1" si="14"/>
        <v>0.75</v>
      </c>
      <c r="H250" s="1">
        <f t="shared" ca="1" si="15"/>
        <v>2.95</v>
      </c>
    </row>
    <row r="251" spans="1:8">
      <c r="A251" s="1">
        <v>246</v>
      </c>
      <c r="B251" s="8">
        <f ca="1">_xlfn.MAXIFS(Transactions[Transaction Date], Transactions[CustomerID],A251)</f>
        <v>43339</v>
      </c>
      <c r="C251" s="1">
        <f t="shared" ca="1" si="12"/>
        <v>6</v>
      </c>
      <c r="D251" s="1">
        <f ca="1">COUNTIF(Transactions[CustomerID],"="&amp;A251)</f>
        <v>2</v>
      </c>
      <c r="E251" s="9">
        <f ca="1">_xlfn.MAXIFS(Transactions[Transaction Amount], Transactions[CustomerID],A251)/'Customer Profiles'!$M$10</f>
        <v>1.6918663649464711</v>
      </c>
      <c r="F251" s="1">
        <f t="shared" ca="1" si="13"/>
        <v>1.42</v>
      </c>
      <c r="G251" s="1">
        <f t="shared" ca="1" si="14"/>
        <v>0.3</v>
      </c>
      <c r="H251" s="1">
        <f t="shared" ca="1" si="15"/>
        <v>2.82</v>
      </c>
    </row>
    <row r="252" spans="1:8">
      <c r="A252" s="1">
        <v>247</v>
      </c>
      <c r="B252" s="8">
        <f ca="1">_xlfn.MAXIFS(Transactions[Transaction Date], Transactions[CustomerID],A252)</f>
        <v>43190</v>
      </c>
      <c r="C252" s="1">
        <f t="shared" ca="1" si="12"/>
        <v>11</v>
      </c>
      <c r="D252" s="1">
        <f ca="1">COUNTIF(Transactions[CustomerID],"="&amp;A252)</f>
        <v>2</v>
      </c>
      <c r="E252" s="9">
        <f ca="1">_xlfn.MAXIFS(Transactions[Transaction Amount], Transactions[CustomerID],A252)/'Customer Profiles'!$M$10</f>
        <v>1.1204366674065527</v>
      </c>
      <c r="F252" s="1">
        <f t="shared" ca="1" si="13"/>
        <v>2.59</v>
      </c>
      <c r="G252" s="1">
        <f t="shared" ca="1" si="14"/>
        <v>0.3</v>
      </c>
      <c r="H252" s="1">
        <f t="shared" ca="1" si="15"/>
        <v>3.72</v>
      </c>
    </row>
    <row r="253" spans="1:8">
      <c r="A253" s="1">
        <v>248</v>
      </c>
      <c r="B253" s="8">
        <f ca="1">_xlfn.MAXIFS(Transactions[Transaction Date], Transactions[CustomerID],A253)</f>
        <v>43146</v>
      </c>
      <c r="C253" s="1">
        <f t="shared" ca="1" si="12"/>
        <v>1</v>
      </c>
      <c r="D253" s="1">
        <f ca="1">COUNTIF(Transactions[CustomerID],"="&amp;A253)</f>
        <v>2</v>
      </c>
      <c r="E253" s="9">
        <f ca="1">_xlfn.MAXIFS(Transactions[Transaction Amount], Transactions[CustomerID],A253)/'Customer Profiles'!$M$10</f>
        <v>2.3184268041419287</v>
      </c>
      <c r="F253" s="1">
        <f t="shared" ca="1" si="13"/>
        <v>0.24</v>
      </c>
      <c r="G253" s="1">
        <f t="shared" ca="1" si="14"/>
        <v>0.3</v>
      </c>
      <c r="H253" s="1">
        <f t="shared" ca="1" si="15"/>
        <v>1.94</v>
      </c>
    </row>
    <row r="254" spans="1:8">
      <c r="A254" s="1">
        <v>249</v>
      </c>
      <c r="B254" s="8">
        <f ca="1">_xlfn.MAXIFS(Transactions[Transaction Date], Transactions[CustomerID],A254)</f>
        <v>43068</v>
      </c>
      <c r="C254" s="1">
        <f t="shared" ca="1" si="12"/>
        <v>3</v>
      </c>
      <c r="D254" s="1">
        <f ca="1">COUNTIF(Transactions[CustomerID],"="&amp;A254)</f>
        <v>1</v>
      </c>
      <c r="E254" s="9">
        <f ca="1">_xlfn.MAXIFS(Transactions[Transaction Amount], Transactions[CustomerID],A254)/'Customer Profiles'!$M$10</f>
        <v>1.1192017877013434</v>
      </c>
      <c r="F254" s="1">
        <f t="shared" ca="1" si="13"/>
        <v>0.71</v>
      </c>
      <c r="G254" s="1">
        <f t="shared" ca="1" si="14"/>
        <v>0.15</v>
      </c>
      <c r="H254" s="1">
        <f t="shared" ca="1" si="15"/>
        <v>1.57</v>
      </c>
    </row>
    <row r="255" spans="1:8">
      <c r="A255" s="1">
        <v>250</v>
      </c>
      <c r="B255" s="8">
        <f ca="1">_xlfn.MAXIFS(Transactions[Transaction Date], Transactions[CustomerID],A255)</f>
        <v>43139</v>
      </c>
      <c r="C255" s="1">
        <f t="shared" ca="1" si="12"/>
        <v>1</v>
      </c>
      <c r="D255" s="1">
        <f ca="1">COUNTIF(Transactions[CustomerID],"="&amp;A255)</f>
        <v>2</v>
      </c>
      <c r="E255" s="9">
        <f ca="1">_xlfn.MAXIFS(Transactions[Transaction Amount], Transactions[CustomerID],A255)/'Customer Profiles'!$M$10</f>
        <v>2.1152972566602206</v>
      </c>
      <c r="F255" s="1">
        <f t="shared" ca="1" si="13"/>
        <v>0.24</v>
      </c>
      <c r="G255" s="1">
        <f t="shared" ca="1" si="14"/>
        <v>0.3</v>
      </c>
      <c r="H255" s="1">
        <f t="shared" ca="1" si="15"/>
        <v>1.82</v>
      </c>
    </row>
    <row r="256" spans="1:8">
      <c r="A256" s="1">
        <v>251</v>
      </c>
      <c r="B256" s="8">
        <f ca="1">_xlfn.MAXIFS(Transactions[Transaction Date], Transactions[CustomerID],A256)</f>
        <v>42918</v>
      </c>
      <c r="C256" s="1">
        <f t="shared" ca="1" si="12"/>
        <v>7</v>
      </c>
      <c r="D256" s="1">
        <f ca="1">COUNTIF(Transactions[CustomerID],"="&amp;A256)</f>
        <v>1</v>
      </c>
      <c r="E256" s="9">
        <f ca="1">_xlfn.MAXIFS(Transactions[Transaction Amount], Transactions[CustomerID],A256)/'Customer Profiles'!$M$10</f>
        <v>0.63538778385759143</v>
      </c>
      <c r="F256" s="1">
        <f t="shared" ca="1" si="13"/>
        <v>1.65</v>
      </c>
      <c r="G256" s="1">
        <f t="shared" ca="1" si="14"/>
        <v>0.15</v>
      </c>
      <c r="H256" s="1">
        <f t="shared" ca="1" si="15"/>
        <v>2.2799999999999998</v>
      </c>
    </row>
    <row r="257" spans="1:8">
      <c r="A257" s="1">
        <v>252</v>
      </c>
      <c r="B257" s="8">
        <f ca="1">_xlfn.MAXIFS(Transactions[Transaction Date], Transactions[CustomerID],A257)</f>
        <v>43436</v>
      </c>
      <c r="C257" s="1">
        <f t="shared" ca="1" si="12"/>
        <v>2</v>
      </c>
      <c r="D257" s="1">
        <f ca="1">COUNTIF(Transactions[CustomerID],"="&amp;A257)</f>
        <v>3</v>
      </c>
      <c r="E257" s="9">
        <f ca="1">_xlfn.MAXIFS(Transactions[Transaction Amount], Transactions[CustomerID],A257)/'Customer Profiles'!$M$10</f>
        <v>1.2896072417765052</v>
      </c>
      <c r="F257" s="1">
        <f t="shared" ca="1" si="13"/>
        <v>0.47</v>
      </c>
      <c r="G257" s="1">
        <f t="shared" ca="1" si="14"/>
        <v>0.45</v>
      </c>
      <c r="H257" s="1">
        <f t="shared" ca="1" si="15"/>
        <v>1.72</v>
      </c>
    </row>
    <row r="258" spans="1:8">
      <c r="A258" s="1">
        <v>253</v>
      </c>
      <c r="B258" s="8">
        <f ca="1">_xlfn.MAXIFS(Transactions[Transaction Date], Transactions[CustomerID],A258)</f>
        <v>43268</v>
      </c>
      <c r="C258" s="1">
        <f t="shared" ca="1" si="12"/>
        <v>8</v>
      </c>
      <c r="D258" s="1">
        <f ca="1">COUNTIF(Transactions[CustomerID],"="&amp;A258)</f>
        <v>9</v>
      </c>
      <c r="E258" s="9">
        <f ca="1">_xlfn.MAXIFS(Transactions[Transaction Amount], Transactions[CustomerID],A258)/'Customer Profiles'!$M$10</f>
        <v>3.322846367748308</v>
      </c>
      <c r="F258" s="1">
        <f t="shared" ca="1" si="13"/>
        <v>1.89</v>
      </c>
      <c r="G258" s="1">
        <f t="shared" ca="1" si="14"/>
        <v>1.35</v>
      </c>
      <c r="H258" s="1">
        <f t="shared" ca="1" si="15"/>
        <v>5.34</v>
      </c>
    </row>
    <row r="259" spans="1:8">
      <c r="A259" s="1">
        <v>254</v>
      </c>
      <c r="B259" s="8">
        <f ca="1">_xlfn.MAXIFS(Transactions[Transaction Date], Transactions[CustomerID],A259)</f>
        <v>42893</v>
      </c>
      <c r="C259" s="1">
        <f t="shared" ca="1" si="12"/>
        <v>8</v>
      </c>
      <c r="D259" s="1">
        <f ca="1">COUNTIF(Transactions[CustomerID],"="&amp;A259)</f>
        <v>1</v>
      </c>
      <c r="E259" s="9">
        <f ca="1">_xlfn.MAXIFS(Transactions[Transaction Amount], Transactions[CustomerID],A259)/'Customer Profiles'!$M$10</f>
        <v>2.2579703751562854</v>
      </c>
      <c r="F259" s="1">
        <f t="shared" ca="1" si="13"/>
        <v>1.89</v>
      </c>
      <c r="G259" s="1">
        <f t="shared" ca="1" si="14"/>
        <v>0.15</v>
      </c>
      <c r="H259" s="1">
        <f t="shared" ca="1" si="15"/>
        <v>3.5</v>
      </c>
    </row>
    <row r="260" spans="1:8">
      <c r="A260" s="1">
        <v>255</v>
      </c>
      <c r="B260" s="8">
        <f ca="1">_xlfn.MAXIFS(Transactions[Transaction Date], Transactions[CustomerID],A260)</f>
        <v>43496</v>
      </c>
      <c r="C260" s="1">
        <f t="shared" ca="1" si="12"/>
        <v>1</v>
      </c>
      <c r="D260" s="1">
        <f ca="1">COUNTIF(Transactions[CustomerID],"="&amp;A260)</f>
        <v>3</v>
      </c>
      <c r="E260" s="9">
        <f ca="1">_xlfn.MAXIFS(Transactions[Transaction Amount], Transactions[CustomerID],A260)/'Customer Profiles'!$M$10</f>
        <v>2.676010664331828</v>
      </c>
      <c r="F260" s="1">
        <f t="shared" ca="1" si="13"/>
        <v>0.24</v>
      </c>
      <c r="G260" s="1">
        <f t="shared" ca="1" si="14"/>
        <v>0.45</v>
      </c>
      <c r="H260" s="1">
        <f t="shared" ca="1" si="15"/>
        <v>2.31</v>
      </c>
    </row>
    <row r="261" spans="1:8">
      <c r="A261" s="1">
        <v>256</v>
      </c>
      <c r="B261" s="8">
        <f ca="1">_xlfn.MAXIFS(Transactions[Transaction Date], Transactions[CustomerID],A261)</f>
        <v>43330</v>
      </c>
      <c r="C261" s="1">
        <f t="shared" ca="1" si="12"/>
        <v>6</v>
      </c>
      <c r="D261" s="1">
        <f ca="1">COUNTIF(Transactions[CustomerID],"="&amp;A261)</f>
        <v>2</v>
      </c>
      <c r="E261" s="9">
        <f ca="1">_xlfn.MAXIFS(Transactions[Transaction Amount], Transactions[CustomerID],A261)/'Customer Profiles'!$M$10</f>
        <v>3.5913899723129661</v>
      </c>
      <c r="F261" s="1">
        <f t="shared" ca="1" si="13"/>
        <v>1.42</v>
      </c>
      <c r="G261" s="1">
        <f t="shared" ca="1" si="14"/>
        <v>0.3</v>
      </c>
      <c r="H261" s="1">
        <f t="shared" ca="1" si="15"/>
        <v>3.95</v>
      </c>
    </row>
    <row r="262" spans="1:8">
      <c r="A262" s="1">
        <v>257</v>
      </c>
      <c r="B262" s="8">
        <f ca="1">_xlfn.MAXIFS(Transactions[Transaction Date], Transactions[CustomerID],A262)</f>
        <v>43496</v>
      </c>
      <c r="C262" s="1">
        <f t="shared" ref="C262:C325" ca="1" si="16">(MAX(DATEDIF(B262,"03/01/2019","ym"),1))</f>
        <v>1</v>
      </c>
      <c r="D262" s="1">
        <f ca="1">COUNTIF(Transactions[CustomerID],"="&amp;A262)</f>
        <v>28</v>
      </c>
      <c r="E262" s="9">
        <f ca="1">_xlfn.MAXIFS(Transactions[Transaction Amount], Transactions[CustomerID],A262)/'Customer Profiles'!$M$10</f>
        <v>3.4127152951054001</v>
      </c>
      <c r="F262" s="1">
        <f t="shared" ref="F262:F325" ca="1" si="17">ROUND(C262/$M$8,2)</f>
        <v>0.24</v>
      </c>
      <c r="G262" s="1">
        <f t="shared" ref="G262:G325" ca="1" si="18">ROUND(D262/$M$6,2)</f>
        <v>4.2</v>
      </c>
      <c r="H262" s="1">
        <f t="shared" ref="H262:H325" ca="1" si="19">ROUND(C262*$K$6+D262*$K$7+E262*$K$8,2)</f>
        <v>6.5</v>
      </c>
    </row>
    <row r="263" spans="1:8">
      <c r="A263" s="1">
        <v>258</v>
      </c>
      <c r="B263" s="8">
        <f ca="1">_xlfn.MAXIFS(Transactions[Transaction Date], Transactions[CustomerID],A263)</f>
        <v>43437</v>
      </c>
      <c r="C263" s="1">
        <f t="shared" ca="1" si="16"/>
        <v>2</v>
      </c>
      <c r="D263" s="1">
        <f ca="1">COUNTIF(Transactions[CustomerID],"="&amp;A263)</f>
        <v>2</v>
      </c>
      <c r="E263" s="9">
        <f ca="1">_xlfn.MAXIFS(Transactions[Transaction Amount], Transactions[CustomerID],A263)/'Customer Profiles'!$M$10</f>
        <v>0.99205230055171301</v>
      </c>
      <c r="F263" s="1">
        <f t="shared" ca="1" si="17"/>
        <v>0.47</v>
      </c>
      <c r="G263" s="1">
        <f t="shared" ca="1" si="18"/>
        <v>0.3</v>
      </c>
      <c r="H263" s="1">
        <f t="shared" ca="1" si="19"/>
        <v>1.4</v>
      </c>
    </row>
    <row r="264" spans="1:8">
      <c r="A264" s="1">
        <v>259</v>
      </c>
      <c r="B264" s="8">
        <f ca="1">_xlfn.MAXIFS(Transactions[Transaction Date], Transactions[CustomerID],A264)</f>
        <v>43299</v>
      </c>
      <c r="C264" s="1">
        <f t="shared" ca="1" si="16"/>
        <v>7</v>
      </c>
      <c r="D264" s="1">
        <f ca="1">COUNTIF(Transactions[CustomerID],"="&amp;A264)</f>
        <v>13</v>
      </c>
      <c r="E264" s="9">
        <f ca="1">_xlfn.MAXIFS(Transactions[Transaction Amount], Transactions[CustomerID],A264)/'Customer Profiles'!$M$10</f>
        <v>9.7294844011183859</v>
      </c>
      <c r="F264" s="1">
        <f t="shared" ca="1" si="17"/>
        <v>1.65</v>
      </c>
      <c r="G264" s="1">
        <f t="shared" ca="1" si="18"/>
        <v>1.95</v>
      </c>
      <c r="H264" s="1">
        <f t="shared" ca="1" si="19"/>
        <v>9.5399999999999991</v>
      </c>
    </row>
    <row r="265" spans="1:8">
      <c r="A265" s="1">
        <v>260</v>
      </c>
      <c r="B265" s="8">
        <f ca="1">_xlfn.MAXIFS(Transactions[Transaction Date], Transactions[CustomerID],A265)</f>
        <v>43440</v>
      </c>
      <c r="C265" s="1">
        <f t="shared" ca="1" si="16"/>
        <v>2</v>
      </c>
      <c r="D265" s="1">
        <f ca="1">COUNTIF(Transactions[CustomerID],"="&amp;A265)</f>
        <v>3</v>
      </c>
      <c r="E265" s="9">
        <f ca="1">_xlfn.MAXIFS(Transactions[Transaction Amount], Transactions[CustomerID],A265)/'Customer Profiles'!$M$10</f>
        <v>0.21425349746353625</v>
      </c>
      <c r="F265" s="1">
        <f t="shared" ca="1" si="17"/>
        <v>0.47</v>
      </c>
      <c r="G265" s="1">
        <f t="shared" ca="1" si="18"/>
        <v>0.45</v>
      </c>
      <c r="H265" s="1">
        <f t="shared" ca="1" si="19"/>
        <v>1.08</v>
      </c>
    </row>
    <row r="266" spans="1:8">
      <c r="A266" s="1">
        <v>261</v>
      </c>
      <c r="B266" s="8">
        <f ca="1">_xlfn.MAXIFS(Transactions[Transaction Date], Transactions[CustomerID],A266)</f>
        <v>43233</v>
      </c>
      <c r="C266" s="1">
        <f t="shared" ca="1" si="16"/>
        <v>9</v>
      </c>
      <c r="D266" s="1">
        <f ca="1">COUNTIF(Transactions[CustomerID],"="&amp;A266)</f>
        <v>3</v>
      </c>
      <c r="E266" s="9">
        <f ca="1">_xlfn.MAXIFS(Transactions[Transaction Amount], Transactions[CustomerID],A266)/'Customer Profiles'!$M$10</f>
        <v>1.5503535226539324</v>
      </c>
      <c r="F266" s="1">
        <f t="shared" ca="1" si="17"/>
        <v>2.12</v>
      </c>
      <c r="G266" s="1">
        <f t="shared" ca="1" si="18"/>
        <v>0.45</v>
      </c>
      <c r="H266" s="1">
        <f t="shared" ca="1" si="19"/>
        <v>3.63</v>
      </c>
    </row>
    <row r="267" spans="1:8">
      <c r="A267" s="1">
        <v>262</v>
      </c>
      <c r="B267" s="8">
        <f ca="1">_xlfn.MAXIFS(Transactions[Transaction Date], Transactions[CustomerID],A267)</f>
        <v>43201</v>
      </c>
      <c r="C267" s="1">
        <f t="shared" ca="1" si="16"/>
        <v>10</v>
      </c>
      <c r="D267" s="1">
        <f ca="1">COUNTIF(Transactions[CustomerID],"="&amp;A267)</f>
        <v>3</v>
      </c>
      <c r="E267" s="9">
        <f ca="1">_xlfn.MAXIFS(Transactions[Transaction Amount], Transactions[CustomerID],A267)/'Customer Profiles'!$M$10</f>
        <v>2.855252280857957</v>
      </c>
      <c r="F267" s="1">
        <f t="shared" ca="1" si="17"/>
        <v>2.36</v>
      </c>
      <c r="G267" s="1">
        <f t="shared" ca="1" si="18"/>
        <v>0.45</v>
      </c>
      <c r="H267" s="1">
        <f t="shared" ca="1" si="19"/>
        <v>4.66</v>
      </c>
    </row>
    <row r="268" spans="1:8">
      <c r="A268" s="1">
        <v>263</v>
      </c>
      <c r="B268" s="8">
        <f ca="1">_xlfn.MAXIFS(Transactions[Transaction Date], Transactions[CustomerID],A268)</f>
        <v>43490</v>
      </c>
      <c r="C268" s="1">
        <f t="shared" ca="1" si="16"/>
        <v>1</v>
      </c>
      <c r="D268" s="1">
        <f ca="1">COUNTIF(Transactions[CustomerID],"="&amp;A268)</f>
        <v>140</v>
      </c>
      <c r="E268" s="9">
        <f ca="1">_xlfn.MAXIFS(Transactions[Transaction Amount], Transactions[CustomerID],A268)/'Customer Profiles'!$M$10</f>
        <v>6.4827403935531409</v>
      </c>
      <c r="F268" s="1">
        <f t="shared" ca="1" si="17"/>
        <v>0.24</v>
      </c>
      <c r="G268" s="1">
        <f t="shared" ca="1" si="18"/>
        <v>20.99</v>
      </c>
      <c r="H268" s="1">
        <f t="shared" ca="1" si="19"/>
        <v>25.14</v>
      </c>
    </row>
    <row r="269" spans="1:8">
      <c r="A269" s="1">
        <v>264</v>
      </c>
      <c r="B269" s="8">
        <f ca="1">_xlfn.MAXIFS(Transactions[Transaction Date], Transactions[CustomerID],A269)</f>
        <v>43430</v>
      </c>
      <c r="C269" s="1">
        <f t="shared" ca="1" si="16"/>
        <v>3</v>
      </c>
      <c r="D269" s="1">
        <f ca="1">COUNTIF(Transactions[CustomerID],"="&amp;A269)</f>
        <v>3</v>
      </c>
      <c r="E269" s="9">
        <f ca="1">_xlfn.MAXIFS(Transactions[Transaction Amount], Transactions[CustomerID],A269)/'Customer Profiles'!$M$10</f>
        <v>1.0472598038292398</v>
      </c>
      <c r="F269" s="1">
        <f t="shared" ca="1" si="17"/>
        <v>0.71</v>
      </c>
      <c r="G269" s="1">
        <f t="shared" ca="1" si="18"/>
        <v>0.45</v>
      </c>
      <c r="H269" s="1">
        <f t="shared" ca="1" si="19"/>
        <v>1.83</v>
      </c>
    </row>
    <row r="270" spans="1:8">
      <c r="A270" s="1">
        <v>265</v>
      </c>
      <c r="B270" s="8">
        <f ca="1">_xlfn.MAXIFS(Transactions[Transaction Date], Transactions[CustomerID],A270)</f>
        <v>42915</v>
      </c>
      <c r="C270" s="1">
        <f t="shared" ca="1" si="16"/>
        <v>8</v>
      </c>
      <c r="D270" s="1">
        <f ca="1">COUNTIF(Transactions[CustomerID],"="&amp;A270)</f>
        <v>1</v>
      </c>
      <c r="E270" s="9">
        <f ca="1">_xlfn.MAXIFS(Transactions[Transaction Amount], Transactions[CustomerID],A270)/'Customer Profiles'!$M$10</f>
        <v>7.7811865876648054E-2</v>
      </c>
      <c r="F270" s="1">
        <f t="shared" ca="1" si="17"/>
        <v>1.89</v>
      </c>
      <c r="G270" s="1">
        <f t="shared" ca="1" si="18"/>
        <v>0.15</v>
      </c>
      <c r="H270" s="1">
        <f t="shared" ca="1" si="19"/>
        <v>2.2000000000000002</v>
      </c>
    </row>
    <row r="271" spans="1:8">
      <c r="A271" s="1">
        <v>266</v>
      </c>
      <c r="B271" s="8">
        <f ca="1">_xlfn.MAXIFS(Transactions[Transaction Date], Transactions[CustomerID],A271)</f>
        <v>43486</v>
      </c>
      <c r="C271" s="1">
        <f t="shared" ca="1" si="16"/>
        <v>1</v>
      </c>
      <c r="D271" s="1">
        <f ca="1">COUNTIF(Transactions[CustomerID],"="&amp;A271)</f>
        <v>2</v>
      </c>
      <c r="E271" s="9">
        <f ca="1">_xlfn.MAXIFS(Transactions[Transaction Amount], Transactions[CustomerID],A271)/'Customer Profiles'!$M$10</f>
        <v>2.1002435706030549</v>
      </c>
      <c r="F271" s="1">
        <f t="shared" ca="1" si="17"/>
        <v>0.24</v>
      </c>
      <c r="G271" s="1">
        <f t="shared" ca="1" si="18"/>
        <v>0.3</v>
      </c>
      <c r="H271" s="1">
        <f t="shared" ca="1" si="19"/>
        <v>1.81</v>
      </c>
    </row>
    <row r="272" spans="1:8">
      <c r="A272" s="1">
        <v>267</v>
      </c>
      <c r="B272" s="8">
        <f ca="1">_xlfn.MAXIFS(Transactions[Transaction Date], Transactions[CustomerID],A272)</f>
        <v>43497</v>
      </c>
      <c r="C272" s="1">
        <f t="shared" ca="1" si="16"/>
        <v>1</v>
      </c>
      <c r="D272" s="1">
        <f ca="1">COUNTIF(Transactions[CustomerID],"="&amp;A272)</f>
        <v>10</v>
      </c>
      <c r="E272" s="9">
        <f ca="1">_xlfn.MAXIFS(Transactions[Transaction Amount], Transactions[CustomerID],A272)/'Customer Profiles'!$M$10</f>
        <v>1.4610542182647788</v>
      </c>
      <c r="F272" s="1">
        <f t="shared" ca="1" si="17"/>
        <v>0.24</v>
      </c>
      <c r="G272" s="1">
        <f t="shared" ca="1" si="18"/>
        <v>1.5</v>
      </c>
      <c r="H272" s="1">
        <f t="shared" ca="1" si="19"/>
        <v>2.63</v>
      </c>
    </row>
    <row r="273" spans="1:8">
      <c r="A273" s="1">
        <v>268</v>
      </c>
      <c r="B273" s="8">
        <f ca="1">_xlfn.MAXIFS(Transactions[Transaction Date], Transactions[CustomerID],A273)</f>
        <v>43295</v>
      </c>
      <c r="C273" s="1">
        <f t="shared" ca="1" si="16"/>
        <v>7</v>
      </c>
      <c r="D273" s="1">
        <f ca="1">COUNTIF(Transactions[CustomerID],"="&amp;A273)</f>
        <v>1</v>
      </c>
      <c r="E273" s="9">
        <f ca="1">_xlfn.MAXIFS(Transactions[Transaction Amount], Transactions[CustomerID],A273)/'Customer Profiles'!$M$10</f>
        <v>0.50680969523227426</v>
      </c>
      <c r="F273" s="1">
        <f t="shared" ca="1" si="17"/>
        <v>1.65</v>
      </c>
      <c r="G273" s="1">
        <f t="shared" ca="1" si="18"/>
        <v>0.15</v>
      </c>
      <c r="H273" s="1">
        <f t="shared" ca="1" si="19"/>
        <v>2.2000000000000002</v>
      </c>
    </row>
    <row r="274" spans="1:8">
      <c r="A274" s="1">
        <v>269</v>
      </c>
      <c r="B274" s="8">
        <f ca="1">_xlfn.MAXIFS(Transactions[Transaction Date], Transactions[CustomerID],A274)</f>
        <v>43021</v>
      </c>
      <c r="C274" s="1">
        <f t="shared" ca="1" si="16"/>
        <v>4</v>
      </c>
      <c r="D274" s="1">
        <f ca="1">COUNTIF(Transactions[CustomerID],"="&amp;A274)</f>
        <v>1</v>
      </c>
      <c r="E274" s="9">
        <f ca="1">_xlfn.MAXIFS(Transactions[Transaction Amount], Transactions[CustomerID],A274)/'Customer Profiles'!$M$10</f>
        <v>0.39070247270611475</v>
      </c>
      <c r="F274" s="1">
        <f t="shared" ca="1" si="17"/>
        <v>0.94</v>
      </c>
      <c r="G274" s="1">
        <f t="shared" ca="1" si="18"/>
        <v>0.15</v>
      </c>
      <c r="H274" s="1">
        <f t="shared" ca="1" si="19"/>
        <v>1.38</v>
      </c>
    </row>
    <row r="275" spans="1:8">
      <c r="A275" s="1">
        <v>270</v>
      </c>
      <c r="B275" s="8">
        <f ca="1">_xlfn.MAXIFS(Transactions[Transaction Date], Transactions[CustomerID],A275)</f>
        <v>43354</v>
      </c>
      <c r="C275" s="1">
        <f t="shared" ca="1" si="16"/>
        <v>5</v>
      </c>
      <c r="D275" s="1">
        <f ca="1">COUNTIF(Transactions[CustomerID],"="&amp;A275)</f>
        <v>1</v>
      </c>
      <c r="E275" s="9">
        <f ca="1">_xlfn.MAXIFS(Transactions[Transaction Amount], Transactions[CustomerID],A275)/'Customer Profiles'!$M$10</f>
        <v>0.105249036985285</v>
      </c>
      <c r="F275" s="1">
        <f t="shared" ca="1" si="17"/>
        <v>1.18</v>
      </c>
      <c r="G275" s="1">
        <f t="shared" ca="1" si="18"/>
        <v>0.15</v>
      </c>
      <c r="H275" s="1">
        <f t="shared" ca="1" si="19"/>
        <v>1.46</v>
      </c>
    </row>
    <row r="276" spans="1:8">
      <c r="A276" s="1">
        <v>271</v>
      </c>
      <c r="B276" s="8">
        <f ca="1">_xlfn.MAXIFS(Transactions[Transaction Date], Transactions[CustomerID],A276)</f>
        <v>43021</v>
      </c>
      <c r="C276" s="1">
        <f t="shared" ca="1" si="16"/>
        <v>4</v>
      </c>
      <c r="D276" s="1">
        <f ca="1">COUNTIF(Transactions[CustomerID],"="&amp;A276)</f>
        <v>1</v>
      </c>
      <c r="E276" s="9">
        <f ca="1">_xlfn.MAXIFS(Transactions[Transaction Amount], Transactions[CustomerID],A276)/'Customer Profiles'!$M$10</f>
        <v>0.39193430838050491</v>
      </c>
      <c r="F276" s="1">
        <f t="shared" ca="1" si="17"/>
        <v>0.94</v>
      </c>
      <c r="G276" s="1">
        <f t="shared" ca="1" si="18"/>
        <v>0.15</v>
      </c>
      <c r="H276" s="1">
        <f t="shared" ca="1" si="19"/>
        <v>1.39</v>
      </c>
    </row>
    <row r="277" spans="1:8">
      <c r="A277" s="1">
        <v>272</v>
      </c>
      <c r="B277" s="8">
        <f ca="1">_xlfn.MAXIFS(Transactions[Transaction Date], Transactions[CustomerID],A277)</f>
        <v>43354</v>
      </c>
      <c r="C277" s="1">
        <f t="shared" ca="1" si="16"/>
        <v>5</v>
      </c>
      <c r="D277" s="1">
        <f ca="1">COUNTIF(Transactions[CustomerID],"="&amp;A277)</f>
        <v>2</v>
      </c>
      <c r="E277" s="9">
        <f ca="1">_xlfn.MAXIFS(Transactions[Transaction Amount], Transactions[CustomerID],A277)/'Customer Profiles'!$M$10</f>
        <v>0.63332483850715704</v>
      </c>
      <c r="F277" s="1">
        <f t="shared" ca="1" si="17"/>
        <v>1.18</v>
      </c>
      <c r="G277" s="1">
        <f t="shared" ca="1" si="18"/>
        <v>0.3</v>
      </c>
      <c r="H277" s="1">
        <f t="shared" ca="1" si="19"/>
        <v>1.93</v>
      </c>
    </row>
    <row r="278" spans="1:8">
      <c r="A278" s="1">
        <v>273</v>
      </c>
      <c r="B278" s="8">
        <f ca="1">_xlfn.MAXIFS(Transactions[Transaction Date], Transactions[CustomerID],A278)</f>
        <v>43088</v>
      </c>
      <c r="C278" s="1">
        <f t="shared" ca="1" si="16"/>
        <v>2</v>
      </c>
      <c r="D278" s="1">
        <f ca="1">COUNTIF(Transactions[CustomerID],"="&amp;A278)</f>
        <v>1</v>
      </c>
      <c r="E278" s="9">
        <f ca="1">_xlfn.MAXIFS(Transactions[Transaction Amount], Transactions[CustomerID],A278)/'Customer Profiles'!$M$10</f>
        <v>0.30457296533213052</v>
      </c>
      <c r="F278" s="1">
        <f t="shared" ca="1" si="17"/>
        <v>0.47</v>
      </c>
      <c r="G278" s="1">
        <f t="shared" ca="1" si="18"/>
        <v>0.15</v>
      </c>
      <c r="H278" s="1">
        <f t="shared" ca="1" si="19"/>
        <v>0.83</v>
      </c>
    </row>
    <row r="279" spans="1:8">
      <c r="A279" s="1">
        <v>274</v>
      </c>
      <c r="B279" s="8">
        <f ca="1">_xlfn.MAXIFS(Transactions[Transaction Date], Transactions[CustomerID],A279)</f>
        <v>42991</v>
      </c>
      <c r="C279" s="1">
        <f t="shared" ca="1" si="16"/>
        <v>5</v>
      </c>
      <c r="D279" s="1">
        <f ca="1">COUNTIF(Transactions[CustomerID],"="&amp;A279)</f>
        <v>1</v>
      </c>
      <c r="E279" s="9">
        <f ca="1">_xlfn.MAXIFS(Transactions[Transaction Amount], Transactions[CustomerID],A279)/'Customer Profiles'!$M$10</f>
        <v>0.51489302208112153</v>
      </c>
      <c r="F279" s="1">
        <f t="shared" ca="1" si="17"/>
        <v>1.18</v>
      </c>
      <c r="G279" s="1">
        <f t="shared" ca="1" si="18"/>
        <v>0.15</v>
      </c>
      <c r="H279" s="1">
        <f t="shared" ca="1" si="19"/>
        <v>1.71</v>
      </c>
    </row>
    <row r="280" spans="1:8">
      <c r="A280" s="1">
        <v>275</v>
      </c>
      <c r="B280" s="8">
        <f ca="1">_xlfn.MAXIFS(Transactions[Transaction Date], Transactions[CustomerID],A280)</f>
        <v>43242</v>
      </c>
      <c r="C280" s="1">
        <f t="shared" ca="1" si="16"/>
        <v>9</v>
      </c>
      <c r="D280" s="1">
        <f ca="1">COUNTIF(Transactions[CustomerID],"="&amp;A280)</f>
        <v>1</v>
      </c>
      <c r="E280" s="9">
        <f ca="1">_xlfn.MAXIFS(Transactions[Transaction Amount], Transactions[CustomerID],A280)/'Customer Profiles'!$M$10</f>
        <v>0.12256429988119395</v>
      </c>
      <c r="F280" s="1">
        <f t="shared" ca="1" si="17"/>
        <v>2.12</v>
      </c>
      <c r="G280" s="1">
        <f t="shared" ca="1" si="18"/>
        <v>0.15</v>
      </c>
      <c r="H280" s="1">
        <f t="shared" ca="1" si="19"/>
        <v>2.4700000000000002</v>
      </c>
    </row>
    <row r="281" spans="1:8">
      <c r="A281" s="1">
        <v>276</v>
      </c>
      <c r="B281" s="8">
        <f ca="1">_xlfn.MAXIFS(Transactions[Transaction Date], Transactions[CustomerID],A281)</f>
        <v>43404</v>
      </c>
      <c r="C281" s="1">
        <f t="shared" ca="1" si="16"/>
        <v>4</v>
      </c>
      <c r="D281" s="1">
        <f ca="1">COUNTIF(Transactions[CustomerID],"="&amp;A281)</f>
        <v>4</v>
      </c>
      <c r="E281" s="9">
        <f ca="1">_xlfn.MAXIFS(Transactions[Transaction Amount], Transactions[CustomerID],A281)/'Customer Profiles'!$M$10</f>
        <v>4.3578903399211182</v>
      </c>
      <c r="F281" s="1">
        <f t="shared" ca="1" si="17"/>
        <v>0.94</v>
      </c>
      <c r="G281" s="1">
        <f t="shared" ca="1" si="18"/>
        <v>0.6</v>
      </c>
      <c r="H281" s="1">
        <f t="shared" ca="1" si="19"/>
        <v>4.21</v>
      </c>
    </row>
    <row r="282" spans="1:8">
      <c r="A282" s="1">
        <v>277</v>
      </c>
      <c r="B282" s="8">
        <f ca="1">_xlfn.MAXIFS(Transactions[Transaction Date], Transactions[CustomerID],A282)</f>
        <v>43121</v>
      </c>
      <c r="C282" s="1">
        <f t="shared" ca="1" si="16"/>
        <v>1</v>
      </c>
      <c r="D282" s="1">
        <f ca="1">COUNTIF(Transactions[CustomerID],"="&amp;A282)</f>
        <v>2</v>
      </c>
      <c r="E282" s="9">
        <f ca="1">_xlfn.MAXIFS(Transactions[Transaction Amount], Transactions[CustomerID],A282)/'Customer Profiles'!$M$10</f>
        <v>0.46453221528880723</v>
      </c>
      <c r="F282" s="1">
        <f t="shared" ca="1" si="17"/>
        <v>0.24</v>
      </c>
      <c r="G282" s="1">
        <f t="shared" ca="1" si="18"/>
        <v>0.3</v>
      </c>
      <c r="H282" s="1">
        <f t="shared" ca="1" si="19"/>
        <v>0.83</v>
      </c>
    </row>
    <row r="283" spans="1:8">
      <c r="A283" s="1">
        <v>278</v>
      </c>
      <c r="B283" s="8">
        <f ca="1">_xlfn.MAXIFS(Transactions[Transaction Date], Transactions[CustomerID],A283)</f>
        <v>43472</v>
      </c>
      <c r="C283" s="1">
        <f t="shared" ca="1" si="16"/>
        <v>1</v>
      </c>
      <c r="D283" s="1">
        <f ca="1">COUNTIF(Transactions[CustomerID],"="&amp;A283)</f>
        <v>66</v>
      </c>
      <c r="E283" s="9">
        <f ca="1">_xlfn.MAXIFS(Transactions[Transaction Amount], Transactions[CustomerID],A283)/'Customer Profiles'!$M$10</f>
        <v>5.4490202291965817</v>
      </c>
      <c r="F283" s="1">
        <f t="shared" ca="1" si="17"/>
        <v>0.24</v>
      </c>
      <c r="G283" s="1">
        <f t="shared" ca="1" si="18"/>
        <v>9.9</v>
      </c>
      <c r="H283" s="1">
        <f t="shared" ca="1" si="19"/>
        <v>13.42</v>
      </c>
    </row>
    <row r="284" spans="1:8">
      <c r="A284" s="1">
        <v>279</v>
      </c>
      <c r="B284" s="8">
        <f ca="1">_xlfn.MAXIFS(Transactions[Transaction Date], Transactions[CustomerID],A284)</f>
        <v>43430</v>
      </c>
      <c r="C284" s="1">
        <f t="shared" ca="1" si="16"/>
        <v>3</v>
      </c>
      <c r="D284" s="1">
        <f ca="1">COUNTIF(Transactions[CustomerID],"="&amp;A284)</f>
        <v>1</v>
      </c>
      <c r="E284" s="9">
        <f ca="1">_xlfn.MAXIFS(Transactions[Transaction Amount], Transactions[CustomerID],A284)/'Customer Profiles'!$M$10</f>
        <v>2.3981108351729432</v>
      </c>
      <c r="F284" s="1">
        <f t="shared" ca="1" si="17"/>
        <v>0.71</v>
      </c>
      <c r="G284" s="1">
        <f t="shared" ca="1" si="18"/>
        <v>0.15</v>
      </c>
      <c r="H284" s="1">
        <f t="shared" ca="1" si="19"/>
        <v>2.34</v>
      </c>
    </row>
    <row r="285" spans="1:8">
      <c r="A285" s="1">
        <v>280</v>
      </c>
      <c r="B285" s="8">
        <f ca="1">_xlfn.MAXIFS(Transactions[Transaction Date], Transactions[CustomerID],A285)</f>
        <v>43367</v>
      </c>
      <c r="C285" s="1">
        <f t="shared" ca="1" si="16"/>
        <v>5</v>
      </c>
      <c r="D285" s="1">
        <f ca="1">COUNTIF(Transactions[CustomerID],"="&amp;A285)</f>
        <v>2</v>
      </c>
      <c r="E285" s="9">
        <f ca="1">_xlfn.MAXIFS(Transactions[Transaction Amount], Transactions[CustomerID],A285)/'Customer Profiles'!$M$10</f>
        <v>0.95758562280995196</v>
      </c>
      <c r="F285" s="1">
        <f t="shared" ca="1" si="17"/>
        <v>1.18</v>
      </c>
      <c r="G285" s="1">
        <f t="shared" ca="1" si="18"/>
        <v>0.3</v>
      </c>
      <c r="H285" s="1">
        <f t="shared" ca="1" si="19"/>
        <v>2.12</v>
      </c>
    </row>
    <row r="286" spans="1:8">
      <c r="A286" s="1">
        <v>281</v>
      </c>
      <c r="B286" s="8">
        <f ca="1">_xlfn.MAXIFS(Transactions[Transaction Date], Transactions[CustomerID],A286)</f>
        <v>43476</v>
      </c>
      <c r="C286" s="1">
        <f t="shared" ca="1" si="16"/>
        <v>1</v>
      </c>
      <c r="D286" s="1">
        <f ca="1">COUNTIF(Transactions[CustomerID],"="&amp;A286)</f>
        <v>17</v>
      </c>
      <c r="E286" s="9">
        <f ca="1">_xlfn.MAXIFS(Transactions[Transaction Amount], Transactions[CustomerID],A286)/'Customer Profiles'!$M$10</f>
        <v>8.449414774254052</v>
      </c>
      <c r="F286" s="1">
        <f t="shared" ca="1" si="17"/>
        <v>0.24</v>
      </c>
      <c r="G286" s="1">
        <f t="shared" ca="1" si="18"/>
        <v>2.5499999999999998</v>
      </c>
      <c r="H286" s="1">
        <f t="shared" ca="1" si="19"/>
        <v>7.87</v>
      </c>
    </row>
    <row r="287" spans="1:8">
      <c r="A287" s="1">
        <v>282</v>
      </c>
      <c r="B287" s="8">
        <f ca="1">_xlfn.MAXIFS(Transactions[Transaction Date], Transactions[CustomerID],A287)</f>
        <v>43065</v>
      </c>
      <c r="C287" s="1">
        <f t="shared" ca="1" si="16"/>
        <v>3</v>
      </c>
      <c r="D287" s="1">
        <f ca="1">COUNTIF(Transactions[CustomerID],"="&amp;A287)</f>
        <v>1</v>
      </c>
      <c r="E287" s="9">
        <f ca="1">_xlfn.MAXIFS(Transactions[Transaction Amount], Transactions[CustomerID],A287)/'Customer Profiles'!$M$10</f>
        <v>0.80966364451562312</v>
      </c>
      <c r="F287" s="1">
        <f t="shared" ca="1" si="17"/>
        <v>0.71</v>
      </c>
      <c r="G287" s="1">
        <f t="shared" ca="1" si="18"/>
        <v>0.15</v>
      </c>
      <c r="H287" s="1">
        <f t="shared" ca="1" si="19"/>
        <v>1.39</v>
      </c>
    </row>
    <row r="288" spans="1:8">
      <c r="A288" s="1">
        <v>283</v>
      </c>
      <c r="B288" s="8">
        <f ca="1">_xlfn.MAXIFS(Transactions[Transaction Date], Transactions[CustomerID],A288)</f>
        <v>43457</v>
      </c>
      <c r="C288" s="1">
        <f t="shared" ca="1" si="16"/>
        <v>2</v>
      </c>
      <c r="D288" s="1">
        <f ca="1">COUNTIF(Transactions[CustomerID],"="&amp;A288)</f>
        <v>1</v>
      </c>
      <c r="E288" s="9">
        <f ca="1">_xlfn.MAXIFS(Transactions[Transaction Amount], Transactions[CustomerID],A288)/'Customer Profiles'!$M$10</f>
        <v>1.3525810867539372</v>
      </c>
      <c r="F288" s="1">
        <f t="shared" ca="1" si="17"/>
        <v>0.47</v>
      </c>
      <c r="G288" s="1">
        <f t="shared" ca="1" si="18"/>
        <v>0.15</v>
      </c>
      <c r="H288" s="1">
        <f t="shared" ca="1" si="19"/>
        <v>1.46</v>
      </c>
    </row>
    <row r="289" spans="1:8">
      <c r="A289" s="1">
        <v>284</v>
      </c>
      <c r="B289" s="8">
        <f ca="1">_xlfn.MAXIFS(Transactions[Transaction Date], Transactions[CustomerID],A289)</f>
        <v>43485</v>
      </c>
      <c r="C289" s="1">
        <f t="shared" ca="1" si="16"/>
        <v>1</v>
      </c>
      <c r="D289" s="1">
        <f ca="1">COUNTIF(Transactions[CustomerID],"="&amp;A289)</f>
        <v>46</v>
      </c>
      <c r="E289" s="9">
        <f ca="1">_xlfn.MAXIFS(Transactions[Transaction Amount], Transactions[CustomerID],A289)/'Customer Profiles'!$M$10</f>
        <v>6.4328396952013094</v>
      </c>
      <c r="F289" s="1">
        <f t="shared" ca="1" si="17"/>
        <v>0.24</v>
      </c>
      <c r="G289" s="1">
        <f t="shared" ca="1" si="18"/>
        <v>6.9</v>
      </c>
      <c r="H289" s="1">
        <f t="shared" ca="1" si="19"/>
        <v>11.01</v>
      </c>
    </row>
    <row r="290" spans="1:8">
      <c r="A290" s="1">
        <v>285</v>
      </c>
      <c r="B290" s="8">
        <f ca="1">_xlfn.MAXIFS(Transactions[Transaction Date], Transactions[CustomerID],A290)</f>
        <v>43427</v>
      </c>
      <c r="C290" s="1">
        <f t="shared" ca="1" si="16"/>
        <v>3</v>
      </c>
      <c r="D290" s="1">
        <f ca="1">COUNTIF(Transactions[CustomerID],"="&amp;A290)</f>
        <v>2</v>
      </c>
      <c r="E290" s="9">
        <f ca="1">_xlfn.MAXIFS(Transactions[Transaction Amount], Transactions[CustomerID],A290)/'Customer Profiles'!$M$10</f>
        <v>1.4370570950639279</v>
      </c>
      <c r="F290" s="1">
        <f t="shared" ca="1" si="17"/>
        <v>0.71</v>
      </c>
      <c r="G290" s="1">
        <f t="shared" ca="1" si="18"/>
        <v>0.3</v>
      </c>
      <c r="H290" s="1">
        <f t="shared" ca="1" si="19"/>
        <v>1.91</v>
      </c>
    </row>
    <row r="291" spans="1:8">
      <c r="A291" s="1">
        <v>286</v>
      </c>
      <c r="B291" s="8">
        <f ca="1">_xlfn.MAXIFS(Transactions[Transaction Date], Transactions[CustomerID],A291)</f>
        <v>43117</v>
      </c>
      <c r="C291" s="1">
        <f t="shared" ca="1" si="16"/>
        <v>1</v>
      </c>
      <c r="D291" s="1">
        <f ca="1">COUNTIF(Transactions[CustomerID],"="&amp;A291)</f>
        <v>2</v>
      </c>
      <c r="E291" s="9">
        <f ca="1">_xlfn.MAXIFS(Transactions[Transaction Amount], Transactions[CustomerID],A291)/'Customer Profiles'!$M$10</f>
        <v>0.24435013295558353</v>
      </c>
      <c r="F291" s="1">
        <f t="shared" ca="1" si="17"/>
        <v>0.24</v>
      </c>
      <c r="G291" s="1">
        <f t="shared" ca="1" si="18"/>
        <v>0.3</v>
      </c>
      <c r="H291" s="1">
        <f t="shared" ca="1" si="19"/>
        <v>0.7</v>
      </c>
    </row>
    <row r="292" spans="1:8">
      <c r="A292" s="1">
        <v>287</v>
      </c>
      <c r="B292" s="8">
        <f ca="1">_xlfn.MAXIFS(Transactions[Transaction Date], Transactions[CustomerID],A292)</f>
        <v>43018</v>
      </c>
      <c r="C292" s="1">
        <f t="shared" ca="1" si="16"/>
        <v>4</v>
      </c>
      <c r="D292" s="1">
        <f ca="1">COUNTIF(Transactions[CustomerID],"="&amp;A292)</f>
        <v>1</v>
      </c>
      <c r="E292" s="9">
        <f ca="1">_xlfn.MAXIFS(Transactions[Transaction Amount], Transactions[CustomerID],A292)/'Customer Profiles'!$M$10</f>
        <v>0.16597526453420927</v>
      </c>
      <c r="F292" s="1">
        <f t="shared" ca="1" si="17"/>
        <v>0.94</v>
      </c>
      <c r="G292" s="1">
        <f t="shared" ca="1" si="18"/>
        <v>0.15</v>
      </c>
      <c r="H292" s="1">
        <f t="shared" ca="1" si="19"/>
        <v>1.25</v>
      </c>
    </row>
    <row r="293" spans="1:8">
      <c r="A293" s="1">
        <v>288</v>
      </c>
      <c r="B293" s="8">
        <f ca="1">_xlfn.MAXIFS(Transactions[Transaction Date], Transactions[CustomerID],A293)</f>
        <v>43439</v>
      </c>
      <c r="C293" s="1">
        <f t="shared" ca="1" si="16"/>
        <v>2</v>
      </c>
      <c r="D293" s="1">
        <f ca="1">COUNTIF(Transactions[CustomerID],"="&amp;A293)</f>
        <v>8</v>
      </c>
      <c r="E293" s="9">
        <f ca="1">_xlfn.MAXIFS(Transactions[Transaction Amount], Transactions[CustomerID],A293)/'Customer Profiles'!$M$10</f>
        <v>1.187222272258581</v>
      </c>
      <c r="F293" s="1">
        <f t="shared" ca="1" si="17"/>
        <v>0.47</v>
      </c>
      <c r="G293" s="1">
        <f t="shared" ca="1" si="18"/>
        <v>1.2</v>
      </c>
      <c r="H293" s="1">
        <f t="shared" ca="1" si="19"/>
        <v>2.41</v>
      </c>
    </row>
    <row r="294" spans="1:8">
      <c r="A294" s="1">
        <v>289</v>
      </c>
      <c r="B294" s="8">
        <f ca="1">_xlfn.MAXIFS(Transactions[Transaction Date], Transactions[CustomerID],A294)</f>
        <v>43055</v>
      </c>
      <c r="C294" s="1">
        <f t="shared" ca="1" si="16"/>
        <v>3</v>
      </c>
      <c r="D294" s="1">
        <f ca="1">COUNTIF(Transactions[CustomerID],"="&amp;A294)</f>
        <v>1</v>
      </c>
      <c r="E294" s="9">
        <f ca="1">_xlfn.MAXIFS(Transactions[Transaction Amount], Transactions[CustomerID],A294)/'Customer Profiles'!$M$10</f>
        <v>5.6655493224987467E-2</v>
      </c>
      <c r="F294" s="1">
        <f t="shared" ca="1" si="17"/>
        <v>0.71</v>
      </c>
      <c r="G294" s="1">
        <f t="shared" ca="1" si="18"/>
        <v>0.15</v>
      </c>
      <c r="H294" s="1">
        <f t="shared" ca="1" si="19"/>
        <v>0.93</v>
      </c>
    </row>
    <row r="295" spans="1:8">
      <c r="A295" s="1">
        <v>290</v>
      </c>
      <c r="B295" s="8">
        <f ca="1">_xlfn.MAXIFS(Transactions[Transaction Date], Transactions[CustomerID],A295)</f>
        <v>43121</v>
      </c>
      <c r="C295" s="1">
        <f t="shared" ca="1" si="16"/>
        <v>1</v>
      </c>
      <c r="D295" s="1">
        <f ca="1">COUNTIF(Transactions[CustomerID],"="&amp;A295)</f>
        <v>2</v>
      </c>
      <c r="E295" s="9">
        <f ca="1">_xlfn.MAXIFS(Transactions[Transaction Amount], Transactions[CustomerID],A295)/'Customer Profiles'!$M$10</f>
        <v>0.61995007787769874</v>
      </c>
      <c r="F295" s="1">
        <f t="shared" ca="1" si="17"/>
        <v>0.24</v>
      </c>
      <c r="G295" s="1">
        <f t="shared" ca="1" si="18"/>
        <v>0.3</v>
      </c>
      <c r="H295" s="1">
        <f t="shared" ca="1" si="19"/>
        <v>0.92</v>
      </c>
    </row>
    <row r="296" spans="1:8">
      <c r="A296" s="1">
        <v>291</v>
      </c>
      <c r="B296" s="8">
        <f ca="1">_xlfn.MAXIFS(Transactions[Transaction Date], Transactions[CustomerID],A296)</f>
        <v>42969</v>
      </c>
      <c r="C296" s="1">
        <f t="shared" ca="1" si="16"/>
        <v>6</v>
      </c>
      <c r="D296" s="1">
        <f ca="1">COUNTIF(Transactions[CustomerID],"="&amp;A296)</f>
        <v>2</v>
      </c>
      <c r="E296" s="9">
        <f ca="1">_xlfn.MAXIFS(Transactions[Transaction Amount], Transactions[CustomerID],A296)/'Customer Profiles'!$M$10</f>
        <v>6.8717754815179815</v>
      </c>
      <c r="F296" s="1">
        <f t="shared" ca="1" si="17"/>
        <v>1.42</v>
      </c>
      <c r="G296" s="1">
        <f t="shared" ca="1" si="18"/>
        <v>0.3</v>
      </c>
      <c r="H296" s="1">
        <f t="shared" ca="1" si="19"/>
        <v>5.92</v>
      </c>
    </row>
    <row r="297" spans="1:8">
      <c r="A297" s="1">
        <v>292</v>
      </c>
      <c r="B297" s="8">
        <f ca="1">_xlfn.MAXIFS(Transactions[Transaction Date], Transactions[CustomerID],A297)</f>
        <v>43482</v>
      </c>
      <c r="C297" s="1">
        <f t="shared" ca="1" si="16"/>
        <v>1</v>
      </c>
      <c r="D297" s="1">
        <f ca="1">COUNTIF(Transactions[CustomerID],"="&amp;A297)</f>
        <v>51</v>
      </c>
      <c r="E297" s="9">
        <f ca="1">_xlfn.MAXIFS(Transactions[Transaction Amount], Transactions[CustomerID],A297)/'Customer Profiles'!$M$10</f>
        <v>6.0636102610411067</v>
      </c>
      <c r="F297" s="1">
        <f t="shared" ca="1" si="17"/>
        <v>0.24</v>
      </c>
      <c r="G297" s="1">
        <f t="shared" ca="1" si="18"/>
        <v>7.65</v>
      </c>
      <c r="H297" s="1">
        <f t="shared" ca="1" si="19"/>
        <v>11.54</v>
      </c>
    </row>
    <row r="298" spans="1:8">
      <c r="A298" s="1">
        <v>293</v>
      </c>
      <c r="B298" s="8">
        <f ca="1">_xlfn.MAXIFS(Transactions[Transaction Date], Transactions[CustomerID],A298)</f>
        <v>43383</v>
      </c>
      <c r="C298" s="1">
        <f t="shared" ca="1" si="16"/>
        <v>4</v>
      </c>
      <c r="D298" s="1">
        <f ca="1">COUNTIF(Transactions[CustomerID],"="&amp;A298)</f>
        <v>18</v>
      </c>
      <c r="E298" s="9">
        <f ca="1">_xlfn.MAXIFS(Transactions[Transaction Amount], Transactions[CustomerID],A298)/'Customer Profiles'!$M$10</f>
        <v>1.8752055927232862</v>
      </c>
      <c r="F298" s="1">
        <f t="shared" ca="1" si="17"/>
        <v>0.94</v>
      </c>
      <c r="G298" s="1">
        <f t="shared" ca="1" si="18"/>
        <v>2.7</v>
      </c>
      <c r="H298" s="1">
        <f t="shared" ca="1" si="19"/>
        <v>4.83</v>
      </c>
    </row>
    <row r="299" spans="1:8">
      <c r="A299" s="1">
        <v>294</v>
      </c>
      <c r="B299" s="8">
        <f ca="1">_xlfn.MAXIFS(Transactions[Transaction Date], Transactions[CustomerID],A299)</f>
        <v>43349</v>
      </c>
      <c r="C299" s="1">
        <f t="shared" ca="1" si="16"/>
        <v>5</v>
      </c>
      <c r="D299" s="1">
        <f ca="1">COUNTIF(Transactions[CustomerID],"="&amp;A299)</f>
        <v>3</v>
      </c>
      <c r="E299" s="9">
        <f ca="1">_xlfn.MAXIFS(Transactions[Transaction Amount], Transactions[CustomerID],A299)/'Customer Profiles'!$M$10</f>
        <v>1.9091519071124308</v>
      </c>
      <c r="F299" s="1">
        <f t="shared" ca="1" si="17"/>
        <v>1.18</v>
      </c>
      <c r="G299" s="1">
        <f t="shared" ca="1" si="18"/>
        <v>0.45</v>
      </c>
      <c r="H299" s="1">
        <f t="shared" ca="1" si="19"/>
        <v>2.85</v>
      </c>
    </row>
    <row r="300" spans="1:8">
      <c r="A300" s="1">
        <v>295</v>
      </c>
      <c r="B300" s="8">
        <f ca="1">_xlfn.MAXIFS(Transactions[Transaction Date], Transactions[CustomerID],A300)</f>
        <v>42929</v>
      </c>
      <c r="C300" s="1">
        <f t="shared" ca="1" si="16"/>
        <v>7</v>
      </c>
      <c r="D300" s="1">
        <f ca="1">COUNTIF(Transactions[CustomerID],"="&amp;A300)</f>
        <v>1</v>
      </c>
      <c r="E300" s="9">
        <f ca="1">_xlfn.MAXIFS(Transactions[Transaction Amount], Transactions[CustomerID],A300)/'Customer Profiles'!$M$10</f>
        <v>0.1998301425222547</v>
      </c>
      <c r="F300" s="1">
        <f t="shared" ca="1" si="17"/>
        <v>1.65</v>
      </c>
      <c r="G300" s="1">
        <f t="shared" ca="1" si="18"/>
        <v>0.15</v>
      </c>
      <c r="H300" s="1">
        <f t="shared" ca="1" si="19"/>
        <v>2.02</v>
      </c>
    </row>
    <row r="301" spans="1:8">
      <c r="A301" s="1">
        <v>296</v>
      </c>
      <c r="B301" s="8">
        <f ca="1">_xlfn.MAXIFS(Transactions[Transaction Date], Transactions[CustomerID],A301)</f>
        <v>43430</v>
      </c>
      <c r="C301" s="1">
        <f t="shared" ca="1" si="16"/>
        <v>3</v>
      </c>
      <c r="D301" s="1">
        <f ca="1">COUNTIF(Transactions[CustomerID],"="&amp;A301)</f>
        <v>2</v>
      </c>
      <c r="E301" s="9">
        <f ca="1">_xlfn.MAXIFS(Transactions[Transaction Amount], Transactions[CustomerID],A301)/'Customer Profiles'!$M$10</f>
        <v>0.87395978430878163</v>
      </c>
      <c r="F301" s="1">
        <f t="shared" ca="1" si="17"/>
        <v>0.71</v>
      </c>
      <c r="G301" s="1">
        <f t="shared" ca="1" si="18"/>
        <v>0.3</v>
      </c>
      <c r="H301" s="1">
        <f t="shared" ca="1" si="19"/>
        <v>1.57</v>
      </c>
    </row>
    <row r="302" spans="1:8">
      <c r="A302" s="1">
        <v>297</v>
      </c>
      <c r="B302" s="8">
        <f ca="1">_xlfn.MAXIFS(Transactions[Transaction Date], Transactions[CustomerID],A302)</f>
        <v>43447</v>
      </c>
      <c r="C302" s="1">
        <f t="shared" ca="1" si="16"/>
        <v>2</v>
      </c>
      <c r="D302" s="1">
        <f ca="1">COUNTIF(Transactions[CustomerID],"="&amp;A302)</f>
        <v>4</v>
      </c>
      <c r="E302" s="9">
        <f ca="1">_xlfn.MAXIFS(Transactions[Transaction Amount], Transactions[CustomerID],A302)/'Customer Profiles'!$M$10</f>
        <v>2.6079825578457601</v>
      </c>
      <c r="F302" s="1">
        <f t="shared" ca="1" si="17"/>
        <v>0.47</v>
      </c>
      <c r="G302" s="1">
        <f t="shared" ca="1" si="18"/>
        <v>0.6</v>
      </c>
      <c r="H302" s="1">
        <f t="shared" ca="1" si="19"/>
        <v>2.66</v>
      </c>
    </row>
    <row r="303" spans="1:8">
      <c r="A303" s="1">
        <v>298</v>
      </c>
      <c r="B303" s="8">
        <f ca="1">_xlfn.MAXIFS(Transactions[Transaction Date], Transactions[CustomerID],A303)</f>
        <v>43007</v>
      </c>
      <c r="C303" s="1">
        <f t="shared" ca="1" si="16"/>
        <v>5</v>
      </c>
      <c r="D303" s="1">
        <f ca="1">COUNTIF(Transactions[CustomerID],"="&amp;A303)</f>
        <v>1</v>
      </c>
      <c r="E303" s="9">
        <f ca="1">_xlfn.MAXIFS(Transactions[Transaction Amount], Transactions[CustomerID],A303)/'Customer Profiles'!$M$10</f>
        <v>0.47573696236031127</v>
      </c>
      <c r="F303" s="1">
        <f t="shared" ca="1" si="17"/>
        <v>1.18</v>
      </c>
      <c r="G303" s="1">
        <f t="shared" ca="1" si="18"/>
        <v>0.15</v>
      </c>
      <c r="H303" s="1">
        <f t="shared" ca="1" si="19"/>
        <v>1.69</v>
      </c>
    </row>
    <row r="304" spans="1:8">
      <c r="A304" s="1">
        <v>299</v>
      </c>
      <c r="B304" s="8">
        <f ca="1">_xlfn.MAXIFS(Transactions[Transaction Date], Transactions[CustomerID],A304)</f>
        <v>43303</v>
      </c>
      <c r="C304" s="1">
        <f t="shared" ca="1" si="16"/>
        <v>7</v>
      </c>
      <c r="D304" s="1">
        <f ca="1">COUNTIF(Transactions[CustomerID],"="&amp;A304)</f>
        <v>1</v>
      </c>
      <c r="E304" s="9">
        <f ca="1">_xlfn.MAXIFS(Transactions[Transaction Amount], Transactions[CustomerID],A304)/'Customer Profiles'!$M$10</f>
        <v>1.0129716454886655</v>
      </c>
      <c r="F304" s="1">
        <f t="shared" ca="1" si="17"/>
        <v>1.65</v>
      </c>
      <c r="G304" s="1">
        <f t="shared" ca="1" si="18"/>
        <v>0.15</v>
      </c>
      <c r="H304" s="1">
        <f t="shared" ca="1" si="19"/>
        <v>2.5099999999999998</v>
      </c>
    </row>
    <row r="305" spans="1:8">
      <c r="A305" s="1">
        <v>300</v>
      </c>
      <c r="B305" s="8">
        <f ca="1">_xlfn.MAXIFS(Transactions[Transaction Date], Transactions[CustomerID],A305)</f>
        <v>42865</v>
      </c>
      <c r="C305" s="1">
        <f t="shared" ca="1" si="16"/>
        <v>9</v>
      </c>
      <c r="D305" s="1">
        <f ca="1">COUNTIF(Transactions[CustomerID],"="&amp;A305)</f>
        <v>1</v>
      </c>
      <c r="E305" s="9">
        <f ca="1">_xlfn.MAXIFS(Transactions[Transaction Amount], Transactions[CustomerID],A305)/'Customer Profiles'!$M$10</f>
        <v>5.301417135580615</v>
      </c>
      <c r="F305" s="1">
        <f t="shared" ca="1" si="17"/>
        <v>2.12</v>
      </c>
      <c r="G305" s="1">
        <f t="shared" ca="1" si="18"/>
        <v>0.15</v>
      </c>
      <c r="H305" s="1">
        <f t="shared" ca="1" si="19"/>
        <v>5.58</v>
      </c>
    </row>
    <row r="306" spans="1:8">
      <c r="A306" s="1">
        <v>301</v>
      </c>
      <c r="B306" s="8">
        <f ca="1">_xlfn.MAXIFS(Transactions[Transaction Date], Transactions[CustomerID],A306)</f>
        <v>42813</v>
      </c>
      <c r="C306" s="1">
        <f t="shared" ca="1" si="16"/>
        <v>11</v>
      </c>
      <c r="D306" s="1">
        <f ca="1">COUNTIF(Transactions[CustomerID],"="&amp;A306)</f>
        <v>1</v>
      </c>
      <c r="E306" s="9">
        <f ca="1">_xlfn.MAXIFS(Transactions[Transaction Amount], Transactions[CustomerID],A306)/'Customer Profiles'!$M$10</f>
        <v>0.49038871085146629</v>
      </c>
      <c r="F306" s="1">
        <f t="shared" ca="1" si="17"/>
        <v>2.59</v>
      </c>
      <c r="G306" s="1">
        <f t="shared" ca="1" si="18"/>
        <v>0.15</v>
      </c>
      <c r="H306" s="1">
        <f t="shared" ca="1" si="19"/>
        <v>3.19</v>
      </c>
    </row>
    <row r="307" spans="1:8">
      <c r="A307" s="1">
        <v>302</v>
      </c>
      <c r="B307" s="8">
        <f ca="1">_xlfn.MAXIFS(Transactions[Transaction Date], Transactions[CustomerID],A307)</f>
        <v>43399</v>
      </c>
      <c r="C307" s="1">
        <f t="shared" ca="1" si="16"/>
        <v>4</v>
      </c>
      <c r="D307" s="1">
        <f ca="1">COUNTIF(Transactions[CustomerID],"="&amp;A307)</f>
        <v>1</v>
      </c>
      <c r="E307" s="9">
        <f ca="1">_xlfn.MAXIFS(Transactions[Transaction Amount], Transactions[CustomerID],A307)/'Customer Profiles'!$M$10</f>
        <v>1.0464461411199408</v>
      </c>
      <c r="F307" s="1">
        <f t="shared" ca="1" si="17"/>
        <v>0.94</v>
      </c>
      <c r="G307" s="1">
        <f t="shared" ca="1" si="18"/>
        <v>0.15</v>
      </c>
      <c r="H307" s="1">
        <f t="shared" ca="1" si="19"/>
        <v>1.78</v>
      </c>
    </row>
    <row r="308" spans="1:8">
      <c r="A308" s="1">
        <v>303</v>
      </c>
      <c r="B308" s="8">
        <f ca="1">_xlfn.MAXIFS(Transactions[Transaction Date], Transactions[CustomerID],A308)</f>
        <v>43196</v>
      </c>
      <c r="C308" s="1">
        <f t="shared" ca="1" si="16"/>
        <v>10</v>
      </c>
      <c r="D308" s="1">
        <f ca="1">COUNTIF(Transactions[CustomerID],"="&amp;A308)</f>
        <v>2</v>
      </c>
      <c r="E308" s="9">
        <f ca="1">_xlfn.MAXIFS(Transactions[Transaction Amount], Transactions[CustomerID],A308)/'Customer Profiles'!$M$10</f>
        <v>0.9026848937166253</v>
      </c>
      <c r="F308" s="1">
        <f t="shared" ca="1" si="17"/>
        <v>2.36</v>
      </c>
      <c r="G308" s="1">
        <f t="shared" ca="1" si="18"/>
        <v>0.3</v>
      </c>
      <c r="H308" s="1">
        <f t="shared" ca="1" si="19"/>
        <v>3.34</v>
      </c>
    </row>
    <row r="309" spans="1:8">
      <c r="A309" s="1">
        <v>304</v>
      </c>
      <c r="B309" s="8">
        <f ca="1">_xlfn.MAXIFS(Transactions[Transaction Date], Transactions[CustomerID],A309)</f>
        <v>43129</v>
      </c>
      <c r="C309" s="1">
        <f t="shared" ca="1" si="16"/>
        <v>1</v>
      </c>
      <c r="D309" s="1">
        <f ca="1">COUNTIF(Transactions[CustomerID],"="&amp;A309)</f>
        <v>1</v>
      </c>
      <c r="E309" s="9">
        <f ca="1">_xlfn.MAXIFS(Transactions[Transaction Amount], Transactions[CustomerID],A309)/'Customer Profiles'!$M$10</f>
        <v>5.868505223616461E-2</v>
      </c>
      <c r="F309" s="1">
        <f t="shared" ca="1" si="17"/>
        <v>0.24</v>
      </c>
      <c r="G309" s="1">
        <f t="shared" ca="1" si="18"/>
        <v>0.15</v>
      </c>
      <c r="H309" s="1">
        <f t="shared" ca="1" si="19"/>
        <v>0.44</v>
      </c>
    </row>
    <row r="310" spans="1:8">
      <c r="A310" s="1">
        <v>305</v>
      </c>
      <c r="B310" s="8">
        <f ca="1">_xlfn.MAXIFS(Transactions[Transaction Date], Transactions[CustomerID],A310)</f>
        <v>43197</v>
      </c>
      <c r="C310" s="1">
        <f t="shared" ca="1" si="16"/>
        <v>10</v>
      </c>
      <c r="D310" s="1">
        <f ca="1">COUNTIF(Transactions[CustomerID],"="&amp;A310)</f>
        <v>1</v>
      </c>
      <c r="E310" s="9">
        <f ca="1">_xlfn.MAXIFS(Transactions[Transaction Amount], Transactions[CustomerID],A310)/'Customer Profiles'!$M$10</f>
        <v>0.17725608066352039</v>
      </c>
      <c r="F310" s="1">
        <f t="shared" ca="1" si="17"/>
        <v>2.36</v>
      </c>
      <c r="G310" s="1">
        <f t="shared" ca="1" si="18"/>
        <v>0.15</v>
      </c>
      <c r="H310" s="1">
        <f t="shared" ca="1" si="19"/>
        <v>2.76</v>
      </c>
    </row>
    <row r="311" spans="1:8">
      <c r="A311" s="1">
        <v>306</v>
      </c>
      <c r="B311" s="8">
        <f ca="1">_xlfn.MAXIFS(Transactions[Transaction Date], Transactions[CustomerID],A311)</f>
        <v>42785</v>
      </c>
      <c r="C311" s="1">
        <f t="shared" ca="1" si="16"/>
        <v>1</v>
      </c>
      <c r="D311" s="1">
        <f ca="1">COUNTIF(Transactions[CustomerID],"="&amp;A311)</f>
        <v>1</v>
      </c>
      <c r="E311" s="9">
        <f ca="1">_xlfn.MAXIFS(Transactions[Transaction Amount], Transactions[CustomerID],A311)/'Customer Profiles'!$M$10</f>
        <v>1.3931733409797891</v>
      </c>
      <c r="F311" s="1">
        <f t="shared" ca="1" si="17"/>
        <v>0.24</v>
      </c>
      <c r="G311" s="1">
        <f t="shared" ca="1" si="18"/>
        <v>0.15</v>
      </c>
      <c r="H311" s="1">
        <f t="shared" ca="1" si="19"/>
        <v>1.24</v>
      </c>
    </row>
    <row r="312" spans="1:8">
      <c r="A312" s="1">
        <v>307</v>
      </c>
      <c r="B312" s="8">
        <f ca="1">_xlfn.MAXIFS(Transactions[Transaction Date], Transactions[CustomerID],A312)</f>
        <v>43050</v>
      </c>
      <c r="C312" s="1">
        <f t="shared" ca="1" si="16"/>
        <v>3</v>
      </c>
      <c r="D312" s="1">
        <f ca="1">COUNTIF(Transactions[CustomerID],"="&amp;A312)</f>
        <v>1</v>
      </c>
      <c r="E312" s="9">
        <f ca="1">_xlfn.MAXIFS(Transactions[Transaction Amount], Transactions[CustomerID],A312)/'Customer Profiles'!$M$10</f>
        <v>1.1090030902435946</v>
      </c>
      <c r="F312" s="1">
        <f t="shared" ca="1" si="17"/>
        <v>0.71</v>
      </c>
      <c r="G312" s="1">
        <f t="shared" ca="1" si="18"/>
        <v>0.15</v>
      </c>
      <c r="H312" s="1">
        <f t="shared" ca="1" si="19"/>
        <v>1.57</v>
      </c>
    </row>
    <row r="313" spans="1:8">
      <c r="A313" s="1">
        <v>308</v>
      </c>
      <c r="B313" s="8">
        <f ca="1">_xlfn.MAXIFS(Transactions[Transaction Date], Transactions[CustomerID],A313)</f>
        <v>42972</v>
      </c>
      <c r="C313" s="1">
        <f t="shared" ca="1" si="16"/>
        <v>6</v>
      </c>
      <c r="D313" s="1">
        <f ca="1">COUNTIF(Transactions[CustomerID],"="&amp;A313)</f>
        <v>2</v>
      </c>
      <c r="E313" s="9">
        <f ca="1">_xlfn.MAXIFS(Transactions[Transaction Amount], Transactions[CustomerID],A313)/'Customer Profiles'!$M$10</f>
        <v>7.6389425425148216</v>
      </c>
      <c r="F313" s="1">
        <f t="shared" ca="1" si="17"/>
        <v>1.42</v>
      </c>
      <c r="G313" s="1">
        <f t="shared" ca="1" si="18"/>
        <v>0.3</v>
      </c>
      <c r="H313" s="1">
        <f t="shared" ca="1" si="19"/>
        <v>6.38</v>
      </c>
    </row>
    <row r="314" spans="1:8">
      <c r="A314" s="1">
        <v>309</v>
      </c>
      <c r="B314" s="8">
        <f ca="1">_xlfn.MAXIFS(Transactions[Transaction Date], Transactions[CustomerID],A314)</f>
        <v>43445</v>
      </c>
      <c r="C314" s="1">
        <f t="shared" ca="1" si="16"/>
        <v>2</v>
      </c>
      <c r="D314" s="1">
        <f ca="1">COUNTIF(Transactions[CustomerID],"="&amp;A314)</f>
        <v>5</v>
      </c>
      <c r="E314" s="9">
        <f ca="1">_xlfn.MAXIFS(Transactions[Transaction Amount], Transactions[CustomerID],A314)/'Customer Profiles'!$M$10</f>
        <v>1.4155114907228767</v>
      </c>
      <c r="F314" s="1">
        <f t="shared" ca="1" si="17"/>
        <v>0.47</v>
      </c>
      <c r="G314" s="1">
        <f t="shared" ca="1" si="18"/>
        <v>0.75</v>
      </c>
      <c r="H314" s="1">
        <f t="shared" ca="1" si="19"/>
        <v>2.1</v>
      </c>
    </row>
    <row r="315" spans="1:8">
      <c r="A315" s="1">
        <v>310</v>
      </c>
      <c r="B315" s="8">
        <f ca="1">_xlfn.MAXIFS(Transactions[Transaction Date], Transactions[CustomerID],A315)</f>
        <v>43263</v>
      </c>
      <c r="C315" s="1">
        <f t="shared" ca="1" si="16"/>
        <v>8</v>
      </c>
      <c r="D315" s="1">
        <f ca="1">COUNTIF(Transactions[CustomerID],"="&amp;A315)</f>
        <v>2</v>
      </c>
      <c r="E315" s="9">
        <f ca="1">_xlfn.MAXIFS(Transactions[Transaction Amount], Transactions[CustomerID],A315)/'Customer Profiles'!$M$10</f>
        <v>1.0575348321976632</v>
      </c>
      <c r="F315" s="1">
        <f t="shared" ca="1" si="17"/>
        <v>1.89</v>
      </c>
      <c r="G315" s="1">
        <f t="shared" ca="1" si="18"/>
        <v>0.3</v>
      </c>
      <c r="H315" s="1">
        <f t="shared" ca="1" si="19"/>
        <v>2.93</v>
      </c>
    </row>
    <row r="316" spans="1:8">
      <c r="A316" s="1">
        <v>311</v>
      </c>
      <c r="B316" s="8">
        <f ca="1">_xlfn.MAXIFS(Transactions[Transaction Date], Transactions[CustomerID],A316)</f>
        <v>43404</v>
      </c>
      <c r="C316" s="1">
        <f t="shared" ca="1" si="16"/>
        <v>4</v>
      </c>
      <c r="D316" s="1">
        <f ca="1">COUNTIF(Transactions[CustomerID],"="&amp;A316)</f>
        <v>3</v>
      </c>
      <c r="E316" s="9">
        <f ca="1">_xlfn.MAXIFS(Transactions[Transaction Amount], Transactions[CustomerID],A316)/'Customer Profiles'!$M$10</f>
        <v>3.2410057535990768</v>
      </c>
      <c r="F316" s="1">
        <f t="shared" ca="1" si="17"/>
        <v>0.94</v>
      </c>
      <c r="G316" s="1">
        <f t="shared" ca="1" si="18"/>
        <v>0.45</v>
      </c>
      <c r="H316" s="1">
        <f t="shared" ca="1" si="19"/>
        <v>3.39</v>
      </c>
    </row>
    <row r="317" spans="1:8">
      <c r="A317" s="1">
        <v>312</v>
      </c>
      <c r="B317" s="8">
        <f ca="1">_xlfn.MAXIFS(Transactions[Transaction Date], Transactions[CustomerID],A317)</f>
        <v>43423</v>
      </c>
      <c r="C317" s="1">
        <f t="shared" ca="1" si="16"/>
        <v>3</v>
      </c>
      <c r="D317" s="1">
        <f ca="1">COUNTIF(Transactions[CustomerID],"="&amp;A317)</f>
        <v>2</v>
      </c>
      <c r="E317" s="9">
        <f ca="1">_xlfn.MAXIFS(Transactions[Transaction Amount], Transactions[CustomerID],A317)/'Customer Profiles'!$M$10</f>
        <v>0.52831387815606579</v>
      </c>
      <c r="F317" s="1">
        <f t="shared" ca="1" si="17"/>
        <v>0.71</v>
      </c>
      <c r="G317" s="1">
        <f t="shared" ca="1" si="18"/>
        <v>0.3</v>
      </c>
      <c r="H317" s="1">
        <f t="shared" ca="1" si="19"/>
        <v>1.37</v>
      </c>
    </row>
    <row r="318" spans="1:8">
      <c r="A318" s="1">
        <v>313</v>
      </c>
      <c r="B318" s="8">
        <f ca="1">_xlfn.MAXIFS(Transactions[Transaction Date], Transactions[CustomerID],A318)</f>
        <v>42939</v>
      </c>
      <c r="C318" s="1">
        <f t="shared" ca="1" si="16"/>
        <v>7</v>
      </c>
      <c r="D318" s="1">
        <f ca="1">COUNTIF(Transactions[CustomerID],"="&amp;A318)</f>
        <v>1</v>
      </c>
      <c r="E318" s="9">
        <f ca="1">_xlfn.MAXIFS(Transactions[Transaction Amount], Transactions[CustomerID],A318)/'Customer Profiles'!$M$10</f>
        <v>1.6103531989412545</v>
      </c>
      <c r="F318" s="1">
        <f t="shared" ca="1" si="17"/>
        <v>1.65</v>
      </c>
      <c r="G318" s="1">
        <f t="shared" ca="1" si="18"/>
        <v>0.15</v>
      </c>
      <c r="H318" s="1">
        <f t="shared" ca="1" si="19"/>
        <v>2.87</v>
      </c>
    </row>
    <row r="319" spans="1:8">
      <c r="A319" s="1">
        <v>314</v>
      </c>
      <c r="B319" s="8">
        <f ca="1">_xlfn.MAXIFS(Transactions[Transaction Date], Transactions[CustomerID],A319)</f>
        <v>42883</v>
      </c>
      <c r="C319" s="1">
        <f t="shared" ca="1" si="16"/>
        <v>9</v>
      </c>
      <c r="D319" s="1">
        <f ca="1">COUNTIF(Transactions[CustomerID],"="&amp;A319)</f>
        <v>1</v>
      </c>
      <c r="E319" s="9">
        <f ca="1">_xlfn.MAXIFS(Transactions[Transaction Amount], Transactions[CustomerID],A319)/'Customer Profiles'!$M$10</f>
        <v>8.1498794044300354E-2</v>
      </c>
      <c r="F319" s="1">
        <f t="shared" ca="1" si="17"/>
        <v>2.12</v>
      </c>
      <c r="G319" s="1">
        <f t="shared" ca="1" si="18"/>
        <v>0.15</v>
      </c>
      <c r="H319" s="1">
        <f t="shared" ca="1" si="19"/>
        <v>2.4500000000000002</v>
      </c>
    </row>
    <row r="320" spans="1:8">
      <c r="A320" s="1">
        <v>315</v>
      </c>
      <c r="B320" s="8">
        <f ca="1">_xlfn.MAXIFS(Transactions[Transaction Date], Transactions[CustomerID],A320)</f>
        <v>43483</v>
      </c>
      <c r="C320" s="1">
        <f t="shared" ca="1" si="16"/>
        <v>1</v>
      </c>
      <c r="D320" s="1">
        <f ca="1">COUNTIF(Transactions[CustomerID],"="&amp;A320)</f>
        <v>3</v>
      </c>
      <c r="E320" s="9">
        <f ca="1">_xlfn.MAXIFS(Transactions[Transaction Amount], Transactions[CustomerID],A320)/'Customer Profiles'!$M$10</f>
        <v>6.6711480175720119</v>
      </c>
      <c r="F320" s="1">
        <f t="shared" ca="1" si="17"/>
        <v>0.24</v>
      </c>
      <c r="G320" s="1">
        <f t="shared" ca="1" si="18"/>
        <v>0.45</v>
      </c>
      <c r="H320" s="1">
        <f t="shared" ca="1" si="19"/>
        <v>4.7</v>
      </c>
    </row>
    <row r="321" spans="1:8">
      <c r="A321" s="1">
        <v>316</v>
      </c>
      <c r="B321" s="8">
        <f ca="1">_xlfn.MAXIFS(Transactions[Transaction Date], Transactions[CustomerID],A321)</f>
        <v>43445</v>
      </c>
      <c r="C321" s="1">
        <f t="shared" ca="1" si="16"/>
        <v>2</v>
      </c>
      <c r="D321" s="1">
        <f ca="1">COUNTIF(Transactions[CustomerID],"="&amp;A321)</f>
        <v>4</v>
      </c>
      <c r="E321" s="9">
        <f ca="1">_xlfn.MAXIFS(Transactions[Transaction Amount], Transactions[CustomerID],A321)/'Customer Profiles'!$M$10</f>
        <v>4.475128653972801</v>
      </c>
      <c r="F321" s="1">
        <f t="shared" ca="1" si="17"/>
        <v>0.47</v>
      </c>
      <c r="G321" s="1">
        <f t="shared" ca="1" si="18"/>
        <v>0.6</v>
      </c>
      <c r="H321" s="1">
        <f t="shared" ca="1" si="19"/>
        <v>3.79</v>
      </c>
    </row>
    <row r="322" spans="1:8">
      <c r="A322" s="1">
        <v>317</v>
      </c>
      <c r="B322" s="8">
        <f ca="1">_xlfn.MAXIFS(Transactions[Transaction Date], Transactions[CustomerID],A322)</f>
        <v>43308</v>
      </c>
      <c r="C322" s="1">
        <f t="shared" ca="1" si="16"/>
        <v>7</v>
      </c>
      <c r="D322" s="1">
        <f ca="1">COUNTIF(Transactions[CustomerID],"="&amp;A322)</f>
        <v>10</v>
      </c>
      <c r="E322" s="9">
        <f ca="1">_xlfn.MAXIFS(Transactions[Transaction Amount], Transactions[CustomerID],A322)/'Customer Profiles'!$M$10</f>
        <v>2.327754153833379</v>
      </c>
      <c r="F322" s="1">
        <f t="shared" ca="1" si="17"/>
        <v>1.65</v>
      </c>
      <c r="G322" s="1">
        <f t="shared" ca="1" si="18"/>
        <v>1.5</v>
      </c>
      <c r="H322" s="1">
        <f t="shared" ca="1" si="19"/>
        <v>4.6500000000000004</v>
      </c>
    </row>
    <row r="323" spans="1:8">
      <c r="A323" s="1">
        <v>318</v>
      </c>
      <c r="B323" s="8">
        <f ca="1">_xlfn.MAXIFS(Transactions[Transaction Date], Transactions[CustomerID],A323)</f>
        <v>43476</v>
      </c>
      <c r="C323" s="1">
        <f t="shared" ca="1" si="16"/>
        <v>1</v>
      </c>
      <c r="D323" s="1">
        <f ca="1">COUNTIF(Transactions[CustomerID],"="&amp;A323)</f>
        <v>4</v>
      </c>
      <c r="E323" s="9">
        <f ca="1">_xlfn.MAXIFS(Transactions[Transaction Amount], Transactions[CustomerID],A323)/'Customer Profiles'!$M$10</f>
        <v>0.70996085192369962</v>
      </c>
      <c r="F323" s="1">
        <f t="shared" ca="1" si="17"/>
        <v>0.24</v>
      </c>
      <c r="G323" s="1">
        <f t="shared" ca="1" si="18"/>
        <v>0.6</v>
      </c>
      <c r="H323" s="1">
        <f t="shared" ca="1" si="19"/>
        <v>1.28</v>
      </c>
    </row>
    <row r="324" spans="1:8">
      <c r="A324" s="1">
        <v>319</v>
      </c>
      <c r="B324" s="8">
        <f ca="1">_xlfn.MAXIFS(Transactions[Transaction Date], Transactions[CustomerID],A324)</f>
        <v>43071</v>
      </c>
      <c r="C324" s="1">
        <f t="shared" ca="1" si="16"/>
        <v>2</v>
      </c>
      <c r="D324" s="1">
        <f ca="1">COUNTIF(Transactions[CustomerID],"="&amp;A324)</f>
        <v>1</v>
      </c>
      <c r="E324" s="9">
        <f ca="1">_xlfn.MAXIFS(Transactions[Transaction Amount], Transactions[CustomerID],A324)/'Customer Profiles'!$M$10</f>
        <v>6.1493877748988268</v>
      </c>
      <c r="F324" s="1">
        <f t="shared" ca="1" si="17"/>
        <v>0.47</v>
      </c>
      <c r="G324" s="1">
        <f t="shared" ca="1" si="18"/>
        <v>0.15</v>
      </c>
      <c r="H324" s="1">
        <f t="shared" ca="1" si="19"/>
        <v>4.34</v>
      </c>
    </row>
    <row r="325" spans="1:8">
      <c r="A325" s="1">
        <v>320</v>
      </c>
      <c r="B325" s="8">
        <f ca="1">_xlfn.MAXIFS(Transactions[Transaction Date], Transactions[CustomerID],A325)</f>
        <v>43405</v>
      </c>
      <c r="C325" s="1">
        <f t="shared" ca="1" si="16"/>
        <v>4</v>
      </c>
      <c r="D325" s="1">
        <f ca="1">COUNTIF(Transactions[CustomerID],"="&amp;A325)</f>
        <v>1</v>
      </c>
      <c r="E325" s="9">
        <f ca="1">_xlfn.MAXIFS(Transactions[Transaction Amount], Transactions[CustomerID],A325)/'Customer Profiles'!$M$10</f>
        <v>5.2258724097154996</v>
      </c>
      <c r="F325" s="1">
        <f t="shared" ca="1" si="17"/>
        <v>0.94</v>
      </c>
      <c r="G325" s="1">
        <f t="shared" ca="1" si="18"/>
        <v>0.15</v>
      </c>
      <c r="H325" s="1">
        <f t="shared" ca="1" si="19"/>
        <v>4.29</v>
      </c>
    </row>
    <row r="326" spans="1:8">
      <c r="A326" s="1">
        <v>321</v>
      </c>
      <c r="B326" s="8">
        <f ca="1">_xlfn.MAXIFS(Transactions[Transaction Date], Transactions[CustomerID],A326)</f>
        <v>43128</v>
      </c>
      <c r="C326" s="1">
        <f t="shared" ref="C326:C389" ca="1" si="20">(MAX(DATEDIF(B326,"03/01/2019","ym"),1))</f>
        <v>1</v>
      </c>
      <c r="D326" s="1">
        <f ca="1">COUNTIF(Transactions[CustomerID],"="&amp;A326)</f>
        <v>1</v>
      </c>
      <c r="E326" s="9">
        <f ca="1">_xlfn.MAXIFS(Transactions[Transaction Amount], Transactions[CustomerID],A326)/'Customer Profiles'!$M$10</f>
        <v>5.7002608783253375E-2</v>
      </c>
      <c r="F326" s="1">
        <f t="shared" ref="F326:F389" ca="1" si="21">ROUND(C326/$M$8,2)</f>
        <v>0.24</v>
      </c>
      <c r="G326" s="1">
        <f t="shared" ref="G326:G389" ca="1" si="22">ROUND(D326/$M$6,2)</f>
        <v>0.15</v>
      </c>
      <c r="H326" s="1">
        <f t="shared" ref="H326:H389" ca="1" si="23">ROUND(C326*$K$6+D326*$K$7+E326*$K$8,2)</f>
        <v>0.43</v>
      </c>
    </row>
    <row r="327" spans="1:8">
      <c r="A327" s="1">
        <v>322</v>
      </c>
      <c r="B327" s="8">
        <f ca="1">_xlfn.MAXIFS(Transactions[Transaction Date], Transactions[CustomerID],A327)</f>
        <v>42789</v>
      </c>
      <c r="C327" s="1">
        <f t="shared" ca="1" si="20"/>
        <v>1</v>
      </c>
      <c r="D327" s="1">
        <f ca="1">COUNTIF(Transactions[CustomerID],"="&amp;A327)</f>
        <v>1</v>
      </c>
      <c r="E327" s="9">
        <f ca="1">_xlfn.MAXIFS(Transactions[Transaction Amount], Transactions[CustomerID],A327)/'Customer Profiles'!$M$10</f>
        <v>1.4747777550478172</v>
      </c>
      <c r="F327" s="1">
        <f t="shared" ca="1" si="21"/>
        <v>0.24</v>
      </c>
      <c r="G327" s="1">
        <f t="shared" ca="1" si="22"/>
        <v>0.15</v>
      </c>
      <c r="H327" s="1">
        <f t="shared" ca="1" si="23"/>
        <v>1.28</v>
      </c>
    </row>
    <row r="328" spans="1:8">
      <c r="A328" s="1">
        <v>323</v>
      </c>
      <c r="B328" s="8">
        <f ca="1">_xlfn.MAXIFS(Transactions[Transaction Date], Transactions[CustomerID],A328)</f>
        <v>43031</v>
      </c>
      <c r="C328" s="1">
        <f t="shared" ca="1" si="20"/>
        <v>4</v>
      </c>
      <c r="D328" s="1">
        <f ca="1">COUNTIF(Transactions[CustomerID],"="&amp;A328)</f>
        <v>1</v>
      </c>
      <c r="E328" s="9">
        <f ca="1">_xlfn.MAXIFS(Transactions[Transaction Amount], Transactions[CustomerID],A328)/'Customer Profiles'!$M$10</f>
        <v>7.7779850930226463E-2</v>
      </c>
      <c r="F328" s="1">
        <f t="shared" ca="1" si="21"/>
        <v>0.94</v>
      </c>
      <c r="G328" s="1">
        <f t="shared" ca="1" si="22"/>
        <v>0.15</v>
      </c>
      <c r="H328" s="1">
        <f t="shared" ca="1" si="23"/>
        <v>1.2</v>
      </c>
    </row>
    <row r="329" spans="1:8">
      <c r="A329" s="1">
        <v>324</v>
      </c>
      <c r="B329" s="8">
        <f ca="1">_xlfn.MAXIFS(Transactions[Transaction Date], Transactions[CustomerID],A329)</f>
        <v>43028</v>
      </c>
      <c r="C329" s="1">
        <f t="shared" ca="1" si="20"/>
        <v>4</v>
      </c>
      <c r="D329" s="1">
        <f ca="1">COUNTIF(Transactions[CustomerID],"="&amp;A329)</f>
        <v>1</v>
      </c>
      <c r="E329" s="9">
        <f ca="1">_xlfn.MAXIFS(Transactions[Transaction Amount], Transactions[CustomerID],A329)/'Customer Profiles'!$M$10</f>
        <v>0.84510652271031439</v>
      </c>
      <c r="F329" s="1">
        <f t="shared" ca="1" si="21"/>
        <v>0.94</v>
      </c>
      <c r="G329" s="1">
        <f t="shared" ca="1" si="22"/>
        <v>0.15</v>
      </c>
      <c r="H329" s="1">
        <f t="shared" ca="1" si="23"/>
        <v>1.66</v>
      </c>
    </row>
    <row r="330" spans="1:8">
      <c r="A330" s="1">
        <v>325</v>
      </c>
      <c r="B330" s="8">
        <f ca="1">_xlfn.MAXIFS(Transactions[Transaction Date], Transactions[CustomerID],A330)</f>
        <v>43218</v>
      </c>
      <c r="C330" s="1">
        <f t="shared" ca="1" si="20"/>
        <v>10</v>
      </c>
      <c r="D330" s="1">
        <f ca="1">COUNTIF(Transactions[CustomerID],"="&amp;A330)</f>
        <v>2</v>
      </c>
      <c r="E330" s="9">
        <f ca="1">_xlfn.MAXIFS(Transactions[Transaction Amount], Transactions[CustomerID],A330)/'Customer Profiles'!$M$10</f>
        <v>3.7124851207426839</v>
      </c>
      <c r="F330" s="1">
        <f t="shared" ca="1" si="21"/>
        <v>2.36</v>
      </c>
      <c r="G330" s="1">
        <f t="shared" ca="1" si="22"/>
        <v>0.3</v>
      </c>
      <c r="H330" s="1">
        <f t="shared" ca="1" si="23"/>
        <v>5.03</v>
      </c>
    </row>
    <row r="331" spans="1:8">
      <c r="A331" s="1">
        <v>326</v>
      </c>
      <c r="B331" s="8">
        <f ca="1">_xlfn.MAXIFS(Transactions[Transaction Date], Transactions[CustomerID],A331)</f>
        <v>43115</v>
      </c>
      <c r="C331" s="1">
        <f t="shared" ca="1" si="20"/>
        <v>1</v>
      </c>
      <c r="D331" s="1">
        <f ca="1">COUNTIF(Transactions[CustomerID],"="&amp;A331)</f>
        <v>1</v>
      </c>
      <c r="E331" s="9">
        <f ca="1">_xlfn.MAXIFS(Transactions[Transaction Amount], Transactions[CustomerID],A331)/'Customer Profiles'!$M$10</f>
        <v>0.41008210612498353</v>
      </c>
      <c r="F331" s="1">
        <f t="shared" ca="1" si="21"/>
        <v>0.24</v>
      </c>
      <c r="G331" s="1">
        <f t="shared" ca="1" si="22"/>
        <v>0.15</v>
      </c>
      <c r="H331" s="1">
        <f t="shared" ca="1" si="23"/>
        <v>0.65</v>
      </c>
    </row>
    <row r="332" spans="1:8">
      <c r="A332" s="1">
        <v>327</v>
      </c>
      <c r="B332" s="8">
        <f ca="1">_xlfn.MAXIFS(Transactions[Transaction Date], Transactions[CustomerID],A332)</f>
        <v>43228</v>
      </c>
      <c r="C332" s="1">
        <f t="shared" ca="1" si="20"/>
        <v>9</v>
      </c>
      <c r="D332" s="1">
        <f ca="1">COUNTIF(Transactions[CustomerID],"="&amp;A332)</f>
        <v>1</v>
      </c>
      <c r="E332" s="9">
        <f ca="1">_xlfn.MAXIFS(Transactions[Transaction Amount], Transactions[CustomerID],A332)/'Customer Profiles'!$M$10</f>
        <v>2.3836583748162652</v>
      </c>
      <c r="F332" s="1">
        <f t="shared" ca="1" si="21"/>
        <v>2.12</v>
      </c>
      <c r="G332" s="1">
        <f t="shared" ca="1" si="22"/>
        <v>0.15</v>
      </c>
      <c r="H332" s="1">
        <f t="shared" ca="1" si="23"/>
        <v>3.83</v>
      </c>
    </row>
    <row r="333" spans="1:8">
      <c r="A333" s="1">
        <v>328</v>
      </c>
      <c r="B333" s="8">
        <f ca="1">_xlfn.MAXIFS(Transactions[Transaction Date], Transactions[CustomerID],A333)</f>
        <v>43019</v>
      </c>
      <c r="C333" s="1">
        <f t="shared" ca="1" si="20"/>
        <v>4</v>
      </c>
      <c r="D333" s="1">
        <f ca="1">COUNTIF(Transactions[CustomerID],"="&amp;A333)</f>
        <v>1</v>
      </c>
      <c r="E333" s="9">
        <f ca="1">_xlfn.MAXIFS(Transactions[Transaction Amount], Transactions[CustomerID],A333)/'Customer Profiles'!$M$10</f>
        <v>8.8068021762828907E-2</v>
      </c>
      <c r="F333" s="1">
        <f t="shared" ca="1" si="21"/>
        <v>0.94</v>
      </c>
      <c r="G333" s="1">
        <f t="shared" ca="1" si="22"/>
        <v>0.15</v>
      </c>
      <c r="H333" s="1">
        <f t="shared" ca="1" si="23"/>
        <v>1.2</v>
      </c>
    </row>
    <row r="334" spans="1:8">
      <c r="A334" s="1">
        <v>329</v>
      </c>
      <c r="B334" s="8">
        <f ca="1">_xlfn.MAXIFS(Transactions[Transaction Date], Transactions[CustomerID],A334)</f>
        <v>43070</v>
      </c>
      <c r="C334" s="1">
        <f t="shared" ca="1" si="20"/>
        <v>3</v>
      </c>
      <c r="D334" s="1">
        <f ca="1">COUNTIF(Transactions[CustomerID],"="&amp;A334)</f>
        <v>2</v>
      </c>
      <c r="E334" s="9">
        <f ca="1">_xlfn.MAXIFS(Transactions[Transaction Amount], Transactions[CustomerID],A334)/'Customer Profiles'!$M$10</f>
        <v>2.1991167626343651</v>
      </c>
      <c r="F334" s="1">
        <f t="shared" ca="1" si="21"/>
        <v>0.71</v>
      </c>
      <c r="G334" s="1">
        <f t="shared" ca="1" si="22"/>
        <v>0.3</v>
      </c>
      <c r="H334" s="1">
        <f t="shared" ca="1" si="23"/>
        <v>2.37</v>
      </c>
    </row>
    <row r="335" spans="1:8">
      <c r="A335" s="1">
        <v>330</v>
      </c>
      <c r="B335" s="8">
        <f ca="1">_xlfn.MAXIFS(Transactions[Transaction Date], Transactions[CustomerID],A335)</f>
        <v>43468</v>
      </c>
      <c r="C335" s="1">
        <f t="shared" ca="1" si="20"/>
        <v>1</v>
      </c>
      <c r="D335" s="1">
        <f ca="1">COUNTIF(Transactions[CustomerID],"="&amp;A335)</f>
        <v>8</v>
      </c>
      <c r="E335" s="9">
        <f ca="1">_xlfn.MAXIFS(Transactions[Transaction Amount], Transactions[CustomerID],A335)/'Customer Profiles'!$M$10</f>
        <v>1.8029419522431576</v>
      </c>
      <c r="F335" s="1">
        <f t="shared" ca="1" si="21"/>
        <v>0.24</v>
      </c>
      <c r="G335" s="1">
        <f t="shared" ca="1" si="22"/>
        <v>1.2</v>
      </c>
      <c r="H335" s="1">
        <f t="shared" ca="1" si="23"/>
        <v>2.5299999999999998</v>
      </c>
    </row>
    <row r="336" spans="1:8">
      <c r="A336" s="1">
        <v>331</v>
      </c>
      <c r="B336" s="8">
        <f ca="1">_xlfn.MAXIFS(Transactions[Transaction Date], Transactions[CustomerID],A336)</f>
        <v>43458</v>
      </c>
      <c r="C336" s="1">
        <f t="shared" ca="1" si="20"/>
        <v>2</v>
      </c>
      <c r="D336" s="1">
        <f ca="1">COUNTIF(Transactions[CustomerID],"="&amp;A336)</f>
        <v>2</v>
      </c>
      <c r="E336" s="9">
        <f ca="1">_xlfn.MAXIFS(Transactions[Transaction Amount], Transactions[CustomerID],A336)/'Customer Profiles'!$M$10</f>
        <v>0.640729261615815</v>
      </c>
      <c r="F336" s="1">
        <f t="shared" ca="1" si="21"/>
        <v>0.47</v>
      </c>
      <c r="G336" s="1">
        <f t="shared" ca="1" si="22"/>
        <v>0.3</v>
      </c>
      <c r="H336" s="1">
        <f t="shared" ca="1" si="23"/>
        <v>1.18</v>
      </c>
    </row>
    <row r="337" spans="1:8">
      <c r="A337" s="1">
        <v>332</v>
      </c>
      <c r="B337" s="8">
        <f ca="1">_xlfn.MAXIFS(Transactions[Transaction Date], Transactions[CustomerID],A337)</f>
        <v>42972</v>
      </c>
      <c r="C337" s="1">
        <f t="shared" ca="1" si="20"/>
        <v>6</v>
      </c>
      <c r="D337" s="1">
        <f ca="1">COUNTIF(Transactions[CustomerID],"="&amp;A337)</f>
        <v>1</v>
      </c>
      <c r="E337" s="9">
        <f ca="1">_xlfn.MAXIFS(Transactions[Transaction Amount], Transactions[CustomerID],A337)/'Customer Profiles'!$M$10</f>
        <v>1.4294341413008249</v>
      </c>
      <c r="F337" s="1">
        <f t="shared" ca="1" si="21"/>
        <v>1.42</v>
      </c>
      <c r="G337" s="1">
        <f t="shared" ca="1" si="22"/>
        <v>0.15</v>
      </c>
      <c r="H337" s="1">
        <f t="shared" ca="1" si="23"/>
        <v>2.5099999999999998</v>
      </c>
    </row>
    <row r="338" spans="1:8">
      <c r="A338" s="1">
        <v>333</v>
      </c>
      <c r="B338" s="8">
        <f ca="1">_xlfn.MAXIFS(Transactions[Transaction Date], Transactions[CustomerID],A338)</f>
        <v>43383</v>
      </c>
      <c r="C338" s="1">
        <f t="shared" ca="1" si="20"/>
        <v>4</v>
      </c>
      <c r="D338" s="1">
        <f ca="1">COUNTIF(Transactions[CustomerID],"="&amp;A338)</f>
        <v>1</v>
      </c>
      <c r="E338" s="9">
        <f ca="1">_xlfn.MAXIFS(Transactions[Transaction Amount], Transactions[CustomerID],A338)/'Customer Profiles'!$M$10</f>
        <v>0.75220926433801061</v>
      </c>
      <c r="F338" s="1">
        <f t="shared" ca="1" si="21"/>
        <v>0.94</v>
      </c>
      <c r="G338" s="1">
        <f t="shared" ca="1" si="22"/>
        <v>0.15</v>
      </c>
      <c r="H338" s="1">
        <f t="shared" ca="1" si="23"/>
        <v>1.6</v>
      </c>
    </row>
    <row r="339" spans="1:8">
      <c r="A339" s="1">
        <v>334</v>
      </c>
      <c r="B339" s="8">
        <f ca="1">_xlfn.MAXIFS(Transactions[Transaction Date], Transactions[CustomerID],A339)</f>
        <v>43467</v>
      </c>
      <c r="C339" s="1">
        <f t="shared" ca="1" si="20"/>
        <v>1</v>
      </c>
      <c r="D339" s="1">
        <f ca="1">COUNTIF(Transactions[CustomerID],"="&amp;A339)</f>
        <v>38</v>
      </c>
      <c r="E339" s="9">
        <f ca="1">_xlfn.MAXIFS(Transactions[Transaction Amount], Transactions[CustomerID],A339)/'Customer Profiles'!$M$10</f>
        <v>5.8221097524048027</v>
      </c>
      <c r="F339" s="1">
        <f t="shared" ca="1" si="21"/>
        <v>0.24</v>
      </c>
      <c r="G339" s="1">
        <f t="shared" ca="1" si="22"/>
        <v>5.7</v>
      </c>
      <c r="H339" s="1">
        <f t="shared" ca="1" si="23"/>
        <v>9.44</v>
      </c>
    </row>
    <row r="340" spans="1:8">
      <c r="A340" s="1">
        <v>335</v>
      </c>
      <c r="B340" s="8">
        <f ca="1">_xlfn.MAXIFS(Transactions[Transaction Date], Transactions[CustomerID],A340)</f>
        <v>43464</v>
      </c>
      <c r="C340" s="1">
        <f t="shared" ca="1" si="20"/>
        <v>2</v>
      </c>
      <c r="D340" s="1">
        <f ca="1">COUNTIF(Transactions[CustomerID],"="&amp;A340)</f>
        <v>2</v>
      </c>
      <c r="E340" s="9">
        <f ca="1">_xlfn.MAXIFS(Transactions[Transaction Amount], Transactions[CustomerID],A340)/'Customer Profiles'!$M$10</f>
        <v>9.7415120389793025E-2</v>
      </c>
      <c r="F340" s="1">
        <f t="shared" ca="1" si="21"/>
        <v>0.47</v>
      </c>
      <c r="G340" s="1">
        <f t="shared" ca="1" si="22"/>
        <v>0.3</v>
      </c>
      <c r="H340" s="1">
        <f t="shared" ca="1" si="23"/>
        <v>0.86</v>
      </c>
    </row>
    <row r="341" spans="1:8">
      <c r="A341" s="1">
        <v>336</v>
      </c>
      <c r="B341" s="8">
        <f ca="1">_xlfn.MAXIFS(Transactions[Transaction Date], Transactions[CustomerID],A341)</f>
        <v>43000</v>
      </c>
      <c r="C341" s="1">
        <f t="shared" ca="1" si="20"/>
        <v>5</v>
      </c>
      <c r="D341" s="1">
        <f ca="1">COUNTIF(Transactions[CustomerID],"="&amp;A341)</f>
        <v>1</v>
      </c>
      <c r="E341" s="9">
        <f ca="1">_xlfn.MAXIFS(Transactions[Transaction Amount], Transactions[CustomerID],A341)/'Customer Profiles'!$M$10</f>
        <v>3.2277910399903673</v>
      </c>
      <c r="F341" s="1">
        <f t="shared" ca="1" si="21"/>
        <v>1.18</v>
      </c>
      <c r="G341" s="1">
        <f t="shared" ca="1" si="22"/>
        <v>0.15</v>
      </c>
      <c r="H341" s="1">
        <f t="shared" ca="1" si="23"/>
        <v>3.34</v>
      </c>
    </row>
    <row r="342" spans="1:8">
      <c r="A342" s="1">
        <v>337</v>
      </c>
      <c r="B342" s="8">
        <f ca="1">_xlfn.MAXIFS(Transactions[Transaction Date], Transactions[CustomerID],A342)</f>
        <v>43036</v>
      </c>
      <c r="C342" s="1">
        <f t="shared" ca="1" si="20"/>
        <v>4</v>
      </c>
      <c r="D342" s="1">
        <f ca="1">COUNTIF(Transactions[CustomerID],"="&amp;A342)</f>
        <v>1</v>
      </c>
      <c r="E342" s="9">
        <f ca="1">_xlfn.MAXIFS(Transactions[Transaction Amount], Transactions[CustomerID],A342)/'Customer Profiles'!$M$10</f>
        <v>0.41009270594924058</v>
      </c>
      <c r="F342" s="1">
        <f t="shared" ca="1" si="21"/>
        <v>0.94</v>
      </c>
      <c r="G342" s="1">
        <f t="shared" ca="1" si="22"/>
        <v>0.15</v>
      </c>
      <c r="H342" s="1">
        <f t="shared" ca="1" si="23"/>
        <v>1.4</v>
      </c>
    </row>
    <row r="343" spans="1:8">
      <c r="A343" s="1">
        <v>338</v>
      </c>
      <c r="B343" s="8">
        <f ca="1">_xlfn.MAXIFS(Transactions[Transaction Date], Transactions[CustomerID],A343)</f>
        <v>43284</v>
      </c>
      <c r="C343" s="1">
        <f t="shared" ca="1" si="20"/>
        <v>7</v>
      </c>
      <c r="D343" s="1">
        <f ca="1">COUNTIF(Transactions[CustomerID],"="&amp;A343)</f>
        <v>2</v>
      </c>
      <c r="E343" s="9">
        <f ca="1">_xlfn.MAXIFS(Transactions[Transaction Amount], Transactions[CustomerID],A343)/'Customer Profiles'!$M$10</f>
        <v>2.5225039514323324</v>
      </c>
      <c r="F343" s="1">
        <f t="shared" ca="1" si="21"/>
        <v>1.65</v>
      </c>
      <c r="G343" s="1">
        <f t="shared" ca="1" si="22"/>
        <v>0.3</v>
      </c>
      <c r="H343" s="1">
        <f t="shared" ca="1" si="23"/>
        <v>3.56</v>
      </c>
    </row>
    <row r="344" spans="1:8">
      <c r="A344" s="1">
        <v>339</v>
      </c>
      <c r="B344" s="8">
        <f ca="1">_xlfn.MAXIFS(Transactions[Transaction Date], Transactions[CustomerID],A344)</f>
        <v>43144</v>
      </c>
      <c r="C344" s="1">
        <f t="shared" ca="1" si="20"/>
        <v>1</v>
      </c>
      <c r="D344" s="1">
        <f ca="1">COUNTIF(Transactions[CustomerID],"="&amp;A344)</f>
        <v>1</v>
      </c>
      <c r="E344" s="9">
        <f ca="1">_xlfn.MAXIFS(Transactions[Transaction Amount], Transactions[CustomerID],A344)/'Customer Profiles'!$M$10</f>
        <v>1.5637213566934345</v>
      </c>
      <c r="F344" s="1">
        <f t="shared" ca="1" si="21"/>
        <v>0.24</v>
      </c>
      <c r="G344" s="1">
        <f t="shared" ca="1" si="22"/>
        <v>0.15</v>
      </c>
      <c r="H344" s="1">
        <f t="shared" ca="1" si="23"/>
        <v>1.34</v>
      </c>
    </row>
    <row r="345" spans="1:8">
      <c r="A345" s="1">
        <v>340</v>
      </c>
      <c r="B345" s="8">
        <f ca="1">_xlfn.MAXIFS(Transactions[Transaction Date], Transactions[CustomerID],A345)</f>
        <v>43437</v>
      </c>
      <c r="C345" s="1">
        <f t="shared" ca="1" si="20"/>
        <v>2</v>
      </c>
      <c r="D345" s="1">
        <f ca="1">COUNTIF(Transactions[CustomerID],"="&amp;A345)</f>
        <v>7</v>
      </c>
      <c r="E345" s="9">
        <f ca="1">_xlfn.MAXIFS(Transactions[Transaction Amount], Transactions[CustomerID],A345)/'Customer Profiles'!$M$10</f>
        <v>1.9925603535871736</v>
      </c>
      <c r="F345" s="1">
        <f t="shared" ca="1" si="21"/>
        <v>0.47</v>
      </c>
      <c r="G345" s="1">
        <f t="shared" ca="1" si="22"/>
        <v>1.05</v>
      </c>
      <c r="H345" s="1">
        <f t="shared" ca="1" si="23"/>
        <v>2.75</v>
      </c>
    </row>
    <row r="346" spans="1:8">
      <c r="A346" s="1">
        <v>341</v>
      </c>
      <c r="B346" s="8">
        <f ca="1">_xlfn.MAXIFS(Transactions[Transaction Date], Transactions[CustomerID],A346)</f>
        <v>42739</v>
      </c>
      <c r="C346" s="1">
        <f t="shared" ca="1" si="20"/>
        <v>1</v>
      </c>
      <c r="D346" s="1">
        <f ca="1">COUNTIF(Transactions[CustomerID],"="&amp;A346)</f>
        <v>1</v>
      </c>
      <c r="E346" s="9">
        <f ca="1">_xlfn.MAXIFS(Transactions[Transaction Amount], Transactions[CustomerID],A346)/'Customer Profiles'!$M$10</f>
        <v>0.23926905817259553</v>
      </c>
      <c r="F346" s="1">
        <f t="shared" ca="1" si="21"/>
        <v>0.24</v>
      </c>
      <c r="G346" s="1">
        <f t="shared" ca="1" si="22"/>
        <v>0.15</v>
      </c>
      <c r="H346" s="1">
        <f t="shared" ca="1" si="23"/>
        <v>0.54</v>
      </c>
    </row>
    <row r="347" spans="1:8">
      <c r="A347" s="1">
        <v>342</v>
      </c>
      <c r="B347" s="8">
        <f ca="1">_xlfn.MAXIFS(Transactions[Transaction Date], Transactions[CustomerID],A347)</f>
        <v>42782</v>
      </c>
      <c r="C347" s="1">
        <f t="shared" ca="1" si="20"/>
        <v>1</v>
      </c>
      <c r="D347" s="1">
        <f ca="1">COUNTIF(Transactions[CustomerID],"="&amp;A347)</f>
        <v>1</v>
      </c>
      <c r="E347" s="9">
        <f ca="1">_xlfn.MAXIFS(Transactions[Transaction Amount], Transactions[CustomerID],A347)/'Customer Profiles'!$M$10</f>
        <v>1.5997864248371747</v>
      </c>
      <c r="F347" s="1">
        <f t="shared" ca="1" si="21"/>
        <v>0.24</v>
      </c>
      <c r="G347" s="1">
        <f t="shared" ca="1" si="22"/>
        <v>0.15</v>
      </c>
      <c r="H347" s="1">
        <f t="shared" ca="1" si="23"/>
        <v>1.36</v>
      </c>
    </row>
    <row r="348" spans="1:8">
      <c r="A348" s="1">
        <v>343</v>
      </c>
      <c r="B348" s="8">
        <f ca="1">_xlfn.MAXIFS(Transactions[Transaction Date], Transactions[CustomerID],A348)</f>
        <v>43143</v>
      </c>
      <c r="C348" s="1">
        <f t="shared" ca="1" si="20"/>
        <v>1</v>
      </c>
      <c r="D348" s="1">
        <f ca="1">COUNTIF(Transactions[CustomerID],"="&amp;A348)</f>
        <v>1</v>
      </c>
      <c r="E348" s="9">
        <f ca="1">_xlfn.MAXIFS(Transactions[Transaction Amount], Transactions[CustomerID],A348)/'Customer Profiles'!$M$10</f>
        <v>0.20342092859160399</v>
      </c>
      <c r="F348" s="1">
        <f t="shared" ca="1" si="21"/>
        <v>0.24</v>
      </c>
      <c r="G348" s="1">
        <f t="shared" ca="1" si="22"/>
        <v>0.15</v>
      </c>
      <c r="H348" s="1">
        <f t="shared" ca="1" si="23"/>
        <v>0.52</v>
      </c>
    </row>
    <row r="349" spans="1:8">
      <c r="A349" s="1">
        <v>344</v>
      </c>
      <c r="B349" s="8">
        <f ca="1">_xlfn.MAXIFS(Transactions[Transaction Date], Transactions[CustomerID],A349)</f>
        <v>43193</v>
      </c>
      <c r="C349" s="1">
        <f t="shared" ca="1" si="20"/>
        <v>10</v>
      </c>
      <c r="D349" s="1">
        <f ca="1">COUNTIF(Transactions[CustomerID],"="&amp;A349)</f>
        <v>1</v>
      </c>
      <c r="E349" s="9">
        <f ca="1">_xlfn.MAXIFS(Transactions[Transaction Amount], Transactions[CustomerID],A349)/'Customer Profiles'!$M$10</f>
        <v>0.27020191744590311</v>
      </c>
      <c r="F349" s="1">
        <f t="shared" ca="1" si="21"/>
        <v>2.36</v>
      </c>
      <c r="G349" s="1">
        <f t="shared" ca="1" si="22"/>
        <v>0.15</v>
      </c>
      <c r="H349" s="1">
        <f t="shared" ca="1" si="23"/>
        <v>2.81</v>
      </c>
    </row>
    <row r="350" spans="1:8">
      <c r="A350" s="1">
        <v>345</v>
      </c>
      <c r="B350" s="8">
        <f ca="1">_xlfn.MAXIFS(Transactions[Transaction Date], Transactions[CustomerID],A350)</f>
        <v>42923</v>
      </c>
      <c r="C350" s="1">
        <f t="shared" ca="1" si="20"/>
        <v>7</v>
      </c>
      <c r="D350" s="1">
        <f ca="1">COUNTIF(Transactions[CustomerID],"="&amp;A350)</f>
        <v>1</v>
      </c>
      <c r="E350" s="9">
        <f ca="1">_xlfn.MAXIFS(Transactions[Transaction Amount], Transactions[CustomerID],A350)/'Customer Profiles'!$M$10</f>
        <v>1.8731373242916278</v>
      </c>
      <c r="F350" s="1">
        <f t="shared" ca="1" si="21"/>
        <v>1.65</v>
      </c>
      <c r="G350" s="1">
        <f t="shared" ca="1" si="22"/>
        <v>0.15</v>
      </c>
      <c r="H350" s="1">
        <f t="shared" ca="1" si="23"/>
        <v>3.02</v>
      </c>
    </row>
    <row r="351" spans="1:8">
      <c r="A351" s="1">
        <v>346</v>
      </c>
      <c r="B351" s="8">
        <f ca="1">_xlfn.MAXIFS(Transactions[Transaction Date], Transactions[CustomerID],A351)</f>
        <v>43358</v>
      </c>
      <c r="C351" s="1">
        <f t="shared" ca="1" si="20"/>
        <v>5</v>
      </c>
      <c r="D351" s="1">
        <f ca="1">COUNTIF(Transactions[CustomerID],"="&amp;A351)</f>
        <v>3</v>
      </c>
      <c r="E351" s="9">
        <f ca="1">_xlfn.MAXIFS(Transactions[Transaction Amount], Transactions[CustomerID],A351)/'Customer Profiles'!$M$10</f>
        <v>2.2588445328602309</v>
      </c>
      <c r="F351" s="1">
        <f t="shared" ca="1" si="21"/>
        <v>1.18</v>
      </c>
      <c r="G351" s="1">
        <f t="shared" ca="1" si="22"/>
        <v>0.45</v>
      </c>
      <c r="H351" s="1">
        <f t="shared" ca="1" si="23"/>
        <v>3.06</v>
      </c>
    </row>
    <row r="352" spans="1:8">
      <c r="A352" s="1">
        <v>347</v>
      </c>
      <c r="B352" s="8">
        <f ca="1">_xlfn.MAXIFS(Transactions[Transaction Date], Transactions[CustomerID],A352)</f>
        <v>43447</v>
      </c>
      <c r="C352" s="1">
        <f t="shared" ca="1" si="20"/>
        <v>2</v>
      </c>
      <c r="D352" s="1">
        <f ca="1">COUNTIF(Transactions[CustomerID],"="&amp;A352)</f>
        <v>3</v>
      </c>
      <c r="E352" s="9">
        <f ca="1">_xlfn.MAXIFS(Transactions[Transaction Amount], Transactions[CustomerID],A352)/'Customer Profiles'!$M$10</f>
        <v>2.1392772920896137</v>
      </c>
      <c r="F352" s="1">
        <f t="shared" ca="1" si="21"/>
        <v>0.47</v>
      </c>
      <c r="G352" s="1">
        <f t="shared" ca="1" si="22"/>
        <v>0.45</v>
      </c>
      <c r="H352" s="1">
        <f t="shared" ca="1" si="23"/>
        <v>2.23</v>
      </c>
    </row>
    <row r="353" spans="1:8">
      <c r="A353" s="1">
        <v>348</v>
      </c>
      <c r="B353" s="8">
        <f ca="1">_xlfn.MAXIFS(Transactions[Transaction Date], Transactions[CustomerID],A353)</f>
        <v>42946</v>
      </c>
      <c r="C353" s="1">
        <f t="shared" ca="1" si="20"/>
        <v>7</v>
      </c>
      <c r="D353" s="1">
        <f ca="1">COUNTIF(Transactions[CustomerID],"="&amp;A353)</f>
        <v>3</v>
      </c>
      <c r="E353" s="9">
        <f ca="1">_xlfn.MAXIFS(Transactions[Transaction Amount], Transactions[CustomerID],A353)/'Customer Profiles'!$M$10</f>
        <v>2.0255121360467698</v>
      </c>
      <c r="F353" s="1">
        <f t="shared" ca="1" si="21"/>
        <v>1.65</v>
      </c>
      <c r="G353" s="1">
        <f t="shared" ca="1" si="22"/>
        <v>0.45</v>
      </c>
      <c r="H353" s="1">
        <f t="shared" ca="1" si="23"/>
        <v>3.42</v>
      </c>
    </row>
    <row r="354" spans="1:8">
      <c r="A354" s="1">
        <v>349</v>
      </c>
      <c r="B354" s="8">
        <f ca="1">_xlfn.MAXIFS(Transactions[Transaction Date], Transactions[CustomerID],A354)</f>
        <v>43334</v>
      </c>
      <c r="C354" s="1">
        <f t="shared" ca="1" si="20"/>
        <v>6</v>
      </c>
      <c r="D354" s="1">
        <f ca="1">COUNTIF(Transactions[CustomerID],"="&amp;A354)</f>
        <v>1</v>
      </c>
      <c r="E354" s="9">
        <f ca="1">_xlfn.MAXIFS(Transactions[Transaction Amount], Transactions[CustomerID],A354)/'Customer Profiles'!$M$10</f>
        <v>0.22037396515063976</v>
      </c>
      <c r="F354" s="1">
        <f t="shared" ca="1" si="21"/>
        <v>1.42</v>
      </c>
      <c r="G354" s="1">
        <f t="shared" ca="1" si="22"/>
        <v>0.15</v>
      </c>
      <c r="H354" s="1">
        <f t="shared" ca="1" si="23"/>
        <v>1.78</v>
      </c>
    </row>
    <row r="355" spans="1:8">
      <c r="A355" s="1">
        <v>350</v>
      </c>
      <c r="B355" s="8">
        <f ca="1">_xlfn.MAXIFS(Transactions[Transaction Date], Transactions[CustomerID],A355)</f>
        <v>42765</v>
      </c>
      <c r="C355" s="1">
        <f t="shared" ca="1" si="20"/>
        <v>1</v>
      </c>
      <c r="D355" s="1">
        <f ca="1">COUNTIF(Transactions[CustomerID],"="&amp;A355)</f>
        <v>1</v>
      </c>
      <c r="E355" s="9">
        <f ca="1">_xlfn.MAXIFS(Transactions[Transaction Amount], Transactions[CustomerID],A355)/'Customer Profiles'!$M$10</f>
        <v>0.95558464860736192</v>
      </c>
      <c r="F355" s="1">
        <f t="shared" ca="1" si="21"/>
        <v>0.24</v>
      </c>
      <c r="G355" s="1">
        <f t="shared" ca="1" si="22"/>
        <v>0.15</v>
      </c>
      <c r="H355" s="1">
        <f t="shared" ca="1" si="23"/>
        <v>0.97</v>
      </c>
    </row>
    <row r="356" spans="1:8">
      <c r="A356" s="1">
        <v>351</v>
      </c>
      <c r="B356" s="8">
        <f ca="1">_xlfn.MAXIFS(Transactions[Transaction Date], Transactions[CustomerID],A356)</f>
        <v>42959</v>
      </c>
      <c r="C356" s="1">
        <f t="shared" ca="1" si="20"/>
        <v>6</v>
      </c>
      <c r="D356" s="1">
        <f ca="1">COUNTIF(Transactions[CustomerID],"="&amp;A356)</f>
        <v>2</v>
      </c>
      <c r="E356" s="9">
        <f ca="1">_xlfn.MAXIFS(Transactions[Transaction Amount], Transactions[CustomerID],A356)/'Customer Profiles'!$M$10</f>
        <v>0.51261753850207437</v>
      </c>
      <c r="F356" s="1">
        <f t="shared" ca="1" si="21"/>
        <v>1.42</v>
      </c>
      <c r="G356" s="1">
        <f t="shared" ca="1" si="22"/>
        <v>0.3</v>
      </c>
      <c r="H356" s="1">
        <f t="shared" ca="1" si="23"/>
        <v>2.11</v>
      </c>
    </row>
    <row r="357" spans="1:8">
      <c r="A357" s="1">
        <v>352</v>
      </c>
      <c r="B357" s="8">
        <f ca="1">_xlfn.MAXIFS(Transactions[Transaction Date], Transactions[CustomerID],A357)</f>
        <v>43418</v>
      </c>
      <c r="C357" s="1">
        <f t="shared" ca="1" si="20"/>
        <v>3</v>
      </c>
      <c r="D357" s="1">
        <f ca="1">COUNTIF(Transactions[CustomerID],"="&amp;A357)</f>
        <v>1</v>
      </c>
      <c r="E357" s="9">
        <f ca="1">_xlfn.MAXIFS(Transactions[Transaction Amount], Transactions[CustomerID],A357)/'Customer Profiles'!$M$10</f>
        <v>0.89629134953210443</v>
      </c>
      <c r="F357" s="1">
        <f t="shared" ca="1" si="21"/>
        <v>0.71</v>
      </c>
      <c r="G357" s="1">
        <f t="shared" ca="1" si="22"/>
        <v>0.15</v>
      </c>
      <c r="H357" s="1">
        <f t="shared" ca="1" si="23"/>
        <v>1.44</v>
      </c>
    </row>
    <row r="358" spans="1:8">
      <c r="A358" s="1">
        <v>353</v>
      </c>
      <c r="B358" s="8">
        <f ca="1">_xlfn.MAXIFS(Transactions[Transaction Date], Transactions[CustomerID],A358)</f>
        <v>42894</v>
      </c>
      <c r="C358" s="1">
        <f t="shared" ca="1" si="20"/>
        <v>8</v>
      </c>
      <c r="D358" s="1">
        <f ca="1">COUNTIF(Transactions[CustomerID],"="&amp;A358)</f>
        <v>1</v>
      </c>
      <c r="E358" s="9">
        <f ca="1">_xlfn.MAXIFS(Transactions[Transaction Amount], Transactions[CustomerID],A358)/'Customer Profiles'!$M$10</f>
        <v>0.54094500504715515</v>
      </c>
      <c r="F358" s="1">
        <f t="shared" ca="1" si="21"/>
        <v>1.89</v>
      </c>
      <c r="G358" s="1">
        <f t="shared" ca="1" si="22"/>
        <v>0.15</v>
      </c>
      <c r="H358" s="1">
        <f t="shared" ca="1" si="23"/>
        <v>2.4700000000000002</v>
      </c>
    </row>
    <row r="359" spans="1:8">
      <c r="A359" s="1">
        <v>354</v>
      </c>
      <c r="B359" s="8">
        <f ca="1">_xlfn.MAXIFS(Transactions[Transaction Date], Transactions[CustomerID],A359)</f>
        <v>43407</v>
      </c>
      <c r="C359" s="1">
        <f t="shared" ca="1" si="20"/>
        <v>3</v>
      </c>
      <c r="D359" s="1">
        <f ca="1">COUNTIF(Transactions[CustomerID],"="&amp;A359)</f>
        <v>5</v>
      </c>
      <c r="E359" s="9">
        <f ca="1">_xlfn.MAXIFS(Transactions[Transaction Amount], Transactions[CustomerID],A359)/'Customer Profiles'!$M$10</f>
        <v>1.6420120365139947</v>
      </c>
      <c r="F359" s="1">
        <f t="shared" ca="1" si="21"/>
        <v>0.71</v>
      </c>
      <c r="G359" s="1">
        <f t="shared" ca="1" si="22"/>
        <v>0.75</v>
      </c>
      <c r="H359" s="1">
        <f t="shared" ca="1" si="23"/>
        <v>2.4900000000000002</v>
      </c>
    </row>
    <row r="360" spans="1:8">
      <c r="A360" s="1">
        <v>355</v>
      </c>
      <c r="B360" s="8">
        <f ca="1">_xlfn.MAXIFS(Transactions[Transaction Date], Transactions[CustomerID],A360)</f>
        <v>43133</v>
      </c>
      <c r="C360" s="1">
        <f t="shared" ca="1" si="20"/>
        <v>1</v>
      </c>
      <c r="D360" s="1">
        <f ca="1">COUNTIF(Transactions[CustomerID],"="&amp;A360)</f>
        <v>1</v>
      </c>
      <c r="E360" s="9">
        <f ca="1">_xlfn.MAXIFS(Transactions[Transaction Amount], Transactions[CustomerID],A360)/'Customer Profiles'!$M$10</f>
        <v>0.69884099048377535</v>
      </c>
      <c r="F360" s="1">
        <f t="shared" ca="1" si="21"/>
        <v>0.24</v>
      </c>
      <c r="G360" s="1">
        <f t="shared" ca="1" si="22"/>
        <v>0.15</v>
      </c>
      <c r="H360" s="1">
        <f t="shared" ca="1" si="23"/>
        <v>0.82</v>
      </c>
    </row>
    <row r="361" spans="1:8">
      <c r="A361" s="1">
        <v>356</v>
      </c>
      <c r="B361" s="8">
        <f ca="1">_xlfn.MAXIFS(Transactions[Transaction Date], Transactions[CustomerID],A361)</f>
        <v>43028</v>
      </c>
      <c r="C361" s="1">
        <f t="shared" ca="1" si="20"/>
        <v>4</v>
      </c>
      <c r="D361" s="1">
        <f ca="1">COUNTIF(Transactions[CustomerID],"="&amp;A361)</f>
        <v>1</v>
      </c>
      <c r="E361" s="9">
        <f ca="1">_xlfn.MAXIFS(Transactions[Transaction Amount], Transactions[CustomerID],A361)/'Customer Profiles'!$M$10</f>
        <v>8.8583351099944377E-2</v>
      </c>
      <c r="F361" s="1">
        <f t="shared" ca="1" si="21"/>
        <v>0.94</v>
      </c>
      <c r="G361" s="1">
        <f t="shared" ca="1" si="22"/>
        <v>0.15</v>
      </c>
      <c r="H361" s="1">
        <f t="shared" ca="1" si="23"/>
        <v>1.2</v>
      </c>
    </row>
    <row r="362" spans="1:8">
      <c r="A362" s="1">
        <v>357</v>
      </c>
      <c r="B362" s="8">
        <f ca="1">_xlfn.MAXIFS(Transactions[Transaction Date], Transactions[CustomerID],A362)</f>
        <v>42960</v>
      </c>
      <c r="C362" s="1">
        <f t="shared" ca="1" si="20"/>
        <v>6</v>
      </c>
      <c r="D362" s="1">
        <f ca="1">COUNTIF(Transactions[CustomerID],"="&amp;A362)</f>
        <v>1</v>
      </c>
      <c r="E362" s="9">
        <f ca="1">_xlfn.MAXIFS(Transactions[Transaction Amount], Transactions[CustomerID],A362)/'Customer Profiles'!$M$10</f>
        <v>8.2040234079793245E-2</v>
      </c>
      <c r="F362" s="1">
        <f t="shared" ca="1" si="21"/>
        <v>1.42</v>
      </c>
      <c r="G362" s="1">
        <f t="shared" ca="1" si="22"/>
        <v>0.15</v>
      </c>
      <c r="H362" s="1">
        <f t="shared" ca="1" si="23"/>
        <v>1.7</v>
      </c>
    </row>
    <row r="363" spans="1:8">
      <c r="A363" s="1">
        <v>358</v>
      </c>
      <c r="B363" s="8">
        <f ca="1">_xlfn.MAXIFS(Transactions[Transaction Date], Transactions[CustomerID],A363)</f>
        <v>43248</v>
      </c>
      <c r="C363" s="1">
        <f t="shared" ca="1" si="20"/>
        <v>9</v>
      </c>
      <c r="D363" s="1">
        <f ca="1">COUNTIF(Transactions[CustomerID],"="&amp;A363)</f>
        <v>2</v>
      </c>
      <c r="E363" s="9">
        <f ca="1">_xlfn.MAXIFS(Transactions[Transaction Amount], Transactions[CustomerID],A363)/'Customer Profiles'!$M$10</f>
        <v>0.74792955272389616</v>
      </c>
      <c r="F363" s="1">
        <f t="shared" ca="1" si="21"/>
        <v>2.12</v>
      </c>
      <c r="G363" s="1">
        <f t="shared" ca="1" si="22"/>
        <v>0.3</v>
      </c>
      <c r="H363" s="1">
        <f t="shared" ca="1" si="23"/>
        <v>3</v>
      </c>
    </row>
    <row r="364" spans="1:8">
      <c r="A364" s="1">
        <v>359</v>
      </c>
      <c r="B364" s="8">
        <f ca="1">_xlfn.MAXIFS(Transactions[Transaction Date], Transactions[CustomerID],A364)</f>
        <v>42999</v>
      </c>
      <c r="C364" s="1">
        <f t="shared" ca="1" si="20"/>
        <v>5</v>
      </c>
      <c r="D364" s="1">
        <f ca="1">COUNTIF(Transactions[CustomerID],"="&amp;A364)</f>
        <v>1</v>
      </c>
      <c r="E364" s="9">
        <f ca="1">_xlfn.MAXIFS(Transactions[Transaction Amount], Transactions[CustomerID],A364)/'Customer Profiles'!$M$10</f>
        <v>0.23501655344994093</v>
      </c>
      <c r="F364" s="1">
        <f t="shared" ca="1" si="21"/>
        <v>1.18</v>
      </c>
      <c r="G364" s="1">
        <f t="shared" ca="1" si="22"/>
        <v>0.15</v>
      </c>
      <c r="H364" s="1">
        <f t="shared" ca="1" si="23"/>
        <v>1.54</v>
      </c>
    </row>
    <row r="365" spans="1:8">
      <c r="A365" s="1">
        <v>360</v>
      </c>
      <c r="B365" s="8">
        <f ca="1">_xlfn.MAXIFS(Transactions[Transaction Date], Transactions[CustomerID],A365)</f>
        <v>43107</v>
      </c>
      <c r="C365" s="1">
        <f t="shared" ca="1" si="20"/>
        <v>1</v>
      </c>
      <c r="D365" s="1">
        <f ca="1">COUNTIF(Transactions[CustomerID],"="&amp;A365)</f>
        <v>1</v>
      </c>
      <c r="E365" s="9">
        <f ca="1">_xlfn.MAXIFS(Transactions[Transaction Amount], Transactions[CustomerID],A365)/'Customer Profiles'!$M$10</f>
        <v>2.5589962526064669</v>
      </c>
      <c r="F365" s="1">
        <f t="shared" ca="1" si="21"/>
        <v>0.24</v>
      </c>
      <c r="G365" s="1">
        <f t="shared" ca="1" si="22"/>
        <v>0.15</v>
      </c>
      <c r="H365" s="1">
        <f t="shared" ca="1" si="23"/>
        <v>1.94</v>
      </c>
    </row>
    <row r="366" spans="1:8">
      <c r="A366" s="1">
        <v>361</v>
      </c>
      <c r="B366" s="8">
        <f ca="1">_xlfn.MAXIFS(Transactions[Transaction Date], Transactions[CustomerID],A366)</f>
        <v>43109</v>
      </c>
      <c r="C366" s="1">
        <f t="shared" ca="1" si="20"/>
        <v>1</v>
      </c>
      <c r="D366" s="1">
        <f ca="1">COUNTIF(Transactions[CustomerID],"="&amp;A366)</f>
        <v>2</v>
      </c>
      <c r="E366" s="9">
        <f ca="1">_xlfn.MAXIFS(Transactions[Transaction Amount], Transactions[CustomerID],A366)/'Customer Profiles'!$M$10</f>
        <v>0.77877258978862707</v>
      </c>
      <c r="F366" s="1">
        <f t="shared" ca="1" si="21"/>
        <v>0.24</v>
      </c>
      <c r="G366" s="1">
        <f t="shared" ca="1" si="22"/>
        <v>0.3</v>
      </c>
      <c r="H366" s="1">
        <f t="shared" ca="1" si="23"/>
        <v>1.02</v>
      </c>
    </row>
    <row r="367" spans="1:8">
      <c r="A367" s="1">
        <v>362</v>
      </c>
      <c r="B367" s="8">
        <f ca="1">_xlfn.MAXIFS(Transactions[Transaction Date], Transactions[CustomerID],A367)</f>
        <v>42772</v>
      </c>
      <c r="C367" s="1">
        <f t="shared" ca="1" si="20"/>
        <v>1</v>
      </c>
      <c r="D367" s="1">
        <f ca="1">COUNTIF(Transactions[CustomerID],"="&amp;A367)</f>
        <v>1</v>
      </c>
      <c r="E367" s="9">
        <f ca="1">_xlfn.MAXIFS(Transactions[Transaction Amount], Transactions[CustomerID],A367)/'Customer Profiles'!$M$10</f>
        <v>0.75333579267015272</v>
      </c>
      <c r="F367" s="1">
        <f t="shared" ca="1" si="21"/>
        <v>0.24</v>
      </c>
      <c r="G367" s="1">
        <f t="shared" ca="1" si="22"/>
        <v>0.15</v>
      </c>
      <c r="H367" s="1">
        <f t="shared" ca="1" si="23"/>
        <v>0.85</v>
      </c>
    </row>
    <row r="368" spans="1:8">
      <c r="A368" s="1">
        <v>363</v>
      </c>
      <c r="B368" s="8">
        <f ca="1">_xlfn.MAXIFS(Transactions[Transaction Date], Transactions[CustomerID],A368)</f>
        <v>43492</v>
      </c>
      <c r="C368" s="1">
        <f t="shared" ca="1" si="20"/>
        <v>1</v>
      </c>
      <c r="D368" s="1">
        <f ca="1">COUNTIF(Transactions[CustomerID],"="&amp;A368)</f>
        <v>88</v>
      </c>
      <c r="E368" s="9">
        <f ca="1">_xlfn.MAXIFS(Transactions[Transaction Amount], Transactions[CustomerID],A368)/'Customer Profiles'!$M$10</f>
        <v>12.058582239378859</v>
      </c>
      <c r="F368" s="1">
        <f t="shared" ca="1" si="21"/>
        <v>0.24</v>
      </c>
      <c r="G368" s="1">
        <f t="shared" ca="1" si="22"/>
        <v>13.19</v>
      </c>
      <c r="H368" s="1">
        <f t="shared" ca="1" si="23"/>
        <v>20.69</v>
      </c>
    </row>
    <row r="369" spans="1:8">
      <c r="A369" s="1">
        <v>364</v>
      </c>
      <c r="B369" s="8">
        <f ca="1">_xlfn.MAXIFS(Transactions[Transaction Date], Transactions[CustomerID],A369)</f>
        <v>43378</v>
      </c>
      <c r="C369" s="1">
        <f t="shared" ca="1" si="20"/>
        <v>4</v>
      </c>
      <c r="D369" s="1">
        <f ca="1">COUNTIF(Transactions[CustomerID],"="&amp;A369)</f>
        <v>1</v>
      </c>
      <c r="E369" s="9">
        <f ca="1">_xlfn.MAXIFS(Transactions[Transaction Amount], Transactions[CustomerID],A369)/'Customer Profiles'!$M$10</f>
        <v>1.7897497397213968</v>
      </c>
      <c r="F369" s="1">
        <f t="shared" ca="1" si="21"/>
        <v>0.94</v>
      </c>
      <c r="G369" s="1">
        <f t="shared" ca="1" si="22"/>
        <v>0.15</v>
      </c>
      <c r="H369" s="1">
        <f t="shared" ca="1" si="23"/>
        <v>2.2200000000000002</v>
      </c>
    </row>
    <row r="370" spans="1:8">
      <c r="A370" s="1">
        <v>365</v>
      </c>
      <c r="B370" s="8">
        <f ca="1">_xlfn.MAXIFS(Transactions[Transaction Date], Transactions[CustomerID],A370)</f>
        <v>43158</v>
      </c>
      <c r="C370" s="1">
        <f t="shared" ca="1" si="20"/>
        <v>1</v>
      </c>
      <c r="D370" s="1">
        <f ca="1">COUNTIF(Transactions[CustomerID],"="&amp;A370)</f>
        <v>1</v>
      </c>
      <c r="E370" s="9">
        <f ca="1">_xlfn.MAXIFS(Transactions[Transaction Amount], Transactions[CustomerID],A370)/'Customer Profiles'!$M$10</f>
        <v>0.41337821002830821</v>
      </c>
      <c r="F370" s="1">
        <f t="shared" ca="1" si="21"/>
        <v>0.24</v>
      </c>
      <c r="G370" s="1">
        <f t="shared" ca="1" si="22"/>
        <v>0.15</v>
      </c>
      <c r="H370" s="1">
        <f t="shared" ca="1" si="23"/>
        <v>0.65</v>
      </c>
    </row>
    <row r="371" spans="1:8">
      <c r="A371" s="1">
        <v>366</v>
      </c>
      <c r="B371" s="8">
        <f ca="1">_xlfn.MAXIFS(Transactions[Transaction Date], Transactions[CustomerID],A371)</f>
        <v>43164</v>
      </c>
      <c r="C371" s="1">
        <f t="shared" ca="1" si="20"/>
        <v>11</v>
      </c>
      <c r="D371" s="1">
        <f ca="1">COUNTIF(Transactions[CustomerID],"="&amp;A371)</f>
        <v>7</v>
      </c>
      <c r="E371" s="9">
        <f ca="1">_xlfn.MAXIFS(Transactions[Transaction Amount], Transactions[CustomerID],A371)/'Customer Profiles'!$M$10</f>
        <v>2.971471459395215</v>
      </c>
      <c r="F371" s="1">
        <f t="shared" ca="1" si="21"/>
        <v>2.59</v>
      </c>
      <c r="G371" s="1">
        <f t="shared" ca="1" si="22"/>
        <v>1.05</v>
      </c>
      <c r="H371" s="1">
        <f t="shared" ca="1" si="23"/>
        <v>5.58</v>
      </c>
    </row>
    <row r="372" spans="1:8">
      <c r="A372" s="1">
        <v>367</v>
      </c>
      <c r="B372" s="8">
        <f ca="1">_xlfn.MAXIFS(Transactions[Transaction Date], Transactions[CustomerID],A372)</f>
        <v>43217</v>
      </c>
      <c r="C372" s="1">
        <f t="shared" ca="1" si="20"/>
        <v>10</v>
      </c>
      <c r="D372" s="1">
        <f ca="1">COUNTIF(Transactions[CustomerID],"="&amp;A372)</f>
        <v>1</v>
      </c>
      <c r="E372" s="9">
        <f ca="1">_xlfn.MAXIFS(Transactions[Transaction Amount], Transactions[CustomerID],A372)/'Customer Profiles'!$M$10</f>
        <v>0.17001985393724636</v>
      </c>
      <c r="F372" s="1">
        <f t="shared" ca="1" si="21"/>
        <v>2.36</v>
      </c>
      <c r="G372" s="1">
        <f t="shared" ca="1" si="22"/>
        <v>0.15</v>
      </c>
      <c r="H372" s="1">
        <f t="shared" ca="1" si="23"/>
        <v>2.75</v>
      </c>
    </row>
    <row r="373" spans="1:8">
      <c r="A373" s="1">
        <v>368</v>
      </c>
      <c r="B373" s="8">
        <f ca="1">_xlfn.MAXIFS(Transactions[Transaction Date], Transactions[CustomerID],A373)</f>
        <v>43178</v>
      </c>
      <c r="C373" s="1">
        <f t="shared" ca="1" si="20"/>
        <v>11</v>
      </c>
      <c r="D373" s="1">
        <f ca="1">COUNTIF(Transactions[CustomerID],"="&amp;A373)</f>
        <v>1</v>
      </c>
      <c r="E373" s="9">
        <f ca="1">_xlfn.MAXIFS(Transactions[Transaction Amount], Transactions[CustomerID],A373)/'Customer Profiles'!$M$10</f>
        <v>2.3790582002990832</v>
      </c>
      <c r="F373" s="1">
        <f t="shared" ca="1" si="21"/>
        <v>2.59</v>
      </c>
      <c r="G373" s="1">
        <f t="shared" ca="1" si="22"/>
        <v>0.15</v>
      </c>
      <c r="H373" s="1">
        <f t="shared" ca="1" si="23"/>
        <v>4.33</v>
      </c>
    </row>
    <row r="374" spans="1:8">
      <c r="A374" s="1">
        <v>369</v>
      </c>
      <c r="B374" s="8">
        <f ca="1">_xlfn.MAXIFS(Transactions[Transaction Date], Transactions[CustomerID],A374)</f>
        <v>43213</v>
      </c>
      <c r="C374" s="1">
        <f t="shared" ca="1" si="20"/>
        <v>10</v>
      </c>
      <c r="D374" s="1">
        <f ca="1">COUNTIF(Transactions[CustomerID],"="&amp;A374)</f>
        <v>1</v>
      </c>
      <c r="E374" s="9">
        <f ca="1">_xlfn.MAXIFS(Transactions[Transaction Amount], Transactions[CustomerID],A374)/'Customer Profiles'!$M$10</f>
        <v>0.75357396284135458</v>
      </c>
      <c r="F374" s="1">
        <f t="shared" ca="1" si="21"/>
        <v>2.36</v>
      </c>
      <c r="G374" s="1">
        <f t="shared" ca="1" si="22"/>
        <v>0.15</v>
      </c>
      <c r="H374" s="1">
        <f t="shared" ca="1" si="23"/>
        <v>3.1</v>
      </c>
    </row>
    <row r="375" spans="1:8">
      <c r="A375" s="1">
        <v>370</v>
      </c>
      <c r="B375" s="8">
        <f ca="1">_xlfn.MAXIFS(Transactions[Transaction Date], Transactions[CustomerID],A375)</f>
        <v>42946</v>
      </c>
      <c r="C375" s="1">
        <f t="shared" ca="1" si="20"/>
        <v>7</v>
      </c>
      <c r="D375" s="1">
        <f ca="1">COUNTIF(Transactions[CustomerID],"="&amp;A375)</f>
        <v>1</v>
      </c>
      <c r="E375" s="9">
        <f ca="1">_xlfn.MAXIFS(Transactions[Transaction Amount], Transactions[CustomerID],A375)/'Customer Profiles'!$M$10</f>
        <v>6.0491975765743375E-2</v>
      </c>
      <c r="F375" s="1">
        <f t="shared" ca="1" si="21"/>
        <v>1.65</v>
      </c>
      <c r="G375" s="1">
        <f t="shared" ca="1" si="22"/>
        <v>0.15</v>
      </c>
      <c r="H375" s="1">
        <f t="shared" ca="1" si="23"/>
        <v>1.94</v>
      </c>
    </row>
    <row r="376" spans="1:8">
      <c r="A376" s="1">
        <v>371</v>
      </c>
      <c r="B376" s="8">
        <f ca="1">_xlfn.MAXIFS(Transactions[Transaction Date], Transactions[CustomerID],A376)</f>
        <v>43445</v>
      </c>
      <c r="C376" s="1">
        <f t="shared" ca="1" si="20"/>
        <v>2</v>
      </c>
      <c r="D376" s="1">
        <f ca="1">COUNTIF(Transactions[CustomerID],"="&amp;A376)</f>
        <v>3</v>
      </c>
      <c r="E376" s="9">
        <f ca="1">_xlfn.MAXIFS(Transactions[Transaction Amount], Transactions[CustomerID],A376)/'Customer Profiles'!$M$10</f>
        <v>5.496154826062134</v>
      </c>
      <c r="F376" s="1">
        <f t="shared" ca="1" si="21"/>
        <v>0.47</v>
      </c>
      <c r="G376" s="1">
        <f t="shared" ca="1" si="22"/>
        <v>0.45</v>
      </c>
      <c r="H376" s="1">
        <f t="shared" ca="1" si="23"/>
        <v>4.25</v>
      </c>
    </row>
    <row r="377" spans="1:8">
      <c r="A377" s="1">
        <v>372</v>
      </c>
      <c r="B377" s="8">
        <f ca="1">_xlfn.MAXIFS(Transactions[Transaction Date], Transactions[CustomerID],A377)</f>
        <v>43071</v>
      </c>
      <c r="C377" s="1">
        <f t="shared" ca="1" si="20"/>
        <v>2</v>
      </c>
      <c r="D377" s="1">
        <f ca="1">COUNTIF(Transactions[CustomerID],"="&amp;A377)</f>
        <v>1</v>
      </c>
      <c r="E377" s="9">
        <f ca="1">_xlfn.MAXIFS(Transactions[Transaction Amount], Transactions[CustomerID],A377)/'Customer Profiles'!$M$10</f>
        <v>5.7277896311918826E-2</v>
      </c>
      <c r="F377" s="1">
        <f t="shared" ca="1" si="21"/>
        <v>0.47</v>
      </c>
      <c r="G377" s="1">
        <f t="shared" ca="1" si="22"/>
        <v>0.15</v>
      </c>
      <c r="H377" s="1">
        <f t="shared" ca="1" si="23"/>
        <v>0.68</v>
      </c>
    </row>
    <row r="378" spans="1:8">
      <c r="A378" s="1">
        <v>373</v>
      </c>
      <c r="B378" s="8">
        <f ca="1">_xlfn.MAXIFS(Transactions[Transaction Date], Transactions[CustomerID],A378)</f>
        <v>43190</v>
      </c>
      <c r="C378" s="1">
        <f t="shared" ca="1" si="20"/>
        <v>11</v>
      </c>
      <c r="D378" s="1">
        <f ca="1">COUNTIF(Transactions[CustomerID],"="&amp;A378)</f>
        <v>1</v>
      </c>
      <c r="E378" s="9">
        <f ca="1">_xlfn.MAXIFS(Transactions[Transaction Amount], Transactions[CustomerID],A378)/'Customer Profiles'!$M$10</f>
        <v>0.14615817585174123</v>
      </c>
      <c r="F378" s="1">
        <f t="shared" ca="1" si="21"/>
        <v>2.59</v>
      </c>
      <c r="G378" s="1">
        <f t="shared" ca="1" si="22"/>
        <v>0.15</v>
      </c>
      <c r="H378" s="1">
        <f t="shared" ca="1" si="23"/>
        <v>2.99</v>
      </c>
    </row>
    <row r="379" spans="1:8">
      <c r="A379" s="1">
        <v>374</v>
      </c>
      <c r="B379" s="8">
        <f ca="1">_xlfn.MAXIFS(Transactions[Transaction Date], Transactions[CustomerID],A379)</f>
        <v>43489</v>
      </c>
      <c r="C379" s="1">
        <f t="shared" ca="1" si="20"/>
        <v>1</v>
      </c>
      <c r="D379" s="1">
        <f ca="1">COUNTIF(Transactions[CustomerID],"="&amp;A379)</f>
        <v>5</v>
      </c>
      <c r="E379" s="9">
        <f ca="1">_xlfn.MAXIFS(Transactions[Transaction Amount], Transactions[CustomerID],A379)/'Customer Profiles'!$M$10</f>
        <v>1.4436028231825169</v>
      </c>
      <c r="F379" s="1">
        <f t="shared" ca="1" si="21"/>
        <v>0.24</v>
      </c>
      <c r="G379" s="1">
        <f t="shared" ca="1" si="22"/>
        <v>0.75</v>
      </c>
      <c r="H379" s="1">
        <f t="shared" ca="1" si="23"/>
        <v>1.87</v>
      </c>
    </row>
    <row r="380" spans="1:8">
      <c r="A380" s="1">
        <v>375</v>
      </c>
      <c r="B380" s="8">
        <f ca="1">_xlfn.MAXIFS(Transactions[Transaction Date], Transactions[CustomerID],A380)</f>
        <v>43021</v>
      </c>
      <c r="C380" s="1">
        <f t="shared" ca="1" si="20"/>
        <v>4</v>
      </c>
      <c r="D380" s="1">
        <f ca="1">COUNTIF(Transactions[CustomerID],"="&amp;A380)</f>
        <v>2</v>
      </c>
      <c r="E380" s="9">
        <f ca="1">_xlfn.MAXIFS(Transactions[Transaction Amount], Transactions[CustomerID],A380)/'Customer Profiles'!$M$10</f>
        <v>0.35712268620119725</v>
      </c>
      <c r="F380" s="1">
        <f t="shared" ca="1" si="21"/>
        <v>0.94</v>
      </c>
      <c r="G380" s="1">
        <f t="shared" ca="1" si="22"/>
        <v>0.3</v>
      </c>
      <c r="H380" s="1">
        <f t="shared" ca="1" si="23"/>
        <v>1.51</v>
      </c>
    </row>
    <row r="381" spans="1:8">
      <c r="A381" s="1">
        <v>376</v>
      </c>
      <c r="B381" s="8">
        <f ca="1">_xlfn.MAXIFS(Transactions[Transaction Date], Transactions[CustomerID],A381)</f>
        <v>43209</v>
      </c>
      <c r="C381" s="1">
        <f t="shared" ca="1" si="20"/>
        <v>10</v>
      </c>
      <c r="D381" s="1">
        <f ca="1">COUNTIF(Transactions[CustomerID],"="&amp;A381)</f>
        <v>1</v>
      </c>
      <c r="E381" s="9">
        <f ca="1">_xlfn.MAXIFS(Transactions[Transaction Amount], Transactions[CustomerID],A381)/'Customer Profiles'!$M$10</f>
        <v>1.0345436721171455</v>
      </c>
      <c r="F381" s="1">
        <f t="shared" ca="1" si="21"/>
        <v>2.36</v>
      </c>
      <c r="G381" s="1">
        <f t="shared" ca="1" si="22"/>
        <v>0.15</v>
      </c>
      <c r="H381" s="1">
        <f t="shared" ca="1" si="23"/>
        <v>3.27</v>
      </c>
    </row>
    <row r="382" spans="1:8">
      <c r="A382" s="1">
        <v>377</v>
      </c>
      <c r="B382" s="8">
        <f ca="1">_xlfn.MAXIFS(Transactions[Transaction Date], Transactions[CustomerID],A382)</f>
        <v>43480</v>
      </c>
      <c r="C382" s="1">
        <f t="shared" ca="1" si="20"/>
        <v>1</v>
      </c>
      <c r="D382" s="1">
        <f ca="1">COUNTIF(Transactions[CustomerID],"="&amp;A382)</f>
        <v>4</v>
      </c>
      <c r="E382" s="9">
        <f ca="1">_xlfn.MAXIFS(Transactions[Transaction Amount], Transactions[CustomerID],A382)/'Customer Profiles'!$M$10</f>
        <v>3.8677018883152958</v>
      </c>
      <c r="F382" s="1">
        <f t="shared" ca="1" si="21"/>
        <v>0.24</v>
      </c>
      <c r="G382" s="1">
        <f t="shared" ca="1" si="22"/>
        <v>0.6</v>
      </c>
      <c r="H382" s="1">
        <f t="shared" ca="1" si="23"/>
        <v>3.17</v>
      </c>
    </row>
    <row r="383" spans="1:8">
      <c r="A383" s="1">
        <v>378</v>
      </c>
      <c r="B383" s="8">
        <f ca="1">_xlfn.MAXIFS(Transactions[Transaction Date], Transactions[CustomerID],A383)</f>
        <v>42841</v>
      </c>
      <c r="C383" s="1">
        <f t="shared" ca="1" si="20"/>
        <v>10</v>
      </c>
      <c r="D383" s="1">
        <f ca="1">COUNTIF(Transactions[CustomerID],"="&amp;A383)</f>
        <v>2</v>
      </c>
      <c r="E383" s="9">
        <f ca="1">_xlfn.MAXIFS(Transactions[Transaction Amount], Transactions[CustomerID],A383)/'Customer Profiles'!$M$10</f>
        <v>0.36157030424551828</v>
      </c>
      <c r="F383" s="1">
        <f t="shared" ca="1" si="21"/>
        <v>2.36</v>
      </c>
      <c r="G383" s="1">
        <f t="shared" ca="1" si="22"/>
        <v>0.3</v>
      </c>
      <c r="H383" s="1">
        <f t="shared" ca="1" si="23"/>
        <v>3.02</v>
      </c>
    </row>
    <row r="384" spans="1:8">
      <c r="A384" s="1">
        <v>379</v>
      </c>
      <c r="B384" s="8">
        <f ca="1">_xlfn.MAXIFS(Transactions[Transaction Date], Transactions[CustomerID],A384)</f>
        <v>43416</v>
      </c>
      <c r="C384" s="1">
        <f t="shared" ca="1" si="20"/>
        <v>3</v>
      </c>
      <c r="D384" s="1">
        <f ca="1">COUNTIF(Transactions[CustomerID],"="&amp;A384)</f>
        <v>1</v>
      </c>
      <c r="E384" s="9">
        <f ca="1">_xlfn.MAXIFS(Transactions[Transaction Amount], Transactions[CustomerID],A384)/'Customer Profiles'!$M$10</f>
        <v>0.43866919235255297</v>
      </c>
      <c r="F384" s="1">
        <f t="shared" ca="1" si="21"/>
        <v>0.71</v>
      </c>
      <c r="G384" s="1">
        <f t="shared" ca="1" si="22"/>
        <v>0.15</v>
      </c>
      <c r="H384" s="1">
        <f t="shared" ca="1" si="23"/>
        <v>1.1599999999999999</v>
      </c>
    </row>
    <row r="385" spans="1:8">
      <c r="A385" s="1">
        <v>380</v>
      </c>
      <c r="B385" s="8">
        <f ca="1">_xlfn.MAXIFS(Transactions[Transaction Date], Transactions[CustomerID],A385)</f>
        <v>43195</v>
      </c>
      <c r="C385" s="1">
        <f t="shared" ca="1" si="20"/>
        <v>10</v>
      </c>
      <c r="D385" s="1">
        <f ca="1">COUNTIF(Transactions[CustomerID],"="&amp;A385)</f>
        <v>1</v>
      </c>
      <c r="E385" s="9">
        <f ca="1">_xlfn.MAXIFS(Transactions[Transaction Amount], Transactions[CustomerID],A385)/'Customer Profiles'!$M$10</f>
        <v>1.2219189010827591</v>
      </c>
      <c r="F385" s="1">
        <f t="shared" ca="1" si="21"/>
        <v>2.36</v>
      </c>
      <c r="G385" s="1">
        <f t="shared" ca="1" si="22"/>
        <v>0.15</v>
      </c>
      <c r="H385" s="1">
        <f t="shared" ca="1" si="23"/>
        <v>3.38</v>
      </c>
    </row>
    <row r="386" spans="1:8">
      <c r="A386" s="1">
        <v>381</v>
      </c>
      <c r="B386" s="8">
        <f ca="1">_xlfn.MAXIFS(Transactions[Transaction Date], Transactions[CustomerID],A386)</f>
        <v>43079</v>
      </c>
      <c r="C386" s="1">
        <f t="shared" ca="1" si="20"/>
        <v>2</v>
      </c>
      <c r="D386" s="1">
        <f ca="1">COUNTIF(Transactions[CustomerID],"="&amp;A386)</f>
        <v>1</v>
      </c>
      <c r="E386" s="9">
        <f ca="1">_xlfn.MAXIFS(Transactions[Transaction Amount], Transactions[CustomerID],A386)/'Customer Profiles'!$M$10</f>
        <v>6.6968998202222463E-2</v>
      </c>
      <c r="F386" s="1">
        <f t="shared" ca="1" si="21"/>
        <v>0.47</v>
      </c>
      <c r="G386" s="1">
        <f t="shared" ca="1" si="22"/>
        <v>0.15</v>
      </c>
      <c r="H386" s="1">
        <f t="shared" ca="1" si="23"/>
        <v>0.69</v>
      </c>
    </row>
    <row r="387" spans="1:8">
      <c r="A387" s="1">
        <v>382</v>
      </c>
      <c r="B387" s="8">
        <f ca="1">_xlfn.MAXIFS(Transactions[Transaction Date], Transactions[CustomerID],A387)</f>
        <v>43477</v>
      </c>
      <c r="C387" s="1">
        <f t="shared" ca="1" si="20"/>
        <v>1</v>
      </c>
      <c r="D387" s="1">
        <f ca="1">COUNTIF(Transactions[CustomerID],"="&amp;A387)</f>
        <v>1</v>
      </c>
      <c r="E387" s="9">
        <f ca="1">_xlfn.MAXIFS(Transactions[Transaction Amount], Transactions[CustomerID],A387)/'Customer Profiles'!$M$10</f>
        <v>0.10054186946185263</v>
      </c>
      <c r="F387" s="1">
        <f t="shared" ca="1" si="21"/>
        <v>0.24</v>
      </c>
      <c r="G387" s="1">
        <f t="shared" ca="1" si="22"/>
        <v>0.15</v>
      </c>
      <c r="H387" s="1">
        <f t="shared" ca="1" si="23"/>
        <v>0.46</v>
      </c>
    </row>
    <row r="388" spans="1:8">
      <c r="A388" s="1">
        <v>383</v>
      </c>
      <c r="B388" s="8">
        <f ca="1">_xlfn.MAXIFS(Transactions[Transaction Date], Transactions[CustomerID],A388)</f>
        <v>43155</v>
      </c>
      <c r="C388" s="1">
        <f t="shared" ca="1" si="20"/>
        <v>1</v>
      </c>
      <c r="D388" s="1">
        <f ca="1">COUNTIF(Transactions[CustomerID],"="&amp;A388)</f>
        <v>2</v>
      </c>
      <c r="E388" s="9">
        <f ca="1">_xlfn.MAXIFS(Transactions[Transaction Amount], Transactions[CustomerID],A388)/'Customer Profiles'!$M$10</f>
        <v>0.35428802841712947</v>
      </c>
      <c r="F388" s="1">
        <f t="shared" ca="1" si="21"/>
        <v>0.24</v>
      </c>
      <c r="G388" s="1">
        <f t="shared" ca="1" si="22"/>
        <v>0.3</v>
      </c>
      <c r="H388" s="1">
        <f t="shared" ca="1" si="23"/>
        <v>0.76</v>
      </c>
    </row>
    <row r="389" spans="1:8">
      <c r="A389" s="1">
        <v>384</v>
      </c>
      <c r="B389" s="8">
        <f ca="1">_xlfn.MAXIFS(Transactions[Transaction Date], Transactions[CustomerID],A389)</f>
        <v>43424</v>
      </c>
      <c r="C389" s="1">
        <f t="shared" ca="1" si="20"/>
        <v>3</v>
      </c>
      <c r="D389" s="1">
        <f ca="1">COUNTIF(Transactions[CustomerID],"="&amp;A389)</f>
        <v>2</v>
      </c>
      <c r="E389" s="9">
        <f ca="1">_xlfn.MAXIFS(Transactions[Transaction Amount], Transactions[CustomerID],A389)/'Customer Profiles'!$M$10</f>
        <v>0.11494179685602417</v>
      </c>
      <c r="F389" s="1">
        <f t="shared" ca="1" si="21"/>
        <v>0.71</v>
      </c>
      <c r="G389" s="1">
        <f t="shared" ca="1" si="22"/>
        <v>0.3</v>
      </c>
      <c r="H389" s="1">
        <f t="shared" ca="1" si="23"/>
        <v>1.1200000000000001</v>
      </c>
    </row>
    <row r="390" spans="1:8">
      <c r="A390" s="1">
        <v>385</v>
      </c>
      <c r="B390" s="8">
        <f ca="1">_xlfn.MAXIFS(Transactions[Transaction Date], Transactions[CustomerID],A390)</f>
        <v>43468</v>
      </c>
      <c r="C390" s="1">
        <f t="shared" ref="C390:C401" ca="1" si="24">(MAX(DATEDIF(B390,"03/01/2019","ym"),1))</f>
        <v>1</v>
      </c>
      <c r="D390" s="1">
        <f ca="1">COUNTIF(Transactions[CustomerID],"="&amp;A390)</f>
        <v>8</v>
      </c>
      <c r="E390" s="9">
        <f ca="1">_xlfn.MAXIFS(Transactions[Transaction Amount], Transactions[CustomerID],A390)/'Customer Profiles'!$M$10</f>
        <v>3.326159449914575</v>
      </c>
      <c r="F390" s="1">
        <f t="shared" ref="F390:F401" ca="1" si="25">ROUND(C390/$M$8,2)</f>
        <v>0.24</v>
      </c>
      <c r="G390" s="1">
        <f t="shared" ref="G390:G401" ca="1" si="26">ROUND(D390/$M$6,2)</f>
        <v>1.2</v>
      </c>
      <c r="H390" s="1">
        <f t="shared" ref="H390:H401" ca="1" si="27">ROUND(C390*$K$6+D390*$K$7+E390*$K$8,2)</f>
        <v>3.45</v>
      </c>
    </row>
    <row r="391" spans="1:8">
      <c r="A391" s="1">
        <v>386</v>
      </c>
      <c r="B391" s="8">
        <f ca="1">_xlfn.MAXIFS(Transactions[Transaction Date], Transactions[CustomerID],A391)</f>
        <v>42791</v>
      </c>
      <c r="C391" s="1">
        <f t="shared" ca="1" si="24"/>
        <v>1</v>
      </c>
      <c r="D391" s="1">
        <f ca="1">COUNTIF(Transactions[CustomerID],"="&amp;A391)</f>
        <v>1</v>
      </c>
      <c r="E391" s="9">
        <f ca="1">_xlfn.MAXIFS(Transactions[Transaction Amount], Transactions[CustomerID],A391)/'Customer Profiles'!$M$10</f>
        <v>0.11557650140342707</v>
      </c>
      <c r="F391" s="1">
        <f t="shared" ca="1" si="25"/>
        <v>0.24</v>
      </c>
      <c r="G391" s="1">
        <f t="shared" ca="1" si="26"/>
        <v>0.15</v>
      </c>
      <c r="H391" s="1">
        <f t="shared" ca="1" si="27"/>
        <v>0.47</v>
      </c>
    </row>
    <row r="392" spans="1:8">
      <c r="A392" s="1">
        <v>387</v>
      </c>
      <c r="B392" s="8">
        <f ca="1">_xlfn.MAXIFS(Transactions[Transaction Date], Transactions[CustomerID],A392)</f>
        <v>43332</v>
      </c>
      <c r="C392" s="1">
        <f t="shared" ca="1" si="24"/>
        <v>6</v>
      </c>
      <c r="D392" s="1">
        <f ca="1">COUNTIF(Transactions[CustomerID],"="&amp;A392)</f>
        <v>2</v>
      </c>
      <c r="E392" s="9">
        <f ca="1">_xlfn.MAXIFS(Transactions[Transaction Amount], Transactions[CustomerID],A392)/'Customer Profiles'!$M$10</f>
        <v>0.49967234667024985</v>
      </c>
      <c r="F392" s="1">
        <f t="shared" ca="1" si="25"/>
        <v>1.42</v>
      </c>
      <c r="G392" s="1">
        <f t="shared" ca="1" si="26"/>
        <v>0.3</v>
      </c>
      <c r="H392" s="1">
        <f t="shared" ca="1" si="27"/>
        <v>2.1</v>
      </c>
    </row>
    <row r="393" spans="1:8">
      <c r="A393" s="1">
        <v>388</v>
      </c>
      <c r="B393" s="8">
        <f ca="1">_xlfn.MAXIFS(Transactions[Transaction Date], Transactions[CustomerID],A393)</f>
        <v>42774</v>
      </c>
      <c r="C393" s="1">
        <f t="shared" ca="1" si="24"/>
        <v>1</v>
      </c>
      <c r="D393" s="1">
        <f ca="1">COUNTIF(Transactions[CustomerID],"="&amp;A393)</f>
        <v>1</v>
      </c>
      <c r="E393" s="9">
        <f ca="1">_xlfn.MAXIFS(Transactions[Transaction Amount], Transactions[CustomerID],A393)/'Customer Profiles'!$M$10</f>
        <v>0.12417559940480308</v>
      </c>
      <c r="F393" s="1">
        <f t="shared" ca="1" si="25"/>
        <v>0.24</v>
      </c>
      <c r="G393" s="1">
        <f t="shared" ca="1" si="26"/>
        <v>0.15</v>
      </c>
      <c r="H393" s="1">
        <f t="shared" ca="1" si="27"/>
        <v>0.47</v>
      </c>
    </row>
    <row r="394" spans="1:8">
      <c r="A394" s="1">
        <v>389</v>
      </c>
      <c r="B394" s="8">
        <f ca="1">_xlfn.MAXIFS(Transactions[Transaction Date], Transactions[CustomerID],A394)</f>
        <v>43384</v>
      </c>
      <c r="C394" s="1">
        <f t="shared" ca="1" si="24"/>
        <v>4</v>
      </c>
      <c r="D394" s="1">
        <f ca="1">COUNTIF(Transactions[CustomerID],"="&amp;A394)</f>
        <v>5</v>
      </c>
      <c r="E394" s="9">
        <f ca="1">_xlfn.MAXIFS(Transactions[Transaction Amount], Transactions[CustomerID],A394)/'Customer Profiles'!$M$10</f>
        <v>5.3555027868954488</v>
      </c>
      <c r="F394" s="1">
        <f t="shared" ca="1" si="25"/>
        <v>0.94</v>
      </c>
      <c r="G394" s="1">
        <f t="shared" ca="1" si="26"/>
        <v>0.75</v>
      </c>
      <c r="H394" s="1">
        <f t="shared" ca="1" si="27"/>
        <v>4.96</v>
      </c>
    </row>
    <row r="395" spans="1:8">
      <c r="A395" s="1">
        <v>390</v>
      </c>
      <c r="B395" s="8">
        <f ca="1">_xlfn.MAXIFS(Transactions[Transaction Date], Transactions[CustomerID],A395)</f>
        <v>43253</v>
      </c>
      <c r="C395" s="1">
        <f t="shared" ca="1" si="24"/>
        <v>8</v>
      </c>
      <c r="D395" s="1">
        <f ca="1">COUNTIF(Transactions[CustomerID],"="&amp;A395)</f>
        <v>3</v>
      </c>
      <c r="E395" s="9">
        <f ca="1">_xlfn.MAXIFS(Transactions[Transaction Amount], Transactions[CustomerID],A395)/'Customer Profiles'!$M$10</f>
        <v>3.3930049148346524</v>
      </c>
      <c r="F395" s="1">
        <f t="shared" ca="1" si="25"/>
        <v>1.89</v>
      </c>
      <c r="G395" s="1">
        <f t="shared" ca="1" si="26"/>
        <v>0.45</v>
      </c>
      <c r="H395" s="1">
        <f t="shared" ca="1" si="27"/>
        <v>4.49</v>
      </c>
    </row>
    <row r="396" spans="1:8">
      <c r="A396" s="1">
        <v>391</v>
      </c>
      <c r="B396" s="8">
        <f ca="1">_xlfn.MAXIFS(Transactions[Transaction Date], Transactions[CustomerID],A396)</f>
        <v>43023</v>
      </c>
      <c r="C396" s="1">
        <f t="shared" ca="1" si="24"/>
        <v>4</v>
      </c>
      <c r="D396" s="1">
        <f ca="1">COUNTIF(Transactions[CustomerID],"="&amp;A396)</f>
        <v>1</v>
      </c>
      <c r="E396" s="9">
        <f ca="1">_xlfn.MAXIFS(Transactions[Transaction Amount], Transactions[CustomerID],A396)/'Customer Profiles'!$M$10</f>
        <v>1.636701222270236</v>
      </c>
      <c r="F396" s="1">
        <f t="shared" ca="1" si="25"/>
        <v>0.94</v>
      </c>
      <c r="G396" s="1">
        <f t="shared" ca="1" si="26"/>
        <v>0.15</v>
      </c>
      <c r="H396" s="1">
        <f t="shared" ca="1" si="27"/>
        <v>2.13</v>
      </c>
    </row>
    <row r="397" spans="1:8">
      <c r="A397" s="1">
        <v>392</v>
      </c>
      <c r="B397" s="8">
        <f ca="1">_xlfn.MAXIFS(Transactions[Transaction Date], Transactions[CustomerID],A397)</f>
        <v>42819</v>
      </c>
      <c r="C397" s="1">
        <f t="shared" ca="1" si="24"/>
        <v>11</v>
      </c>
      <c r="D397" s="1">
        <f ca="1">COUNTIF(Transactions[CustomerID],"="&amp;A397)</f>
        <v>1</v>
      </c>
      <c r="E397" s="9">
        <f ca="1">_xlfn.MAXIFS(Transactions[Transaction Amount], Transactions[CustomerID],A397)/'Customer Profiles'!$M$10</f>
        <v>0.67744360193313691</v>
      </c>
      <c r="F397" s="1">
        <f t="shared" ca="1" si="25"/>
        <v>2.59</v>
      </c>
      <c r="G397" s="1">
        <f t="shared" ca="1" si="26"/>
        <v>0.15</v>
      </c>
      <c r="H397" s="1">
        <f t="shared" ca="1" si="27"/>
        <v>3.31</v>
      </c>
    </row>
    <row r="398" spans="1:8">
      <c r="A398" s="1">
        <v>393</v>
      </c>
      <c r="B398" s="8">
        <f ca="1">_xlfn.MAXIFS(Transactions[Transaction Date], Transactions[CustomerID],A398)</f>
        <v>43340</v>
      </c>
      <c r="C398" s="1">
        <f t="shared" ca="1" si="24"/>
        <v>6</v>
      </c>
      <c r="D398" s="1">
        <f ca="1">COUNTIF(Transactions[CustomerID],"="&amp;A398)</f>
        <v>7</v>
      </c>
      <c r="E398" s="9">
        <f ca="1">_xlfn.MAXIFS(Transactions[Transaction Amount], Transactions[CustomerID],A398)/'Customer Profiles'!$M$10</f>
        <v>1.9129571572862647</v>
      </c>
      <c r="F398" s="1">
        <f t="shared" ca="1" si="25"/>
        <v>1.42</v>
      </c>
      <c r="G398" s="1">
        <f t="shared" ca="1" si="26"/>
        <v>1.05</v>
      </c>
      <c r="H398" s="1">
        <f t="shared" ca="1" si="27"/>
        <v>3.7</v>
      </c>
    </row>
    <row r="399" spans="1:8">
      <c r="A399" s="1">
        <v>394</v>
      </c>
      <c r="B399" s="8">
        <f ca="1">_xlfn.MAXIFS(Transactions[Transaction Date], Transactions[CustomerID],A399)</f>
        <v>42771</v>
      </c>
      <c r="C399" s="1">
        <f t="shared" ca="1" si="24"/>
        <v>1</v>
      </c>
      <c r="D399" s="1">
        <f ca="1">COUNTIF(Transactions[CustomerID],"="&amp;A399)</f>
        <v>1</v>
      </c>
      <c r="E399" s="9">
        <f ca="1">_xlfn.MAXIFS(Transactions[Transaction Amount], Transactions[CustomerID],A399)/'Customer Profiles'!$M$10</f>
        <v>0.36558793474731188</v>
      </c>
      <c r="F399" s="1">
        <f t="shared" ca="1" si="25"/>
        <v>0.24</v>
      </c>
      <c r="G399" s="1">
        <f t="shared" ca="1" si="26"/>
        <v>0.15</v>
      </c>
      <c r="H399" s="1">
        <f t="shared" ca="1" si="27"/>
        <v>0.62</v>
      </c>
    </row>
    <row r="400" spans="1:8">
      <c r="A400" s="1">
        <v>395</v>
      </c>
      <c r="B400" s="8">
        <f ca="1">_xlfn.MAXIFS(Transactions[Transaction Date], Transactions[CustomerID],A400)</f>
        <v>43274</v>
      </c>
      <c r="C400" s="1">
        <f t="shared" ca="1" si="24"/>
        <v>8</v>
      </c>
      <c r="D400" s="1">
        <f ca="1">COUNTIF(Transactions[CustomerID],"="&amp;A400)</f>
        <v>2</v>
      </c>
      <c r="E400" s="9">
        <f ca="1">_xlfn.MAXIFS(Transactions[Transaction Amount], Transactions[CustomerID],A400)/'Customer Profiles'!$M$10</f>
        <v>0.72130375347645925</v>
      </c>
      <c r="F400" s="1">
        <f t="shared" ca="1" si="25"/>
        <v>1.89</v>
      </c>
      <c r="G400" s="1">
        <f t="shared" ca="1" si="26"/>
        <v>0.3</v>
      </c>
      <c r="H400" s="1">
        <f t="shared" ca="1" si="27"/>
        <v>2.73</v>
      </c>
    </row>
    <row r="401" spans="1:8">
      <c r="A401" s="1">
        <v>396</v>
      </c>
      <c r="B401" s="8">
        <f ca="1">_xlfn.MAXIFS(Transactions[Transaction Date], Transactions[CustomerID],A401)</f>
        <v>43192</v>
      </c>
      <c r="C401" s="1">
        <f t="shared" ca="1" si="24"/>
        <v>10</v>
      </c>
      <c r="D401" s="1">
        <f ca="1">COUNTIF(Transactions[CustomerID],"="&amp;A401)</f>
        <v>5</v>
      </c>
      <c r="E401" s="9">
        <f ca="1">_xlfn.MAXIFS(Transactions[Transaction Amount], Transactions[CustomerID],A401)/'Customer Profiles'!$M$10</f>
        <v>0.98030324134942626</v>
      </c>
      <c r="F401" s="1">
        <f t="shared" ca="1" si="25"/>
        <v>2.36</v>
      </c>
      <c r="G401" s="1">
        <f t="shared" ca="1" si="26"/>
        <v>0.75</v>
      </c>
      <c r="H401" s="1">
        <f t="shared" ca="1" si="27"/>
        <v>3.84</v>
      </c>
    </row>
    <row r="402" spans="1:8">
      <c r="A402" s="1">
        <v>397</v>
      </c>
      <c r="B402" s="8">
        <f ca="1">_xlfn.MAXIFS(Transactions[Transaction Date], Transactions[CustomerID],A402)</f>
        <v>42969</v>
      </c>
      <c r="C402" s="1">
        <f ca="1">(MAX(DATEDIF(B402,"03/01/2019","ym"),1))</f>
        <v>6</v>
      </c>
      <c r="D402" s="1">
        <f ca="1">COUNTIF(Transactions[CustomerID],"="&amp;A402)</f>
        <v>1</v>
      </c>
      <c r="E402" s="9">
        <f ca="1">_xlfn.MAXIFS(Transactions[Transaction Amount], Transactions[CustomerID],A402)/'Customer Profiles'!$M$10</f>
        <v>2.4037994314120952</v>
      </c>
      <c r="F402" s="1">
        <f ca="1">ROUND(C402/$M$8,2)</f>
        <v>1.42</v>
      </c>
      <c r="G402" s="1">
        <f ca="1">ROUND(D402/$M$6,2)</f>
        <v>0.15</v>
      </c>
      <c r="H402" s="1">
        <f ca="1">ROUND(C402*$K$6+D402*$K$7+E402*$K$8,2)</f>
        <v>3.09</v>
      </c>
    </row>
    <row r="403" spans="1:8">
      <c r="A403" s="1">
        <v>398</v>
      </c>
      <c r="B403" s="8">
        <f ca="1">_xlfn.MAXIFS(Transactions[Transaction Date], Transactions[CustomerID],A403)</f>
        <v>43446</v>
      </c>
      <c r="C403" s="1">
        <f t="shared" ref="C403:C466" ca="1" si="28">(MAX(DATEDIF(B403,"03/01/2019","ym"),1))</f>
        <v>2</v>
      </c>
      <c r="D403" s="1">
        <f ca="1">COUNTIF(Transactions[CustomerID],"="&amp;A403)</f>
        <v>39</v>
      </c>
      <c r="E403" s="9">
        <f ca="1">_xlfn.MAXIFS(Transactions[Transaction Amount], Transactions[CustomerID],A403)/'Customer Profiles'!$M$10</f>
        <v>8.9052247954349415</v>
      </c>
      <c r="F403" s="1">
        <f t="shared" ref="F403:F466" ca="1" si="29">ROUND(C403/$M$8,2)</f>
        <v>0.47</v>
      </c>
      <c r="G403" s="1">
        <f t="shared" ref="G403:G466" ca="1" si="30">ROUND(D403/$M$6,2)</f>
        <v>5.85</v>
      </c>
      <c r="H403" s="1">
        <f t="shared" ref="H403:H466" ca="1" si="31">ROUND(C403*$K$6+D403*$K$7+E403*$K$8,2)</f>
        <v>11.69</v>
      </c>
    </row>
    <row r="404" spans="1:8">
      <c r="A404" s="1">
        <v>399</v>
      </c>
      <c r="B404" s="8">
        <f ca="1">_xlfn.MAXIFS(Transactions[Transaction Date], Transactions[CustomerID],A404)</f>
        <v>42956</v>
      </c>
      <c r="C404" s="1">
        <f t="shared" ca="1" si="28"/>
        <v>6</v>
      </c>
      <c r="D404" s="1">
        <f ca="1">COUNTIF(Transactions[CustomerID],"="&amp;A404)</f>
        <v>1</v>
      </c>
      <c r="E404" s="9">
        <f ca="1">_xlfn.MAXIFS(Transactions[Transaction Amount], Transactions[CustomerID],A404)/'Customer Profiles'!$M$10</f>
        <v>1.3289196595830148</v>
      </c>
      <c r="F404" s="1">
        <f t="shared" ca="1" si="29"/>
        <v>1.42</v>
      </c>
      <c r="G404" s="1">
        <f t="shared" ca="1" si="30"/>
        <v>0.15</v>
      </c>
      <c r="H404" s="1">
        <f t="shared" ca="1" si="31"/>
        <v>2.4500000000000002</v>
      </c>
    </row>
    <row r="405" spans="1:8">
      <c r="A405" s="1">
        <v>400</v>
      </c>
      <c r="B405" s="8">
        <f ca="1">_xlfn.MAXIFS(Transactions[Transaction Date], Transactions[CustomerID],A405)</f>
        <v>43491</v>
      </c>
      <c r="C405" s="1">
        <f t="shared" ca="1" si="28"/>
        <v>1</v>
      </c>
      <c r="D405" s="1">
        <f ca="1">COUNTIF(Transactions[CustomerID],"="&amp;A405)</f>
        <v>21</v>
      </c>
      <c r="E405" s="9">
        <f ca="1">_xlfn.MAXIFS(Transactions[Transaction Amount], Transactions[CustomerID],A405)/'Customer Profiles'!$M$10</f>
        <v>4.8634897689042011</v>
      </c>
      <c r="F405" s="1">
        <f t="shared" ca="1" si="29"/>
        <v>0.24</v>
      </c>
      <c r="G405" s="1">
        <f t="shared" ca="1" si="30"/>
        <v>3.15</v>
      </c>
      <c r="H405" s="1">
        <f t="shared" ca="1" si="31"/>
        <v>6.32</v>
      </c>
    </row>
    <row r="406" spans="1:8">
      <c r="A406" s="1">
        <v>401</v>
      </c>
      <c r="B406" s="8">
        <f ca="1">_xlfn.MAXIFS(Transactions[Transaction Date], Transactions[CustomerID],A406)</f>
        <v>43485</v>
      </c>
      <c r="C406" s="1">
        <f t="shared" ca="1" si="28"/>
        <v>1</v>
      </c>
      <c r="D406" s="1">
        <f ca="1">COUNTIF(Transactions[CustomerID],"="&amp;A406)</f>
        <v>33</v>
      </c>
      <c r="E406" s="9">
        <f ca="1">_xlfn.MAXIFS(Transactions[Transaction Amount], Transactions[CustomerID],A406)/'Customer Profiles'!$M$10</f>
        <v>5.6375190992680713</v>
      </c>
      <c r="F406" s="1">
        <f t="shared" ca="1" si="29"/>
        <v>0.24</v>
      </c>
      <c r="G406" s="1">
        <f t="shared" ca="1" si="30"/>
        <v>4.95</v>
      </c>
      <c r="H406" s="1">
        <f t="shared" ca="1" si="31"/>
        <v>8.58</v>
      </c>
    </row>
    <row r="407" spans="1:8">
      <c r="A407" s="1">
        <v>402</v>
      </c>
      <c r="B407" s="8">
        <f ca="1">_xlfn.MAXIFS(Transactions[Transaction Date], Transactions[CustomerID],A407)</f>
        <v>43464</v>
      </c>
      <c r="C407" s="1">
        <f t="shared" ca="1" si="28"/>
        <v>2</v>
      </c>
      <c r="D407" s="1">
        <f ca="1">COUNTIF(Transactions[CustomerID],"="&amp;A407)</f>
        <v>17</v>
      </c>
      <c r="E407" s="9">
        <f ca="1">_xlfn.MAXIFS(Transactions[Transaction Amount], Transactions[CustomerID],A407)/'Customer Profiles'!$M$10</f>
        <v>5.2865488458873093</v>
      </c>
      <c r="F407" s="1">
        <f t="shared" ca="1" si="29"/>
        <v>0.47</v>
      </c>
      <c r="G407" s="1">
        <f t="shared" ca="1" si="30"/>
        <v>2.5499999999999998</v>
      </c>
      <c r="H407" s="1">
        <f t="shared" ca="1" si="31"/>
        <v>6.22</v>
      </c>
    </row>
    <row r="408" spans="1:8">
      <c r="A408" s="1">
        <v>403</v>
      </c>
      <c r="B408" s="8">
        <f ca="1">_xlfn.MAXIFS(Transactions[Transaction Date], Transactions[CustomerID],A408)</f>
        <v>43408</v>
      </c>
      <c r="C408" s="1">
        <f t="shared" ca="1" si="28"/>
        <v>3</v>
      </c>
      <c r="D408" s="1">
        <f ca="1">COUNTIF(Transactions[CustomerID],"="&amp;A408)</f>
        <v>1</v>
      </c>
      <c r="E408" s="9">
        <f ca="1">_xlfn.MAXIFS(Transactions[Transaction Amount], Transactions[CustomerID],A408)/'Customer Profiles'!$M$10</f>
        <v>1.9534313302371265</v>
      </c>
      <c r="F408" s="1">
        <f t="shared" ca="1" si="29"/>
        <v>0.71</v>
      </c>
      <c r="G408" s="1">
        <f t="shared" ca="1" si="30"/>
        <v>0.15</v>
      </c>
      <c r="H408" s="1">
        <f t="shared" ca="1" si="31"/>
        <v>2.0699999999999998</v>
      </c>
    </row>
    <row r="409" spans="1:8">
      <c r="A409" s="1">
        <v>404</v>
      </c>
      <c r="B409" s="8">
        <f ca="1">_xlfn.MAXIFS(Transactions[Transaction Date], Transactions[CustomerID],A409)</f>
        <v>43232</v>
      </c>
      <c r="C409" s="1">
        <f t="shared" ca="1" si="28"/>
        <v>9</v>
      </c>
      <c r="D409" s="1">
        <f ca="1">COUNTIF(Transactions[CustomerID],"="&amp;A409)</f>
        <v>1</v>
      </c>
      <c r="E409" s="9">
        <f ca="1">_xlfn.MAXIFS(Transactions[Transaction Amount], Transactions[CustomerID],A409)/'Customer Profiles'!$M$10</f>
        <v>9.8613182646530489E-2</v>
      </c>
      <c r="F409" s="1">
        <f t="shared" ca="1" si="29"/>
        <v>2.12</v>
      </c>
      <c r="G409" s="1">
        <f t="shared" ca="1" si="30"/>
        <v>0.15</v>
      </c>
      <c r="H409" s="1">
        <f t="shared" ca="1" si="31"/>
        <v>2.46</v>
      </c>
    </row>
    <row r="410" spans="1:8">
      <c r="A410" s="1">
        <v>405</v>
      </c>
      <c r="B410" s="8">
        <f ca="1">_xlfn.MAXIFS(Transactions[Transaction Date], Transactions[CustomerID],A410)</f>
        <v>43171</v>
      </c>
      <c r="C410" s="1">
        <f t="shared" ca="1" si="28"/>
        <v>11</v>
      </c>
      <c r="D410" s="1">
        <f ca="1">COUNTIF(Transactions[CustomerID],"="&amp;A410)</f>
        <v>1</v>
      </c>
      <c r="E410" s="9">
        <f ca="1">_xlfn.MAXIFS(Transactions[Transaction Amount], Transactions[CustomerID],A410)/'Customer Profiles'!$M$10</f>
        <v>3.6007454991966243</v>
      </c>
      <c r="F410" s="1">
        <f t="shared" ca="1" si="29"/>
        <v>2.59</v>
      </c>
      <c r="G410" s="1">
        <f t="shared" ca="1" si="30"/>
        <v>0.15</v>
      </c>
      <c r="H410" s="1">
        <f t="shared" ca="1" si="31"/>
        <v>5.0599999999999996</v>
      </c>
    </row>
    <row r="411" spans="1:8">
      <c r="A411" s="1">
        <v>406</v>
      </c>
      <c r="B411" s="8">
        <f ca="1">_xlfn.MAXIFS(Transactions[Transaction Date], Transactions[CustomerID],A411)</f>
        <v>43405</v>
      </c>
      <c r="C411" s="1">
        <f t="shared" ca="1" si="28"/>
        <v>4</v>
      </c>
      <c r="D411" s="1">
        <f ca="1">COUNTIF(Transactions[CustomerID],"="&amp;A411)</f>
        <v>2</v>
      </c>
      <c r="E411" s="9">
        <f ca="1">_xlfn.MAXIFS(Transactions[Transaction Amount], Transactions[CustomerID],A411)/'Customer Profiles'!$M$10</f>
        <v>0.61778272054243455</v>
      </c>
      <c r="F411" s="1">
        <f t="shared" ca="1" si="29"/>
        <v>0.94</v>
      </c>
      <c r="G411" s="1">
        <f t="shared" ca="1" si="30"/>
        <v>0.3</v>
      </c>
      <c r="H411" s="1">
        <f t="shared" ca="1" si="31"/>
        <v>1.67</v>
      </c>
    </row>
    <row r="412" spans="1:8">
      <c r="A412" s="1">
        <v>407</v>
      </c>
      <c r="B412" s="8">
        <f ca="1">_xlfn.MAXIFS(Transactions[Transaction Date], Transactions[CustomerID],A412)</f>
        <v>43326</v>
      </c>
      <c r="C412" s="1">
        <f t="shared" ca="1" si="28"/>
        <v>6</v>
      </c>
      <c r="D412" s="1">
        <f ca="1">COUNTIF(Transactions[CustomerID],"="&amp;A412)</f>
        <v>2</v>
      </c>
      <c r="E412" s="9">
        <f ca="1">_xlfn.MAXIFS(Transactions[Transaction Amount], Transactions[CustomerID],A412)/'Customer Profiles'!$M$10</f>
        <v>9.0158114599866723E-2</v>
      </c>
      <c r="F412" s="1">
        <f t="shared" ca="1" si="29"/>
        <v>1.42</v>
      </c>
      <c r="G412" s="1">
        <f t="shared" ca="1" si="30"/>
        <v>0.3</v>
      </c>
      <c r="H412" s="1">
        <f t="shared" ca="1" si="31"/>
        <v>1.85</v>
      </c>
    </row>
    <row r="413" spans="1:8">
      <c r="A413" s="1">
        <v>408</v>
      </c>
      <c r="B413" s="8">
        <f ca="1">_xlfn.MAXIFS(Transactions[Transaction Date], Transactions[CustomerID],A413)</f>
        <v>42991</v>
      </c>
      <c r="C413" s="1">
        <f t="shared" ca="1" si="28"/>
        <v>5</v>
      </c>
      <c r="D413" s="1">
        <f ca="1">COUNTIF(Transactions[CustomerID],"="&amp;A413)</f>
        <v>1</v>
      </c>
      <c r="E413" s="9">
        <f ca="1">_xlfn.MAXIFS(Transactions[Transaction Amount], Transactions[CustomerID],A413)/'Customer Profiles'!$M$10</f>
        <v>0.24076130415056085</v>
      </c>
      <c r="F413" s="1">
        <f t="shared" ca="1" si="29"/>
        <v>1.18</v>
      </c>
      <c r="G413" s="1">
        <f t="shared" ca="1" si="30"/>
        <v>0.15</v>
      </c>
      <c r="H413" s="1">
        <f t="shared" ca="1" si="31"/>
        <v>1.54</v>
      </c>
    </row>
    <row r="414" spans="1:8">
      <c r="A414" s="1">
        <v>409</v>
      </c>
      <c r="B414" s="8">
        <f ca="1">_xlfn.MAXIFS(Transactions[Transaction Date], Transactions[CustomerID],A414)</f>
        <v>43448</v>
      </c>
      <c r="C414" s="1">
        <f t="shared" ca="1" si="28"/>
        <v>2</v>
      </c>
      <c r="D414" s="1">
        <f ca="1">COUNTIF(Transactions[CustomerID],"="&amp;A414)</f>
        <v>1</v>
      </c>
      <c r="E414" s="9">
        <f ca="1">_xlfn.MAXIFS(Transactions[Transaction Amount], Transactions[CustomerID],A414)/'Customer Profiles'!$M$10</f>
        <v>0.49907743856775444</v>
      </c>
      <c r="F414" s="1">
        <f t="shared" ca="1" si="29"/>
        <v>0.47</v>
      </c>
      <c r="G414" s="1">
        <f t="shared" ca="1" si="30"/>
        <v>0.15</v>
      </c>
      <c r="H414" s="1">
        <f t="shared" ca="1" si="31"/>
        <v>0.95</v>
      </c>
    </row>
    <row r="415" spans="1:8">
      <c r="A415" s="1">
        <v>410</v>
      </c>
      <c r="B415" s="8">
        <f ca="1">_xlfn.MAXIFS(Transactions[Transaction Date], Transactions[CustomerID],A415)</f>
        <v>43331</v>
      </c>
      <c r="C415" s="1">
        <f t="shared" ca="1" si="28"/>
        <v>6</v>
      </c>
      <c r="D415" s="1">
        <f ca="1">COUNTIF(Transactions[CustomerID],"="&amp;A415)</f>
        <v>1</v>
      </c>
      <c r="E415" s="9">
        <f ca="1">_xlfn.MAXIFS(Transactions[Transaction Amount], Transactions[CustomerID],A415)/'Customer Profiles'!$M$10</f>
        <v>1.719126579922635</v>
      </c>
      <c r="F415" s="1">
        <f t="shared" ca="1" si="29"/>
        <v>1.42</v>
      </c>
      <c r="G415" s="1">
        <f t="shared" ca="1" si="30"/>
        <v>0.15</v>
      </c>
      <c r="H415" s="1">
        <f t="shared" ca="1" si="31"/>
        <v>2.68</v>
      </c>
    </row>
    <row r="416" spans="1:8">
      <c r="A416" s="1">
        <v>411</v>
      </c>
      <c r="B416" s="8">
        <f ca="1">_xlfn.MAXIFS(Transactions[Transaction Date], Transactions[CustomerID],A416)</f>
        <v>43297</v>
      </c>
      <c r="C416" s="1">
        <f t="shared" ca="1" si="28"/>
        <v>7</v>
      </c>
      <c r="D416" s="1">
        <f ca="1">COUNTIF(Transactions[CustomerID],"="&amp;A416)</f>
        <v>1</v>
      </c>
      <c r="E416" s="9">
        <f ca="1">_xlfn.MAXIFS(Transactions[Transaction Amount], Transactions[CustomerID],A416)/'Customer Profiles'!$M$10</f>
        <v>3.7272099490608221</v>
      </c>
      <c r="F416" s="1">
        <f t="shared" ca="1" si="29"/>
        <v>1.65</v>
      </c>
      <c r="G416" s="1">
        <f t="shared" ca="1" si="30"/>
        <v>0.15</v>
      </c>
      <c r="H416" s="1">
        <f t="shared" ca="1" si="31"/>
        <v>4.1399999999999997</v>
      </c>
    </row>
    <row r="417" spans="1:8">
      <c r="A417" s="1">
        <v>412</v>
      </c>
      <c r="B417" s="8">
        <f ca="1">_xlfn.MAXIFS(Transactions[Transaction Date], Transactions[CustomerID],A417)</f>
        <v>43412</v>
      </c>
      <c r="C417" s="1">
        <f t="shared" ca="1" si="28"/>
        <v>3</v>
      </c>
      <c r="D417" s="1">
        <f ca="1">COUNTIF(Transactions[CustomerID],"="&amp;A417)</f>
        <v>5</v>
      </c>
      <c r="E417" s="9">
        <f ca="1">_xlfn.MAXIFS(Transactions[Transaction Amount], Transactions[CustomerID],A417)/'Customer Profiles'!$M$10</f>
        <v>5.7937440771672337</v>
      </c>
      <c r="F417" s="1">
        <f t="shared" ca="1" si="29"/>
        <v>0.71</v>
      </c>
      <c r="G417" s="1">
        <f t="shared" ca="1" si="30"/>
        <v>0.75</v>
      </c>
      <c r="H417" s="1">
        <f t="shared" ca="1" si="31"/>
        <v>4.9800000000000004</v>
      </c>
    </row>
    <row r="418" spans="1:8">
      <c r="A418" s="1">
        <v>413</v>
      </c>
      <c r="B418" s="8">
        <f ca="1">_xlfn.MAXIFS(Transactions[Transaction Date], Transactions[CustomerID],A418)</f>
        <v>43445</v>
      </c>
      <c r="C418" s="1">
        <f t="shared" ca="1" si="28"/>
        <v>2</v>
      </c>
      <c r="D418" s="1">
        <f ca="1">COUNTIF(Transactions[CustomerID],"="&amp;A418)</f>
        <v>31</v>
      </c>
      <c r="E418" s="9">
        <f ca="1">_xlfn.MAXIFS(Transactions[Transaction Amount], Transactions[CustomerID],A418)/'Customer Profiles'!$M$10</f>
        <v>3.0921726375820162</v>
      </c>
      <c r="F418" s="1">
        <f t="shared" ca="1" si="29"/>
        <v>0.47</v>
      </c>
      <c r="G418" s="1">
        <f t="shared" ca="1" si="30"/>
        <v>4.6500000000000004</v>
      </c>
      <c r="H418" s="1">
        <f t="shared" ca="1" si="31"/>
        <v>7.01</v>
      </c>
    </row>
    <row r="419" spans="1:8">
      <c r="A419" s="1">
        <v>414</v>
      </c>
      <c r="B419" s="8">
        <f ca="1">_xlfn.MAXIFS(Transactions[Transaction Date], Transactions[CustomerID],A419)</f>
        <v>43021</v>
      </c>
      <c r="C419" s="1">
        <f t="shared" ca="1" si="28"/>
        <v>4</v>
      </c>
      <c r="D419" s="1">
        <f ca="1">COUNTIF(Transactions[CustomerID],"="&amp;A419)</f>
        <v>1</v>
      </c>
      <c r="E419" s="9">
        <f ca="1">_xlfn.MAXIFS(Transactions[Transaction Amount], Transactions[CustomerID],A419)/'Customer Profiles'!$M$10</f>
        <v>5.4006228324940251</v>
      </c>
      <c r="F419" s="1">
        <f t="shared" ca="1" si="29"/>
        <v>0.94</v>
      </c>
      <c r="G419" s="1">
        <f t="shared" ca="1" si="30"/>
        <v>0.15</v>
      </c>
      <c r="H419" s="1">
        <f t="shared" ca="1" si="31"/>
        <v>4.3899999999999997</v>
      </c>
    </row>
    <row r="420" spans="1:8">
      <c r="A420" s="1">
        <v>415</v>
      </c>
      <c r="B420" s="8">
        <f ca="1">_xlfn.MAXIFS(Transactions[Transaction Date], Transactions[CustomerID],A420)</f>
        <v>43430</v>
      </c>
      <c r="C420" s="1">
        <f t="shared" ca="1" si="28"/>
        <v>3</v>
      </c>
      <c r="D420" s="1">
        <f ca="1">COUNTIF(Transactions[CustomerID],"="&amp;A420)</f>
        <v>25</v>
      </c>
      <c r="E420" s="9">
        <f ca="1">_xlfn.MAXIFS(Transactions[Transaction Amount], Transactions[CustomerID],A420)/'Customer Profiles'!$M$10</f>
        <v>7.1623263263007821</v>
      </c>
      <c r="F420" s="1">
        <f t="shared" ca="1" si="29"/>
        <v>0.71</v>
      </c>
      <c r="G420" s="1">
        <f t="shared" ca="1" si="30"/>
        <v>3.75</v>
      </c>
      <c r="H420" s="1">
        <f t="shared" ca="1" si="31"/>
        <v>8.8000000000000007</v>
      </c>
    </row>
    <row r="421" spans="1:8">
      <c r="A421" s="1">
        <v>416</v>
      </c>
      <c r="B421" s="8">
        <f ca="1">_xlfn.MAXIFS(Transactions[Transaction Date], Transactions[CustomerID],A421)</f>
        <v>43425</v>
      </c>
      <c r="C421" s="1">
        <f t="shared" ca="1" si="28"/>
        <v>3</v>
      </c>
      <c r="D421" s="1">
        <f ca="1">COUNTIF(Transactions[CustomerID],"="&amp;A421)</f>
        <v>4</v>
      </c>
      <c r="E421" s="9">
        <f ca="1">_xlfn.MAXIFS(Transactions[Transaction Amount], Transactions[CustomerID],A421)/'Customer Profiles'!$M$10</f>
        <v>0.81001039780310091</v>
      </c>
      <c r="F421" s="1">
        <f t="shared" ca="1" si="29"/>
        <v>0.71</v>
      </c>
      <c r="G421" s="1">
        <f t="shared" ca="1" si="30"/>
        <v>0.6</v>
      </c>
      <c r="H421" s="1">
        <f t="shared" ca="1" si="31"/>
        <v>1.84</v>
      </c>
    </row>
    <row r="422" spans="1:8">
      <c r="A422" s="1">
        <v>417</v>
      </c>
      <c r="B422" s="8">
        <f ca="1">_xlfn.MAXIFS(Transactions[Transaction Date], Transactions[CustomerID],A422)</f>
        <v>43388</v>
      </c>
      <c r="C422" s="1">
        <f t="shared" ca="1" si="28"/>
        <v>4</v>
      </c>
      <c r="D422" s="1">
        <f ca="1">COUNTIF(Transactions[CustomerID],"="&amp;A422)</f>
        <v>6</v>
      </c>
      <c r="E422" s="9">
        <f ca="1">_xlfn.MAXIFS(Transactions[Transaction Amount], Transactions[CustomerID],A422)/'Customer Profiles'!$M$10</f>
        <v>7.1408041098705928</v>
      </c>
      <c r="F422" s="1">
        <f t="shared" ca="1" si="29"/>
        <v>0.94</v>
      </c>
      <c r="G422" s="1">
        <f t="shared" ca="1" si="30"/>
        <v>0.9</v>
      </c>
      <c r="H422" s="1">
        <f t="shared" ca="1" si="31"/>
        <v>6.18</v>
      </c>
    </row>
    <row r="423" spans="1:8">
      <c r="A423" s="1">
        <v>418</v>
      </c>
      <c r="B423" s="8">
        <f ca="1">_xlfn.MAXIFS(Transactions[Transaction Date], Transactions[CustomerID],A423)</f>
        <v>43335</v>
      </c>
      <c r="C423" s="1">
        <f t="shared" ca="1" si="28"/>
        <v>6</v>
      </c>
      <c r="D423" s="1">
        <f ca="1">COUNTIF(Transactions[CustomerID],"="&amp;A423)</f>
        <v>1</v>
      </c>
      <c r="E423" s="9">
        <f ca="1">_xlfn.MAXIFS(Transactions[Transaction Amount], Transactions[CustomerID],A423)/'Customer Profiles'!$M$10</f>
        <v>0.1585439342863651</v>
      </c>
      <c r="F423" s="1">
        <f t="shared" ca="1" si="29"/>
        <v>1.42</v>
      </c>
      <c r="G423" s="1">
        <f t="shared" ca="1" si="30"/>
        <v>0.15</v>
      </c>
      <c r="H423" s="1">
        <f t="shared" ca="1" si="31"/>
        <v>1.75</v>
      </c>
    </row>
    <row r="424" spans="1:8">
      <c r="A424" s="1">
        <v>419</v>
      </c>
      <c r="B424" s="8">
        <f ca="1">_xlfn.MAXIFS(Transactions[Transaction Date], Transactions[CustomerID],A424)</f>
        <v>42795</v>
      </c>
      <c r="C424" s="1">
        <f t="shared" ca="1" si="28"/>
        <v>1</v>
      </c>
      <c r="D424" s="1">
        <f ca="1">COUNTIF(Transactions[CustomerID],"="&amp;A424)</f>
        <v>1</v>
      </c>
      <c r="E424" s="9">
        <f ca="1">_xlfn.MAXIFS(Transactions[Transaction Amount], Transactions[CustomerID],A424)/'Customer Profiles'!$M$10</f>
        <v>0.47806756099666892</v>
      </c>
      <c r="F424" s="1">
        <f t="shared" ca="1" si="29"/>
        <v>0.24</v>
      </c>
      <c r="G424" s="1">
        <f t="shared" ca="1" si="30"/>
        <v>0.15</v>
      </c>
      <c r="H424" s="1">
        <f t="shared" ca="1" si="31"/>
        <v>0.69</v>
      </c>
    </row>
    <row r="425" spans="1:8">
      <c r="A425" s="1">
        <v>420</v>
      </c>
      <c r="B425" s="8">
        <f ca="1">_xlfn.MAXIFS(Transactions[Transaction Date], Transactions[CustomerID],A425)</f>
        <v>43489</v>
      </c>
      <c r="C425" s="1">
        <f t="shared" ca="1" si="28"/>
        <v>1</v>
      </c>
      <c r="D425" s="1">
        <f ca="1">COUNTIF(Transactions[CustomerID],"="&amp;A425)</f>
        <v>3</v>
      </c>
      <c r="E425" s="9">
        <f ca="1">_xlfn.MAXIFS(Transactions[Transaction Amount], Transactions[CustomerID],A425)/'Customer Profiles'!$M$10</f>
        <v>0.1533527031267303</v>
      </c>
      <c r="F425" s="1">
        <f t="shared" ca="1" si="29"/>
        <v>0.24</v>
      </c>
      <c r="G425" s="1">
        <f t="shared" ca="1" si="30"/>
        <v>0.45</v>
      </c>
      <c r="H425" s="1">
        <f t="shared" ca="1" si="31"/>
        <v>0.79</v>
      </c>
    </row>
    <row r="426" spans="1:8">
      <c r="A426" s="1">
        <v>421</v>
      </c>
      <c r="B426" s="8">
        <f ca="1">_xlfn.MAXIFS(Transactions[Transaction Date], Transactions[CustomerID],A426)</f>
        <v>43169</v>
      </c>
      <c r="C426" s="1">
        <f t="shared" ca="1" si="28"/>
        <v>11</v>
      </c>
      <c r="D426" s="1">
        <f ca="1">COUNTIF(Transactions[CustomerID],"="&amp;A426)</f>
        <v>1</v>
      </c>
      <c r="E426" s="9">
        <f ca="1">_xlfn.MAXIFS(Transactions[Transaction Amount], Transactions[CustomerID],A426)/'Customer Profiles'!$M$10</f>
        <v>8.3261642443404699E-2</v>
      </c>
      <c r="F426" s="1">
        <f t="shared" ca="1" si="29"/>
        <v>2.59</v>
      </c>
      <c r="G426" s="1">
        <f t="shared" ca="1" si="30"/>
        <v>0.15</v>
      </c>
      <c r="H426" s="1">
        <f t="shared" ca="1" si="31"/>
        <v>2.95</v>
      </c>
    </row>
    <row r="427" spans="1:8">
      <c r="A427" s="1">
        <v>422</v>
      </c>
      <c r="B427" s="8">
        <f ca="1">_xlfn.MAXIFS(Transactions[Transaction Date], Transactions[CustomerID],A427)</f>
        <v>43475</v>
      </c>
      <c r="C427" s="1">
        <f t="shared" ca="1" si="28"/>
        <v>1</v>
      </c>
      <c r="D427" s="1">
        <f ca="1">COUNTIF(Transactions[CustomerID],"="&amp;A427)</f>
        <v>18</v>
      </c>
      <c r="E427" s="9">
        <f ca="1">_xlfn.MAXIFS(Transactions[Transaction Amount], Transactions[CustomerID],A427)/'Customer Profiles'!$M$10</f>
        <v>6.6022063844385244</v>
      </c>
      <c r="F427" s="1">
        <f t="shared" ca="1" si="29"/>
        <v>0.24</v>
      </c>
      <c r="G427" s="1">
        <f t="shared" ca="1" si="30"/>
        <v>2.7</v>
      </c>
      <c r="H427" s="1">
        <f t="shared" ca="1" si="31"/>
        <v>6.91</v>
      </c>
    </row>
    <row r="428" spans="1:8">
      <c r="A428" s="1">
        <v>423</v>
      </c>
      <c r="B428" s="8">
        <f ca="1">_xlfn.MAXIFS(Transactions[Transaction Date], Transactions[CustomerID],A428)</f>
        <v>43479</v>
      </c>
      <c r="C428" s="1">
        <f t="shared" ca="1" si="28"/>
        <v>1</v>
      </c>
      <c r="D428" s="1">
        <f ca="1">COUNTIF(Transactions[CustomerID],"="&amp;A428)</f>
        <v>26</v>
      </c>
      <c r="E428" s="9">
        <f ca="1">_xlfn.MAXIFS(Transactions[Transaction Amount], Transactions[CustomerID],A428)/'Customer Profiles'!$M$10</f>
        <v>2.8668696413904744</v>
      </c>
      <c r="F428" s="1">
        <f t="shared" ca="1" si="29"/>
        <v>0.24</v>
      </c>
      <c r="G428" s="1">
        <f t="shared" ca="1" si="30"/>
        <v>3.9</v>
      </c>
      <c r="H428" s="1">
        <f t="shared" ca="1" si="31"/>
        <v>5.87</v>
      </c>
    </row>
    <row r="429" spans="1:8">
      <c r="A429" s="1">
        <v>424</v>
      </c>
      <c r="B429" s="8">
        <f ca="1">_xlfn.MAXIFS(Transactions[Transaction Date], Transactions[CustomerID],A429)</f>
        <v>43482</v>
      </c>
      <c r="C429" s="1">
        <f t="shared" ca="1" si="28"/>
        <v>1</v>
      </c>
      <c r="D429" s="1">
        <f ca="1">COUNTIF(Transactions[CustomerID],"="&amp;A429)</f>
        <v>14</v>
      </c>
      <c r="E429" s="9">
        <f ca="1">_xlfn.MAXIFS(Transactions[Transaction Amount], Transactions[CustomerID],A429)/'Customer Profiles'!$M$10</f>
        <v>3.8792608447771451</v>
      </c>
      <c r="F429" s="1">
        <f t="shared" ca="1" si="29"/>
        <v>0.24</v>
      </c>
      <c r="G429" s="1">
        <f t="shared" ca="1" si="30"/>
        <v>2.1</v>
      </c>
      <c r="H429" s="1">
        <f t="shared" ca="1" si="31"/>
        <v>4.68</v>
      </c>
    </row>
    <row r="430" spans="1:8">
      <c r="A430" s="1">
        <v>425</v>
      </c>
      <c r="B430" s="8">
        <f ca="1">_xlfn.MAXIFS(Transactions[Transaction Date], Transactions[CustomerID],A430)</f>
        <v>42905</v>
      </c>
      <c r="C430" s="1">
        <f t="shared" ca="1" si="28"/>
        <v>8</v>
      </c>
      <c r="D430" s="1">
        <f ca="1">COUNTIF(Transactions[CustomerID],"="&amp;A430)</f>
        <v>1</v>
      </c>
      <c r="E430" s="9">
        <f ca="1">_xlfn.MAXIFS(Transactions[Transaction Amount], Transactions[CustomerID],A430)/'Customer Profiles'!$M$10</f>
        <v>0.21383196613879837</v>
      </c>
      <c r="F430" s="1">
        <f t="shared" ca="1" si="29"/>
        <v>1.89</v>
      </c>
      <c r="G430" s="1">
        <f t="shared" ca="1" si="30"/>
        <v>0.15</v>
      </c>
      <c r="H430" s="1">
        <f t="shared" ca="1" si="31"/>
        <v>2.2799999999999998</v>
      </c>
    </row>
    <row r="431" spans="1:8">
      <c r="A431" s="1">
        <v>426</v>
      </c>
      <c r="B431" s="8">
        <f ca="1">_xlfn.MAXIFS(Transactions[Transaction Date], Transactions[CustomerID],A431)</f>
        <v>43474</v>
      </c>
      <c r="C431" s="1">
        <f t="shared" ca="1" si="28"/>
        <v>1</v>
      </c>
      <c r="D431" s="1">
        <f ca="1">COUNTIF(Transactions[CustomerID],"="&amp;A431)</f>
        <v>28</v>
      </c>
      <c r="E431" s="9">
        <f ca="1">_xlfn.MAXIFS(Transactions[Transaction Amount], Transactions[CustomerID],A431)/'Customer Profiles'!$M$10</f>
        <v>4.5617967400570532</v>
      </c>
      <c r="F431" s="1">
        <f t="shared" ca="1" si="29"/>
        <v>0.24</v>
      </c>
      <c r="G431" s="1">
        <f t="shared" ca="1" si="30"/>
        <v>4.2</v>
      </c>
      <c r="H431" s="1">
        <f t="shared" ca="1" si="31"/>
        <v>7.19</v>
      </c>
    </row>
    <row r="432" spans="1:8">
      <c r="A432" s="1">
        <v>427</v>
      </c>
      <c r="B432" s="8">
        <f ca="1">_xlfn.MAXIFS(Transactions[Transaction Date], Transactions[CustomerID],A432)</f>
        <v>43492</v>
      </c>
      <c r="C432" s="1">
        <f t="shared" ca="1" si="28"/>
        <v>1</v>
      </c>
      <c r="D432" s="1">
        <f ca="1">COUNTIF(Transactions[CustomerID],"="&amp;A432)</f>
        <v>16</v>
      </c>
      <c r="E432" s="9">
        <f ca="1">_xlfn.MAXIFS(Transactions[Transaction Amount], Transactions[CustomerID],A432)/'Customer Profiles'!$M$10</f>
        <v>3.7580414042016854</v>
      </c>
      <c r="F432" s="1">
        <f t="shared" ca="1" si="29"/>
        <v>0.24</v>
      </c>
      <c r="G432" s="1">
        <f t="shared" ca="1" si="30"/>
        <v>2.4</v>
      </c>
      <c r="H432" s="1">
        <f t="shared" ca="1" si="31"/>
        <v>4.9000000000000004</v>
      </c>
    </row>
    <row r="433" spans="1:8">
      <c r="A433" s="1">
        <v>428</v>
      </c>
      <c r="B433" s="8">
        <f ca="1">_xlfn.MAXIFS(Transactions[Transaction Date], Transactions[CustomerID],A433)</f>
        <v>42846</v>
      </c>
      <c r="C433" s="1">
        <f t="shared" ca="1" si="28"/>
        <v>10</v>
      </c>
      <c r="D433" s="1">
        <f ca="1">COUNTIF(Transactions[CustomerID],"="&amp;A433)</f>
        <v>1</v>
      </c>
      <c r="E433" s="9">
        <f ca="1">_xlfn.MAXIFS(Transactions[Transaction Amount], Transactions[CustomerID],A433)/'Customer Profiles'!$M$10</f>
        <v>0.18188606534160812</v>
      </c>
      <c r="F433" s="1">
        <f t="shared" ca="1" si="29"/>
        <v>2.36</v>
      </c>
      <c r="G433" s="1">
        <f t="shared" ca="1" si="30"/>
        <v>0.15</v>
      </c>
      <c r="H433" s="1">
        <f t="shared" ca="1" si="31"/>
        <v>2.76</v>
      </c>
    </row>
    <row r="434" spans="1:8">
      <c r="A434" s="1">
        <v>429</v>
      </c>
      <c r="B434" s="8">
        <f ca="1">_xlfn.MAXIFS(Transactions[Transaction Date], Transactions[CustomerID],A434)</f>
        <v>43046</v>
      </c>
      <c r="C434" s="1">
        <f t="shared" ca="1" si="28"/>
        <v>3</v>
      </c>
      <c r="D434" s="1">
        <f ca="1">COUNTIF(Transactions[CustomerID],"="&amp;A434)</f>
        <v>1</v>
      </c>
      <c r="E434" s="9">
        <f ca="1">_xlfn.MAXIFS(Transactions[Transaction Amount], Transactions[CustomerID],A434)/'Customer Profiles'!$M$10</f>
        <v>0.93375148415901643</v>
      </c>
      <c r="F434" s="1">
        <f t="shared" ca="1" si="29"/>
        <v>0.71</v>
      </c>
      <c r="G434" s="1">
        <f t="shared" ca="1" si="30"/>
        <v>0.15</v>
      </c>
      <c r="H434" s="1">
        <f t="shared" ca="1" si="31"/>
        <v>1.46</v>
      </c>
    </row>
    <row r="435" spans="1:8">
      <c r="A435" s="1">
        <v>430</v>
      </c>
      <c r="B435" s="8">
        <f ca="1">_xlfn.MAXIFS(Transactions[Transaction Date], Transactions[CustomerID],A435)</f>
        <v>43228</v>
      </c>
      <c r="C435" s="1">
        <f t="shared" ca="1" si="28"/>
        <v>9</v>
      </c>
      <c r="D435" s="1">
        <f ca="1">COUNTIF(Transactions[CustomerID],"="&amp;A435)</f>
        <v>1</v>
      </c>
      <c r="E435" s="9">
        <f ca="1">_xlfn.MAXIFS(Transactions[Transaction Amount], Transactions[CustomerID],A435)/'Customer Profiles'!$M$10</f>
        <v>6.3024029605209933E-2</v>
      </c>
      <c r="F435" s="1">
        <f t="shared" ca="1" si="29"/>
        <v>2.12</v>
      </c>
      <c r="G435" s="1">
        <f t="shared" ca="1" si="30"/>
        <v>0.15</v>
      </c>
      <c r="H435" s="1">
        <f t="shared" ca="1" si="31"/>
        <v>2.44</v>
      </c>
    </row>
    <row r="436" spans="1:8">
      <c r="A436" s="1">
        <v>431</v>
      </c>
      <c r="B436" s="8">
        <f ca="1">_xlfn.MAXIFS(Transactions[Transaction Date], Transactions[CustomerID],A436)</f>
        <v>42808</v>
      </c>
      <c r="C436" s="1">
        <f t="shared" ca="1" si="28"/>
        <v>11</v>
      </c>
      <c r="D436" s="1">
        <f ca="1">COUNTIF(Transactions[CustomerID],"="&amp;A436)</f>
        <v>1</v>
      </c>
      <c r="E436" s="9">
        <f ca="1">_xlfn.MAXIFS(Transactions[Transaction Amount], Transactions[CustomerID],A436)/'Customer Profiles'!$M$10</f>
        <v>1.9788700456418815</v>
      </c>
      <c r="F436" s="1">
        <f t="shared" ca="1" si="29"/>
        <v>2.59</v>
      </c>
      <c r="G436" s="1">
        <f t="shared" ca="1" si="30"/>
        <v>0.15</v>
      </c>
      <c r="H436" s="1">
        <f t="shared" ca="1" si="31"/>
        <v>4.09</v>
      </c>
    </row>
    <row r="437" spans="1:8">
      <c r="A437" s="1">
        <v>432</v>
      </c>
      <c r="B437" s="8">
        <f ca="1">_xlfn.MAXIFS(Transactions[Transaction Date], Transactions[CustomerID],A437)</f>
        <v>43188</v>
      </c>
      <c r="C437" s="1">
        <f t="shared" ca="1" si="28"/>
        <v>11</v>
      </c>
      <c r="D437" s="1">
        <f ca="1">COUNTIF(Transactions[CustomerID],"="&amp;A437)</f>
        <v>1</v>
      </c>
      <c r="E437" s="9">
        <f ca="1">_xlfn.MAXIFS(Transactions[Transaction Amount], Transactions[CustomerID],A437)/'Customer Profiles'!$M$10</f>
        <v>0.51413691914288584</v>
      </c>
      <c r="F437" s="1">
        <f t="shared" ca="1" si="29"/>
        <v>2.59</v>
      </c>
      <c r="G437" s="1">
        <f t="shared" ca="1" si="30"/>
        <v>0.15</v>
      </c>
      <c r="H437" s="1">
        <f t="shared" ca="1" si="31"/>
        <v>3.21</v>
      </c>
    </row>
    <row r="438" spans="1:8">
      <c r="A438" s="1">
        <v>433</v>
      </c>
      <c r="B438" s="8">
        <f ca="1">_xlfn.MAXIFS(Transactions[Transaction Date], Transactions[CustomerID],A438)</f>
        <v>43450</v>
      </c>
      <c r="C438" s="1">
        <f t="shared" ca="1" si="28"/>
        <v>2</v>
      </c>
      <c r="D438" s="1">
        <f ca="1">COUNTIF(Transactions[CustomerID],"="&amp;A438)</f>
        <v>1</v>
      </c>
      <c r="E438" s="9">
        <f ca="1">_xlfn.MAXIFS(Transactions[Transaction Amount], Transactions[CustomerID],A438)/'Customer Profiles'!$M$10</f>
        <v>2.0604477527285852</v>
      </c>
      <c r="F438" s="1">
        <f t="shared" ca="1" si="29"/>
        <v>0.47</v>
      </c>
      <c r="G438" s="1">
        <f t="shared" ca="1" si="30"/>
        <v>0.15</v>
      </c>
      <c r="H438" s="1">
        <f t="shared" ca="1" si="31"/>
        <v>1.89</v>
      </c>
    </row>
    <row r="439" spans="1:8">
      <c r="A439" s="1">
        <v>434</v>
      </c>
      <c r="B439" s="8">
        <f ca="1">_xlfn.MAXIFS(Transactions[Transaction Date], Transactions[CustomerID],A439)</f>
        <v>43281</v>
      </c>
      <c r="C439" s="1">
        <f t="shared" ca="1" si="28"/>
        <v>8</v>
      </c>
      <c r="D439" s="1">
        <f ca="1">COUNTIF(Transactions[CustomerID],"="&amp;A439)</f>
        <v>1</v>
      </c>
      <c r="E439" s="9">
        <f ca="1">_xlfn.MAXIFS(Transactions[Transaction Amount], Transactions[CustomerID],A439)/'Customer Profiles'!$M$10</f>
        <v>5.7077618498821377E-2</v>
      </c>
      <c r="F439" s="1">
        <f t="shared" ca="1" si="29"/>
        <v>1.89</v>
      </c>
      <c r="G439" s="1">
        <f t="shared" ca="1" si="30"/>
        <v>0.15</v>
      </c>
      <c r="H439" s="1">
        <f t="shared" ca="1" si="31"/>
        <v>2.1800000000000002</v>
      </c>
    </row>
    <row r="440" spans="1:8">
      <c r="A440" s="1">
        <v>435</v>
      </c>
      <c r="B440" s="8">
        <f ca="1">_xlfn.MAXIFS(Transactions[Transaction Date], Transactions[CustomerID],A440)</f>
        <v>43296</v>
      </c>
      <c r="C440" s="1">
        <f t="shared" ca="1" si="28"/>
        <v>7</v>
      </c>
      <c r="D440" s="1">
        <f ca="1">COUNTIF(Transactions[CustomerID],"="&amp;A440)</f>
        <v>1</v>
      </c>
      <c r="E440" s="9">
        <f ca="1">_xlfn.MAXIFS(Transactions[Transaction Amount], Transactions[CustomerID],A440)/'Customer Profiles'!$M$10</f>
        <v>1.4780003236299684</v>
      </c>
      <c r="F440" s="1">
        <f t="shared" ca="1" si="29"/>
        <v>1.65</v>
      </c>
      <c r="G440" s="1">
        <f t="shared" ca="1" si="30"/>
        <v>0.15</v>
      </c>
      <c r="H440" s="1">
        <f t="shared" ca="1" si="31"/>
        <v>2.79</v>
      </c>
    </row>
    <row r="441" spans="1:8">
      <c r="A441" s="1">
        <v>436</v>
      </c>
      <c r="B441" s="8">
        <f ca="1">_xlfn.MAXIFS(Transactions[Transaction Date], Transactions[CustomerID],A441)</f>
        <v>43267</v>
      </c>
      <c r="C441" s="1">
        <f t="shared" ca="1" si="28"/>
        <v>8</v>
      </c>
      <c r="D441" s="1">
        <f ca="1">COUNTIF(Transactions[CustomerID],"="&amp;A441)</f>
        <v>1</v>
      </c>
      <c r="E441" s="9">
        <f ca="1">_xlfn.MAXIFS(Transactions[Transaction Amount], Transactions[CustomerID],A441)/'Customer Profiles'!$M$10</f>
        <v>0.15977014807139825</v>
      </c>
      <c r="F441" s="1">
        <f t="shared" ca="1" si="29"/>
        <v>1.89</v>
      </c>
      <c r="G441" s="1">
        <f t="shared" ca="1" si="30"/>
        <v>0.15</v>
      </c>
      <c r="H441" s="1">
        <f t="shared" ca="1" si="31"/>
        <v>2.25</v>
      </c>
    </row>
    <row r="442" spans="1:8">
      <c r="A442" s="1">
        <v>437</v>
      </c>
      <c r="B442" s="8">
        <f ca="1">_xlfn.MAXIFS(Transactions[Transaction Date], Transactions[CustomerID],A442)</f>
        <v>43477</v>
      </c>
      <c r="C442" s="1">
        <f t="shared" ca="1" si="28"/>
        <v>1</v>
      </c>
      <c r="D442" s="1">
        <f ca="1">COUNTIF(Transactions[CustomerID],"="&amp;A442)</f>
        <v>44</v>
      </c>
      <c r="E442" s="9">
        <f ca="1">_xlfn.MAXIFS(Transactions[Transaction Amount], Transactions[CustomerID],A442)/'Customer Profiles'!$M$10</f>
        <v>4.7611678979454162</v>
      </c>
      <c r="F442" s="1">
        <f t="shared" ca="1" si="29"/>
        <v>0.24</v>
      </c>
      <c r="G442" s="1">
        <f t="shared" ca="1" si="30"/>
        <v>6.6</v>
      </c>
      <c r="H442" s="1">
        <f t="shared" ca="1" si="31"/>
        <v>9.7100000000000009</v>
      </c>
    </row>
    <row r="443" spans="1:8">
      <c r="A443" s="1">
        <v>438</v>
      </c>
      <c r="B443" s="8">
        <f ca="1">_xlfn.MAXIFS(Transactions[Transaction Date], Transactions[CustomerID],A443)</f>
        <v>43455</v>
      </c>
      <c r="C443" s="1">
        <f t="shared" ca="1" si="28"/>
        <v>2</v>
      </c>
      <c r="D443" s="1">
        <f ca="1">COUNTIF(Transactions[CustomerID],"="&amp;A443)</f>
        <v>9</v>
      </c>
      <c r="E443" s="9">
        <f ca="1">_xlfn.MAXIFS(Transactions[Transaction Amount], Transactions[CustomerID],A443)/'Customer Profiles'!$M$10</f>
        <v>3.4669939947137984</v>
      </c>
      <c r="F443" s="1">
        <f t="shared" ca="1" si="29"/>
        <v>0.47</v>
      </c>
      <c r="G443" s="1">
        <f t="shared" ca="1" si="30"/>
        <v>1.35</v>
      </c>
      <c r="H443" s="1">
        <f t="shared" ca="1" si="31"/>
        <v>3.93</v>
      </c>
    </row>
    <row r="444" spans="1:8">
      <c r="A444" s="1">
        <v>439</v>
      </c>
      <c r="B444" s="8">
        <f ca="1">_xlfn.MAXIFS(Transactions[Transaction Date], Transactions[CustomerID],A444)</f>
        <v>43108</v>
      </c>
      <c r="C444" s="1">
        <f t="shared" ca="1" si="28"/>
        <v>1</v>
      </c>
      <c r="D444" s="1">
        <f ca="1">COUNTIF(Transactions[CustomerID],"="&amp;A444)</f>
        <v>3</v>
      </c>
      <c r="E444" s="9">
        <f ca="1">_xlfn.MAXIFS(Transactions[Transaction Amount], Transactions[CustomerID],A444)/'Customer Profiles'!$M$10</f>
        <v>0.47509255164403869</v>
      </c>
      <c r="F444" s="1">
        <f t="shared" ca="1" si="29"/>
        <v>0.24</v>
      </c>
      <c r="G444" s="1">
        <f t="shared" ca="1" si="30"/>
        <v>0.45</v>
      </c>
      <c r="H444" s="1">
        <f t="shared" ca="1" si="31"/>
        <v>0.99</v>
      </c>
    </row>
    <row r="445" spans="1:8">
      <c r="A445" s="1">
        <v>440</v>
      </c>
      <c r="B445" s="8">
        <f ca="1">_xlfn.MAXIFS(Transactions[Transaction Date], Transactions[CustomerID],A445)</f>
        <v>43380</v>
      </c>
      <c r="C445" s="1">
        <f t="shared" ca="1" si="28"/>
        <v>4</v>
      </c>
      <c r="D445" s="1">
        <f ca="1">COUNTIF(Transactions[CustomerID],"="&amp;A445)</f>
        <v>1</v>
      </c>
      <c r="E445" s="9">
        <f ca="1">_xlfn.MAXIFS(Transactions[Transaction Amount], Transactions[CustomerID],A445)/'Customer Profiles'!$M$10</f>
        <v>0.3193450034846041</v>
      </c>
      <c r="F445" s="1">
        <f t="shared" ca="1" si="29"/>
        <v>0.94</v>
      </c>
      <c r="G445" s="1">
        <f t="shared" ca="1" si="30"/>
        <v>0.15</v>
      </c>
      <c r="H445" s="1">
        <f t="shared" ca="1" si="31"/>
        <v>1.34</v>
      </c>
    </row>
    <row r="446" spans="1:8">
      <c r="A446" s="1">
        <v>441</v>
      </c>
      <c r="B446" s="8">
        <f ca="1">_xlfn.MAXIFS(Transactions[Transaction Date], Transactions[CustomerID],A446)</f>
        <v>43102</v>
      </c>
      <c r="C446" s="1">
        <f t="shared" ca="1" si="28"/>
        <v>1</v>
      </c>
      <c r="D446" s="1">
        <f ca="1">COUNTIF(Transactions[CustomerID],"="&amp;A446)</f>
        <v>1</v>
      </c>
      <c r="E446" s="9">
        <f ca="1">_xlfn.MAXIFS(Transactions[Transaction Amount], Transactions[CustomerID],A446)/'Customer Profiles'!$M$10</f>
        <v>0.89153057669249847</v>
      </c>
      <c r="F446" s="1">
        <f t="shared" ca="1" si="29"/>
        <v>0.24</v>
      </c>
      <c r="G446" s="1">
        <f t="shared" ca="1" si="30"/>
        <v>0.15</v>
      </c>
      <c r="H446" s="1">
        <f t="shared" ca="1" si="31"/>
        <v>0.93</v>
      </c>
    </row>
    <row r="447" spans="1:8">
      <c r="A447" s="1">
        <v>442</v>
      </c>
      <c r="B447" s="8">
        <f ca="1">_xlfn.MAXIFS(Transactions[Transaction Date], Transactions[CustomerID],A447)</f>
        <v>42914</v>
      </c>
      <c r="C447" s="1">
        <f t="shared" ca="1" si="28"/>
        <v>8</v>
      </c>
      <c r="D447" s="1">
        <f ca="1">COUNTIF(Transactions[CustomerID],"="&amp;A447)</f>
        <v>1</v>
      </c>
      <c r="E447" s="9">
        <f ca="1">_xlfn.MAXIFS(Transactions[Transaction Amount], Transactions[CustomerID],A447)/'Customer Profiles'!$M$10</f>
        <v>0.75353783578004807</v>
      </c>
      <c r="F447" s="1">
        <f t="shared" ca="1" si="29"/>
        <v>1.89</v>
      </c>
      <c r="G447" s="1">
        <f t="shared" ca="1" si="30"/>
        <v>0.15</v>
      </c>
      <c r="H447" s="1">
        <f t="shared" ca="1" si="31"/>
        <v>2.6</v>
      </c>
    </row>
    <row r="448" spans="1:8">
      <c r="A448" s="1">
        <v>443</v>
      </c>
      <c r="B448" s="8">
        <f ca="1">_xlfn.MAXIFS(Transactions[Transaction Date], Transactions[CustomerID],A448)</f>
        <v>43386</v>
      </c>
      <c r="C448" s="1">
        <f t="shared" ca="1" si="28"/>
        <v>4</v>
      </c>
      <c r="D448" s="1">
        <f ca="1">COUNTIF(Transactions[CustomerID],"="&amp;A448)</f>
        <v>2</v>
      </c>
      <c r="E448" s="9">
        <f ca="1">_xlfn.MAXIFS(Transactions[Transaction Amount], Transactions[CustomerID],A448)/'Customer Profiles'!$M$10</f>
        <v>1.6123910642532084</v>
      </c>
      <c r="F448" s="1">
        <f t="shared" ca="1" si="29"/>
        <v>0.94</v>
      </c>
      <c r="G448" s="1">
        <f t="shared" ca="1" si="30"/>
        <v>0.3</v>
      </c>
      <c r="H448" s="1">
        <f t="shared" ca="1" si="31"/>
        <v>2.27</v>
      </c>
    </row>
    <row r="449" spans="1:8">
      <c r="A449" s="1">
        <v>444</v>
      </c>
      <c r="B449" s="8">
        <f ca="1">_xlfn.MAXIFS(Transactions[Transaction Date], Transactions[CustomerID],A449)</f>
        <v>43487</v>
      </c>
      <c r="C449" s="1">
        <f t="shared" ca="1" si="28"/>
        <v>1</v>
      </c>
      <c r="D449" s="1">
        <f ca="1">COUNTIF(Transactions[CustomerID],"="&amp;A449)</f>
        <v>33</v>
      </c>
      <c r="E449" s="9">
        <f ca="1">_xlfn.MAXIFS(Transactions[Transaction Amount], Transactions[CustomerID],A449)/'Customer Profiles'!$M$10</f>
        <v>1.7853612566174049</v>
      </c>
      <c r="F449" s="1">
        <f t="shared" ca="1" si="29"/>
        <v>0.24</v>
      </c>
      <c r="G449" s="1">
        <f t="shared" ca="1" si="30"/>
        <v>4.95</v>
      </c>
      <c r="H449" s="1">
        <f t="shared" ca="1" si="31"/>
        <v>6.27</v>
      </c>
    </row>
    <row r="450" spans="1:8">
      <c r="A450" s="1">
        <v>445</v>
      </c>
      <c r="B450" s="8">
        <f ca="1">_xlfn.MAXIFS(Transactions[Transaction Date], Transactions[CustomerID],A450)</f>
        <v>43354</v>
      </c>
      <c r="C450" s="1">
        <f t="shared" ca="1" si="28"/>
        <v>5</v>
      </c>
      <c r="D450" s="1">
        <f ca="1">COUNTIF(Transactions[CustomerID],"="&amp;A450)</f>
        <v>1</v>
      </c>
      <c r="E450" s="9">
        <f ca="1">_xlfn.MAXIFS(Transactions[Transaction Amount], Transactions[CustomerID],A450)/'Customer Profiles'!$M$10</f>
        <v>6.4439547015024121E-2</v>
      </c>
      <c r="F450" s="1">
        <f t="shared" ca="1" si="29"/>
        <v>1.18</v>
      </c>
      <c r="G450" s="1">
        <f t="shared" ca="1" si="30"/>
        <v>0.15</v>
      </c>
      <c r="H450" s="1">
        <f t="shared" ca="1" si="31"/>
        <v>1.44</v>
      </c>
    </row>
    <row r="451" spans="1:8">
      <c r="A451" s="1">
        <v>446</v>
      </c>
      <c r="B451" s="8">
        <f ca="1">_xlfn.MAXIFS(Transactions[Transaction Date], Transactions[CustomerID],A451)</f>
        <v>43227</v>
      </c>
      <c r="C451" s="1">
        <f t="shared" ca="1" si="28"/>
        <v>9</v>
      </c>
      <c r="D451" s="1">
        <f ca="1">COUNTIF(Transactions[CustomerID],"="&amp;A451)</f>
        <v>1</v>
      </c>
      <c r="E451" s="9">
        <f ca="1">_xlfn.MAXIFS(Transactions[Transaction Amount], Transactions[CustomerID],A451)/'Customer Profiles'!$M$10</f>
        <v>1.5040397838069524</v>
      </c>
      <c r="F451" s="1">
        <f t="shared" ca="1" si="29"/>
        <v>2.12</v>
      </c>
      <c r="G451" s="1">
        <f t="shared" ca="1" si="30"/>
        <v>0.15</v>
      </c>
      <c r="H451" s="1">
        <f t="shared" ca="1" si="31"/>
        <v>3.3</v>
      </c>
    </row>
    <row r="452" spans="1:8">
      <c r="A452" s="1">
        <v>447</v>
      </c>
      <c r="B452" s="8">
        <f ca="1">_xlfn.MAXIFS(Transactions[Transaction Date], Transactions[CustomerID],A452)</f>
        <v>42895</v>
      </c>
      <c r="C452" s="1">
        <f t="shared" ca="1" si="28"/>
        <v>8</v>
      </c>
      <c r="D452" s="1">
        <f ca="1">COUNTIF(Transactions[CustomerID],"="&amp;A452)</f>
        <v>1</v>
      </c>
      <c r="E452" s="9">
        <f ca="1">_xlfn.MAXIFS(Transactions[Transaction Amount], Transactions[CustomerID],A452)/'Customer Profiles'!$M$10</f>
        <v>0.5651564739080841</v>
      </c>
      <c r="F452" s="1">
        <f t="shared" ca="1" si="29"/>
        <v>1.89</v>
      </c>
      <c r="G452" s="1">
        <f t="shared" ca="1" si="30"/>
        <v>0.15</v>
      </c>
      <c r="H452" s="1">
        <f t="shared" ca="1" si="31"/>
        <v>2.4900000000000002</v>
      </c>
    </row>
    <row r="453" spans="1:8">
      <c r="A453" s="1">
        <v>448</v>
      </c>
      <c r="B453" s="8">
        <f ca="1">_xlfn.MAXIFS(Transactions[Transaction Date], Transactions[CustomerID],A453)</f>
        <v>43338</v>
      </c>
      <c r="C453" s="1">
        <f t="shared" ca="1" si="28"/>
        <v>6</v>
      </c>
      <c r="D453" s="1">
        <f ca="1">COUNTIF(Transactions[CustomerID],"="&amp;A453)</f>
        <v>4</v>
      </c>
      <c r="E453" s="9">
        <f ca="1">_xlfn.MAXIFS(Transactions[Transaction Amount], Transactions[CustomerID],A453)/'Customer Profiles'!$M$10</f>
        <v>1.1857889108715529</v>
      </c>
      <c r="F453" s="1">
        <f t="shared" ca="1" si="29"/>
        <v>1.42</v>
      </c>
      <c r="G453" s="1">
        <f t="shared" ca="1" si="30"/>
        <v>0.6</v>
      </c>
      <c r="H453" s="1">
        <f t="shared" ca="1" si="31"/>
        <v>2.81</v>
      </c>
    </row>
    <row r="454" spans="1:8">
      <c r="A454" s="1">
        <v>449</v>
      </c>
      <c r="B454" s="8">
        <f ca="1">_xlfn.MAXIFS(Transactions[Transaction Date], Transactions[CustomerID],A454)</f>
        <v>43362</v>
      </c>
      <c r="C454" s="1">
        <f t="shared" ca="1" si="28"/>
        <v>5</v>
      </c>
      <c r="D454" s="1">
        <f ca="1">COUNTIF(Transactions[CustomerID],"="&amp;A454)</f>
        <v>1</v>
      </c>
      <c r="E454" s="9">
        <f ca="1">_xlfn.MAXIFS(Transactions[Transaction Amount], Transactions[CustomerID],A454)/'Customer Profiles'!$M$10</f>
        <v>5.749429581345656E-2</v>
      </c>
      <c r="F454" s="1">
        <f t="shared" ca="1" si="29"/>
        <v>1.18</v>
      </c>
      <c r="G454" s="1">
        <f t="shared" ca="1" si="30"/>
        <v>0.15</v>
      </c>
      <c r="H454" s="1">
        <f t="shared" ca="1" si="31"/>
        <v>1.43</v>
      </c>
    </row>
    <row r="455" spans="1:8">
      <c r="A455" s="1">
        <v>450</v>
      </c>
      <c r="B455" s="8">
        <f ca="1">_xlfn.MAXIFS(Transactions[Transaction Date], Transactions[CustomerID],A455)</f>
        <v>43392</v>
      </c>
      <c r="C455" s="1">
        <f t="shared" ca="1" si="28"/>
        <v>4</v>
      </c>
      <c r="D455" s="1">
        <f ca="1">COUNTIF(Transactions[CustomerID],"="&amp;A455)</f>
        <v>17</v>
      </c>
      <c r="E455" s="9">
        <f ca="1">_xlfn.MAXIFS(Transactions[Transaction Amount], Transactions[CustomerID],A455)/'Customer Profiles'!$M$10</f>
        <v>5.4098637467113351</v>
      </c>
      <c r="F455" s="1">
        <f t="shared" ca="1" si="29"/>
        <v>0.94</v>
      </c>
      <c r="G455" s="1">
        <f t="shared" ca="1" si="30"/>
        <v>2.5499999999999998</v>
      </c>
      <c r="H455" s="1">
        <f t="shared" ca="1" si="31"/>
        <v>6.8</v>
      </c>
    </row>
    <row r="456" spans="1:8">
      <c r="A456" s="1">
        <v>451</v>
      </c>
      <c r="B456" s="8">
        <f ca="1">_xlfn.MAXIFS(Transactions[Transaction Date], Transactions[CustomerID],A456)</f>
        <v>43362</v>
      </c>
      <c r="C456" s="1">
        <f t="shared" ca="1" si="28"/>
        <v>5</v>
      </c>
      <c r="D456" s="1">
        <f ca="1">COUNTIF(Transactions[CustomerID],"="&amp;A456)</f>
        <v>1</v>
      </c>
      <c r="E456" s="9">
        <f ca="1">_xlfn.MAXIFS(Transactions[Transaction Amount], Transactions[CustomerID],A456)/'Customer Profiles'!$M$10</f>
        <v>7.9727134789934704</v>
      </c>
      <c r="F456" s="1">
        <f t="shared" ca="1" si="29"/>
        <v>1.18</v>
      </c>
      <c r="G456" s="1">
        <f t="shared" ca="1" si="30"/>
        <v>0.15</v>
      </c>
      <c r="H456" s="1">
        <f t="shared" ca="1" si="31"/>
        <v>6.18</v>
      </c>
    </row>
    <row r="457" spans="1:8">
      <c r="A457" s="1">
        <v>452</v>
      </c>
      <c r="B457" s="8">
        <f ca="1">_xlfn.MAXIFS(Transactions[Transaction Date], Transactions[CustomerID],A457)</f>
        <v>43009</v>
      </c>
      <c r="C457" s="1">
        <f t="shared" ca="1" si="28"/>
        <v>5</v>
      </c>
      <c r="D457" s="1">
        <f ca="1">COUNTIF(Transactions[CustomerID],"="&amp;A457)</f>
        <v>1</v>
      </c>
      <c r="E457" s="9">
        <f ca="1">_xlfn.MAXIFS(Transactions[Transaction Amount], Transactions[CustomerID],A457)/'Customer Profiles'!$M$10</f>
        <v>6.2615773987163892E-2</v>
      </c>
      <c r="F457" s="1">
        <f t="shared" ca="1" si="29"/>
        <v>1.18</v>
      </c>
      <c r="G457" s="1">
        <f t="shared" ca="1" si="30"/>
        <v>0.15</v>
      </c>
      <c r="H457" s="1">
        <f t="shared" ca="1" si="31"/>
        <v>1.44</v>
      </c>
    </row>
    <row r="458" spans="1:8">
      <c r="A458" s="1">
        <v>453</v>
      </c>
      <c r="B458" s="8">
        <f ca="1">_xlfn.MAXIFS(Transactions[Transaction Date], Transactions[CustomerID],A458)</f>
        <v>43439</v>
      </c>
      <c r="C458" s="1">
        <f t="shared" ca="1" si="28"/>
        <v>2</v>
      </c>
      <c r="D458" s="1">
        <f ca="1">COUNTIF(Transactions[CustomerID],"="&amp;A458)</f>
        <v>4</v>
      </c>
      <c r="E458" s="9">
        <f ca="1">_xlfn.MAXIFS(Transactions[Transaction Amount], Transactions[CustomerID],A458)/'Customer Profiles'!$M$10</f>
        <v>2.184826400335905</v>
      </c>
      <c r="F458" s="1">
        <f t="shared" ca="1" si="29"/>
        <v>0.47</v>
      </c>
      <c r="G458" s="1">
        <f t="shared" ca="1" si="30"/>
        <v>0.6</v>
      </c>
      <c r="H458" s="1">
        <f t="shared" ca="1" si="31"/>
        <v>2.41</v>
      </c>
    </row>
    <row r="459" spans="1:8">
      <c r="A459" s="1">
        <v>454</v>
      </c>
      <c r="B459" s="8">
        <f ca="1">_xlfn.MAXIFS(Transactions[Transaction Date], Transactions[CustomerID],A459)</f>
        <v>43051</v>
      </c>
      <c r="C459" s="1">
        <f t="shared" ca="1" si="28"/>
        <v>3</v>
      </c>
      <c r="D459" s="1">
        <f ca="1">COUNTIF(Transactions[CustomerID],"="&amp;A459)</f>
        <v>1</v>
      </c>
      <c r="E459" s="9">
        <f ca="1">_xlfn.MAXIFS(Transactions[Transaction Amount], Transactions[CustomerID],A459)/'Customer Profiles'!$M$10</f>
        <v>7.092342959747219</v>
      </c>
      <c r="F459" s="1">
        <f t="shared" ca="1" si="29"/>
        <v>0.71</v>
      </c>
      <c r="G459" s="1">
        <f t="shared" ca="1" si="30"/>
        <v>0.15</v>
      </c>
      <c r="H459" s="1">
        <f t="shared" ca="1" si="31"/>
        <v>5.16</v>
      </c>
    </row>
    <row r="460" spans="1:8">
      <c r="A460" s="1">
        <v>455</v>
      </c>
      <c r="B460" s="8">
        <f ca="1">_xlfn.MAXIFS(Transactions[Transaction Date], Transactions[CustomerID],A460)</f>
        <v>42885</v>
      </c>
      <c r="C460" s="1">
        <f t="shared" ca="1" si="28"/>
        <v>9</v>
      </c>
      <c r="D460" s="1">
        <f ca="1">COUNTIF(Transactions[CustomerID],"="&amp;A460)</f>
        <v>1</v>
      </c>
      <c r="E460" s="9">
        <f ca="1">_xlfn.MAXIFS(Transactions[Transaction Amount], Transactions[CustomerID],A460)/'Customer Profiles'!$M$10</f>
        <v>7.3294308720805529E-2</v>
      </c>
      <c r="F460" s="1">
        <f t="shared" ca="1" si="29"/>
        <v>2.12</v>
      </c>
      <c r="G460" s="1">
        <f t="shared" ca="1" si="30"/>
        <v>0.15</v>
      </c>
      <c r="H460" s="1">
        <f t="shared" ca="1" si="31"/>
        <v>2.44</v>
      </c>
    </row>
    <row r="461" spans="1:8">
      <c r="A461" s="1">
        <v>456</v>
      </c>
      <c r="B461" s="8">
        <f ca="1">_xlfn.MAXIFS(Transactions[Transaction Date], Transactions[CustomerID],A461)</f>
        <v>43494</v>
      </c>
      <c r="C461" s="1">
        <f t="shared" ca="1" si="28"/>
        <v>1</v>
      </c>
      <c r="D461" s="1">
        <f ca="1">COUNTIF(Transactions[CustomerID],"="&amp;A461)</f>
        <v>71</v>
      </c>
      <c r="E461" s="9">
        <f ca="1">_xlfn.MAXIFS(Transactions[Transaction Amount], Transactions[CustomerID],A461)/'Customer Profiles'!$M$10</f>
        <v>16.90369131393987</v>
      </c>
      <c r="F461" s="1">
        <f t="shared" ca="1" si="29"/>
        <v>0.24</v>
      </c>
      <c r="G461" s="1">
        <f t="shared" ca="1" si="30"/>
        <v>10.64</v>
      </c>
      <c r="H461" s="1">
        <f t="shared" ca="1" si="31"/>
        <v>21.04</v>
      </c>
    </row>
    <row r="462" spans="1:8">
      <c r="A462" s="1">
        <v>457</v>
      </c>
      <c r="B462" s="8">
        <f ca="1">_xlfn.MAXIFS(Transactions[Transaction Date], Transactions[CustomerID],A462)</f>
        <v>43063</v>
      </c>
      <c r="C462" s="1">
        <f t="shared" ca="1" si="28"/>
        <v>3</v>
      </c>
      <c r="D462" s="1">
        <f ca="1">COUNTIF(Transactions[CustomerID],"="&amp;A462)</f>
        <v>1</v>
      </c>
      <c r="E462" s="9">
        <f ca="1">_xlfn.MAXIFS(Transactions[Transaction Amount], Transactions[CustomerID],A462)/'Customer Profiles'!$M$10</f>
        <v>7.8980558040831067E-2</v>
      </c>
      <c r="F462" s="1">
        <f t="shared" ca="1" si="29"/>
        <v>0.71</v>
      </c>
      <c r="G462" s="1">
        <f t="shared" ca="1" si="30"/>
        <v>0.15</v>
      </c>
      <c r="H462" s="1">
        <f t="shared" ca="1" si="31"/>
        <v>0.95</v>
      </c>
    </row>
    <row r="463" spans="1:8">
      <c r="A463" s="1">
        <v>458</v>
      </c>
      <c r="B463" s="8">
        <f ca="1">_xlfn.MAXIFS(Transactions[Transaction Date], Transactions[CustomerID],A463)</f>
        <v>43388</v>
      </c>
      <c r="C463" s="1">
        <f t="shared" ca="1" si="28"/>
        <v>4</v>
      </c>
      <c r="D463" s="1">
        <f ca="1">COUNTIF(Transactions[CustomerID],"="&amp;A463)</f>
        <v>11</v>
      </c>
      <c r="E463" s="9">
        <f ca="1">_xlfn.MAXIFS(Transactions[Transaction Amount], Transactions[CustomerID],A463)/'Customer Profiles'!$M$10</f>
        <v>2.6935864138805274</v>
      </c>
      <c r="F463" s="1">
        <f t="shared" ca="1" si="29"/>
        <v>0.94</v>
      </c>
      <c r="G463" s="1">
        <f t="shared" ca="1" si="30"/>
        <v>1.65</v>
      </c>
      <c r="H463" s="1">
        <f t="shared" ca="1" si="31"/>
        <v>4.2699999999999996</v>
      </c>
    </row>
    <row r="464" spans="1:8">
      <c r="A464" s="1">
        <v>459</v>
      </c>
      <c r="B464" s="8">
        <f ca="1">_xlfn.MAXIFS(Transactions[Transaction Date], Transactions[CustomerID],A464)</f>
        <v>42977</v>
      </c>
      <c r="C464" s="1">
        <f t="shared" ca="1" si="28"/>
        <v>6</v>
      </c>
      <c r="D464" s="1">
        <f ca="1">COUNTIF(Transactions[CustomerID],"="&amp;A464)</f>
        <v>1</v>
      </c>
      <c r="E464" s="9">
        <f ca="1">_xlfn.MAXIFS(Transactions[Transaction Amount], Transactions[CustomerID],A464)/'Customer Profiles'!$M$10</f>
        <v>3.6472088195546788</v>
      </c>
      <c r="F464" s="1">
        <f t="shared" ca="1" si="29"/>
        <v>1.42</v>
      </c>
      <c r="G464" s="1">
        <f t="shared" ca="1" si="30"/>
        <v>0.15</v>
      </c>
      <c r="H464" s="1">
        <f t="shared" ca="1" si="31"/>
        <v>3.84</v>
      </c>
    </row>
    <row r="465" spans="1:8">
      <c r="A465" s="1">
        <v>460</v>
      </c>
      <c r="B465" s="8">
        <f ca="1">_xlfn.MAXIFS(Transactions[Transaction Date], Transactions[CustomerID],A465)</f>
        <v>43484</v>
      </c>
      <c r="C465" s="1">
        <f t="shared" ca="1" si="28"/>
        <v>1</v>
      </c>
      <c r="D465" s="1">
        <f ca="1">COUNTIF(Transactions[CustomerID],"="&amp;A465)</f>
        <v>10</v>
      </c>
      <c r="E465" s="9">
        <f ca="1">_xlfn.MAXIFS(Transactions[Transaction Amount], Transactions[CustomerID],A465)/'Customer Profiles'!$M$10</f>
        <v>1.547564761100733</v>
      </c>
      <c r="F465" s="1">
        <f t="shared" ca="1" si="29"/>
        <v>0.24</v>
      </c>
      <c r="G465" s="1">
        <f t="shared" ca="1" si="30"/>
        <v>1.5</v>
      </c>
      <c r="H465" s="1">
        <f t="shared" ca="1" si="31"/>
        <v>2.68</v>
      </c>
    </row>
    <row r="466" spans="1:8">
      <c r="A466" s="1">
        <v>461</v>
      </c>
      <c r="B466" s="8">
        <f ca="1">_xlfn.MAXIFS(Transactions[Transaction Date], Transactions[CustomerID],A466)</f>
        <v>42872</v>
      </c>
      <c r="C466" s="1">
        <f t="shared" ca="1" si="28"/>
        <v>9</v>
      </c>
      <c r="D466" s="1">
        <f ca="1">COUNTIF(Transactions[CustomerID],"="&amp;A466)</f>
        <v>1</v>
      </c>
      <c r="E466" s="9">
        <f ca="1">_xlfn.MAXIFS(Transactions[Transaction Amount], Transactions[CustomerID],A466)/'Customer Profiles'!$M$10</f>
        <v>1.7142513288868544</v>
      </c>
      <c r="F466" s="1">
        <f t="shared" ca="1" si="29"/>
        <v>2.12</v>
      </c>
      <c r="G466" s="1">
        <f t="shared" ca="1" si="30"/>
        <v>0.15</v>
      </c>
      <c r="H466" s="1">
        <f t="shared" ca="1" si="31"/>
        <v>3.43</v>
      </c>
    </row>
    <row r="467" spans="1:8">
      <c r="A467" s="1">
        <v>462</v>
      </c>
      <c r="B467" s="8">
        <f ca="1">_xlfn.MAXIFS(Transactions[Transaction Date], Transactions[CustomerID],A467)</f>
        <v>43356</v>
      </c>
      <c r="C467" s="1">
        <f t="shared" ref="C467:C530" ca="1" si="32">(MAX(DATEDIF(B467,"03/01/2019","ym"),1))</f>
        <v>5</v>
      </c>
      <c r="D467" s="1">
        <f ca="1">COUNTIF(Transactions[CustomerID],"="&amp;A467)</f>
        <v>1</v>
      </c>
      <c r="E467" s="9">
        <f ca="1">_xlfn.MAXIFS(Transactions[Transaction Amount], Transactions[CustomerID],A467)/'Customer Profiles'!$M$10</f>
        <v>1.0542320183823015</v>
      </c>
      <c r="F467" s="1">
        <f t="shared" ref="F467:F530" ca="1" si="33">ROUND(C467/$M$8,2)</f>
        <v>1.18</v>
      </c>
      <c r="G467" s="1">
        <f t="shared" ref="G467:G530" ca="1" si="34">ROUND(D467/$M$6,2)</f>
        <v>0.15</v>
      </c>
      <c r="H467" s="1">
        <f t="shared" ref="H467:H530" ca="1" si="35">ROUND(C467*$K$6+D467*$K$7+E467*$K$8,2)</f>
        <v>2.0299999999999998</v>
      </c>
    </row>
    <row r="468" spans="1:8">
      <c r="A468" s="1">
        <v>463</v>
      </c>
      <c r="B468" s="8">
        <f ca="1">_xlfn.MAXIFS(Transactions[Transaction Date], Transactions[CustomerID],A468)</f>
        <v>43434</v>
      </c>
      <c r="C468" s="1">
        <f t="shared" ca="1" si="32"/>
        <v>3</v>
      </c>
      <c r="D468" s="1">
        <f ca="1">COUNTIF(Transactions[CustomerID],"="&amp;A468)</f>
        <v>21</v>
      </c>
      <c r="E468" s="9">
        <f ca="1">_xlfn.MAXIFS(Transactions[Transaction Amount], Transactions[CustomerID],A468)/'Customer Profiles'!$M$10</f>
        <v>5.593814482124114</v>
      </c>
      <c r="F468" s="1">
        <f t="shared" ca="1" si="33"/>
        <v>0.71</v>
      </c>
      <c r="G468" s="1">
        <f t="shared" ca="1" si="34"/>
        <v>3.15</v>
      </c>
      <c r="H468" s="1">
        <f t="shared" ca="1" si="35"/>
        <v>7.26</v>
      </c>
    </row>
    <row r="469" spans="1:8">
      <c r="A469" s="1">
        <v>464</v>
      </c>
      <c r="B469" s="8">
        <f ca="1">_xlfn.MAXIFS(Transactions[Transaction Date], Transactions[CustomerID],A469)</f>
        <v>43486</v>
      </c>
      <c r="C469" s="1">
        <f t="shared" ca="1" si="32"/>
        <v>1</v>
      </c>
      <c r="D469" s="1">
        <f ca="1">COUNTIF(Transactions[CustomerID],"="&amp;A469)</f>
        <v>9</v>
      </c>
      <c r="E469" s="9">
        <f ca="1">_xlfn.MAXIFS(Transactions[Transaction Amount], Transactions[CustomerID],A469)/'Customer Profiles'!$M$10</f>
        <v>2.4160987003813301</v>
      </c>
      <c r="F469" s="1">
        <f t="shared" ca="1" si="33"/>
        <v>0.24</v>
      </c>
      <c r="G469" s="1">
        <f t="shared" ca="1" si="34"/>
        <v>1.35</v>
      </c>
      <c r="H469" s="1">
        <f t="shared" ca="1" si="35"/>
        <v>3.05</v>
      </c>
    </row>
    <row r="470" spans="1:8">
      <c r="A470" s="1">
        <v>465</v>
      </c>
      <c r="B470" s="8">
        <f ca="1">_xlfn.MAXIFS(Transactions[Transaction Date], Transactions[CustomerID],A470)</f>
        <v>43496</v>
      </c>
      <c r="C470" s="1">
        <f t="shared" ca="1" si="32"/>
        <v>1</v>
      </c>
      <c r="D470" s="1">
        <f ca="1">COUNTIF(Transactions[CustomerID],"="&amp;A470)</f>
        <v>42</v>
      </c>
      <c r="E470" s="9">
        <f ca="1">_xlfn.MAXIFS(Transactions[Transaction Amount], Transactions[CustomerID],A470)/'Customer Profiles'!$M$10</f>
        <v>3.8626184199520424</v>
      </c>
      <c r="F470" s="1">
        <f t="shared" ca="1" si="33"/>
        <v>0.24</v>
      </c>
      <c r="G470" s="1">
        <f t="shared" ca="1" si="34"/>
        <v>6.3</v>
      </c>
      <c r="H470" s="1">
        <f t="shared" ca="1" si="35"/>
        <v>8.8699999999999992</v>
      </c>
    </row>
    <row r="471" spans="1:8">
      <c r="A471" s="1">
        <v>466</v>
      </c>
      <c r="B471" s="8">
        <f ca="1">_xlfn.MAXIFS(Transactions[Transaction Date], Transactions[CustomerID],A471)</f>
        <v>43399</v>
      </c>
      <c r="C471" s="1">
        <f t="shared" ca="1" si="32"/>
        <v>4</v>
      </c>
      <c r="D471" s="1">
        <f ca="1">COUNTIF(Transactions[CustomerID],"="&amp;A471)</f>
        <v>2</v>
      </c>
      <c r="E471" s="9">
        <f ca="1">_xlfn.MAXIFS(Transactions[Transaction Amount], Transactions[CustomerID],A471)/'Customer Profiles'!$M$10</f>
        <v>1.3883263106976995</v>
      </c>
      <c r="F471" s="1">
        <f t="shared" ca="1" si="33"/>
        <v>0.94</v>
      </c>
      <c r="G471" s="1">
        <f t="shared" ca="1" si="34"/>
        <v>0.3</v>
      </c>
      <c r="H471" s="1">
        <f t="shared" ca="1" si="35"/>
        <v>2.13</v>
      </c>
    </row>
    <row r="472" spans="1:8">
      <c r="A472" s="1">
        <v>467</v>
      </c>
      <c r="B472" s="8">
        <f ca="1">_xlfn.MAXIFS(Transactions[Transaction Date], Transactions[CustomerID],A472)</f>
        <v>43469</v>
      </c>
      <c r="C472" s="1">
        <f t="shared" ca="1" si="32"/>
        <v>1</v>
      </c>
      <c r="D472" s="1">
        <f ca="1">COUNTIF(Transactions[CustomerID],"="&amp;A472)</f>
        <v>9</v>
      </c>
      <c r="E472" s="9">
        <f ca="1">_xlfn.MAXIFS(Transactions[Transaction Amount], Transactions[CustomerID],A472)/'Customer Profiles'!$M$10</f>
        <v>5.4161749514064237</v>
      </c>
      <c r="F472" s="1">
        <f t="shared" ca="1" si="33"/>
        <v>0.24</v>
      </c>
      <c r="G472" s="1">
        <f t="shared" ca="1" si="34"/>
        <v>1.35</v>
      </c>
      <c r="H472" s="1">
        <f t="shared" ca="1" si="35"/>
        <v>4.8499999999999996</v>
      </c>
    </row>
    <row r="473" spans="1:8">
      <c r="A473" s="1">
        <v>468</v>
      </c>
      <c r="B473" s="8">
        <f ca="1">_xlfn.MAXIFS(Transactions[Transaction Date], Transactions[CustomerID],A473)</f>
        <v>43117</v>
      </c>
      <c r="C473" s="1">
        <f t="shared" ca="1" si="32"/>
        <v>1</v>
      </c>
      <c r="D473" s="1">
        <f ca="1">COUNTIF(Transactions[CustomerID],"="&amp;A473)</f>
        <v>1</v>
      </c>
      <c r="E473" s="9">
        <f ca="1">_xlfn.MAXIFS(Transactions[Transaction Amount], Transactions[CustomerID],A473)/'Customer Profiles'!$M$10</f>
        <v>1.5546387189479123</v>
      </c>
      <c r="F473" s="1">
        <f t="shared" ca="1" si="33"/>
        <v>0.24</v>
      </c>
      <c r="G473" s="1">
        <f t="shared" ca="1" si="34"/>
        <v>0.15</v>
      </c>
      <c r="H473" s="1">
        <f t="shared" ca="1" si="35"/>
        <v>1.33</v>
      </c>
    </row>
    <row r="474" spans="1:8">
      <c r="A474" s="1">
        <v>469</v>
      </c>
      <c r="B474" s="8">
        <f ca="1">_xlfn.MAXIFS(Transactions[Transaction Date], Transactions[CustomerID],A474)</f>
        <v>43317</v>
      </c>
      <c r="C474" s="1">
        <f t="shared" ca="1" si="32"/>
        <v>6</v>
      </c>
      <c r="D474" s="1">
        <f ca="1">COUNTIF(Transactions[CustomerID],"="&amp;A474)</f>
        <v>2</v>
      </c>
      <c r="E474" s="9">
        <f ca="1">_xlfn.MAXIFS(Transactions[Transaction Amount], Transactions[CustomerID],A474)/'Customer Profiles'!$M$10</f>
        <v>0.40680895770191494</v>
      </c>
      <c r="F474" s="1">
        <f t="shared" ca="1" si="33"/>
        <v>1.42</v>
      </c>
      <c r="G474" s="1">
        <f t="shared" ca="1" si="34"/>
        <v>0.3</v>
      </c>
      <c r="H474" s="1">
        <f t="shared" ca="1" si="35"/>
        <v>2.04</v>
      </c>
    </row>
    <row r="475" spans="1:8">
      <c r="A475" s="1">
        <v>470</v>
      </c>
      <c r="B475" s="8">
        <f ca="1">_xlfn.MAXIFS(Transactions[Transaction Date], Transactions[CustomerID],A475)</f>
        <v>43350</v>
      </c>
      <c r="C475" s="1">
        <f t="shared" ca="1" si="32"/>
        <v>5</v>
      </c>
      <c r="D475" s="1">
        <f ca="1">COUNTIF(Transactions[CustomerID],"="&amp;A475)</f>
        <v>4</v>
      </c>
      <c r="E475" s="9">
        <f ca="1">_xlfn.MAXIFS(Transactions[Transaction Amount], Transactions[CustomerID],A475)/'Customer Profiles'!$M$10</f>
        <v>4.5836066256722487</v>
      </c>
      <c r="F475" s="1">
        <f t="shared" ca="1" si="33"/>
        <v>1.18</v>
      </c>
      <c r="G475" s="1">
        <f t="shared" ca="1" si="34"/>
        <v>0.6</v>
      </c>
      <c r="H475" s="1">
        <f t="shared" ca="1" si="35"/>
        <v>4.5999999999999996</v>
      </c>
    </row>
    <row r="476" spans="1:8">
      <c r="A476" s="1">
        <v>471</v>
      </c>
      <c r="B476" s="8">
        <f ca="1">_xlfn.MAXIFS(Transactions[Transaction Date], Transactions[CustomerID],A476)</f>
        <v>42754</v>
      </c>
      <c r="C476" s="1">
        <f t="shared" ca="1" si="32"/>
        <v>1</v>
      </c>
      <c r="D476" s="1">
        <f ca="1">COUNTIF(Transactions[CustomerID],"="&amp;A476)</f>
        <v>1</v>
      </c>
      <c r="E476" s="9">
        <f ca="1">_xlfn.MAXIFS(Transactions[Transaction Amount], Transactions[CustomerID],A476)/'Customer Profiles'!$M$10</f>
        <v>0.10921837803134586</v>
      </c>
      <c r="F476" s="1">
        <f t="shared" ca="1" si="33"/>
        <v>0.24</v>
      </c>
      <c r="G476" s="1">
        <f t="shared" ca="1" si="34"/>
        <v>0.15</v>
      </c>
      <c r="H476" s="1">
        <f t="shared" ca="1" si="35"/>
        <v>0.47</v>
      </c>
    </row>
    <row r="477" spans="1:8">
      <c r="A477" s="1">
        <v>472</v>
      </c>
      <c r="B477" s="8">
        <f ca="1">_xlfn.MAXIFS(Transactions[Transaction Date], Transactions[CustomerID],A477)</f>
        <v>43477</v>
      </c>
      <c r="C477" s="1">
        <f t="shared" ca="1" si="32"/>
        <v>1</v>
      </c>
      <c r="D477" s="1">
        <f ca="1">COUNTIF(Transactions[CustomerID],"="&amp;A477)</f>
        <v>1</v>
      </c>
      <c r="E477" s="9">
        <f ca="1">_xlfn.MAXIFS(Transactions[Transaction Amount], Transactions[CustomerID],A477)/'Customer Profiles'!$M$10</f>
        <v>0.42537099438773651</v>
      </c>
      <c r="F477" s="1">
        <f t="shared" ca="1" si="33"/>
        <v>0.24</v>
      </c>
      <c r="G477" s="1">
        <f t="shared" ca="1" si="34"/>
        <v>0.15</v>
      </c>
      <c r="H477" s="1">
        <f t="shared" ca="1" si="35"/>
        <v>0.66</v>
      </c>
    </row>
    <row r="478" spans="1:8">
      <c r="A478" s="1">
        <v>473</v>
      </c>
      <c r="B478" s="8">
        <f ca="1">_xlfn.MAXIFS(Transactions[Transaction Date], Transactions[CustomerID],A478)</f>
        <v>43350</v>
      </c>
      <c r="C478" s="1">
        <f t="shared" ca="1" si="32"/>
        <v>5</v>
      </c>
      <c r="D478" s="1">
        <f ca="1">COUNTIF(Transactions[CustomerID],"="&amp;A478)</f>
        <v>3</v>
      </c>
      <c r="E478" s="9">
        <f ca="1">_xlfn.MAXIFS(Transactions[Transaction Amount], Transactions[CustomerID],A478)/'Customer Profiles'!$M$10</f>
        <v>2.3507793664091121</v>
      </c>
      <c r="F478" s="1">
        <f t="shared" ca="1" si="33"/>
        <v>1.18</v>
      </c>
      <c r="G478" s="1">
        <f t="shared" ca="1" si="34"/>
        <v>0.45</v>
      </c>
      <c r="H478" s="1">
        <f t="shared" ca="1" si="35"/>
        <v>3.11</v>
      </c>
    </row>
    <row r="479" spans="1:8">
      <c r="A479" s="1">
        <v>474</v>
      </c>
      <c r="B479" s="8">
        <f ca="1">_xlfn.MAXIFS(Transactions[Transaction Date], Transactions[CustomerID],A479)</f>
        <v>43497</v>
      </c>
      <c r="C479" s="1">
        <f t="shared" ca="1" si="32"/>
        <v>1</v>
      </c>
      <c r="D479" s="1">
        <f ca="1">COUNTIF(Transactions[CustomerID],"="&amp;A479)</f>
        <v>290</v>
      </c>
      <c r="E479" s="9">
        <f ca="1">_xlfn.MAXIFS(Transactions[Transaction Amount], Transactions[CustomerID],A479)/'Customer Profiles'!$M$10</f>
        <v>6.73086931641273</v>
      </c>
      <c r="F479" s="1">
        <f t="shared" ca="1" si="33"/>
        <v>0.24</v>
      </c>
      <c r="G479" s="1">
        <f t="shared" ca="1" si="34"/>
        <v>43.48</v>
      </c>
      <c r="H479" s="1">
        <f t="shared" ca="1" si="35"/>
        <v>47.79</v>
      </c>
    </row>
    <row r="480" spans="1:8">
      <c r="A480" s="1">
        <v>475</v>
      </c>
      <c r="B480" s="8">
        <f ca="1">_xlfn.MAXIFS(Transactions[Transaction Date], Transactions[CustomerID],A480)</f>
        <v>43201</v>
      </c>
      <c r="C480" s="1">
        <f t="shared" ca="1" si="32"/>
        <v>10</v>
      </c>
      <c r="D480" s="1">
        <f ca="1">COUNTIF(Transactions[CustomerID],"="&amp;A480)</f>
        <v>1</v>
      </c>
      <c r="E480" s="9">
        <f ca="1">_xlfn.MAXIFS(Transactions[Transaction Amount], Transactions[CustomerID],A480)/'Customer Profiles'!$M$10</f>
        <v>0.66971348883632387</v>
      </c>
      <c r="F480" s="1">
        <f t="shared" ca="1" si="33"/>
        <v>2.36</v>
      </c>
      <c r="G480" s="1">
        <f t="shared" ca="1" si="34"/>
        <v>0.15</v>
      </c>
      <c r="H480" s="1">
        <f t="shared" ca="1" si="35"/>
        <v>3.05</v>
      </c>
    </row>
    <row r="481" spans="1:8">
      <c r="A481" s="1">
        <v>476</v>
      </c>
      <c r="B481" s="8">
        <f ca="1">_xlfn.MAXIFS(Transactions[Transaction Date], Transactions[CustomerID],A481)</f>
        <v>43280</v>
      </c>
      <c r="C481" s="1">
        <f t="shared" ca="1" si="32"/>
        <v>8</v>
      </c>
      <c r="D481" s="1">
        <f ca="1">COUNTIF(Transactions[CustomerID],"="&amp;A481)</f>
        <v>2</v>
      </c>
      <c r="E481" s="9">
        <f ca="1">_xlfn.MAXIFS(Transactions[Transaction Amount], Transactions[CustomerID],A481)/'Customer Profiles'!$M$10</f>
        <v>0.10498537107142455</v>
      </c>
      <c r="F481" s="1">
        <f t="shared" ca="1" si="33"/>
        <v>1.89</v>
      </c>
      <c r="G481" s="1">
        <f t="shared" ca="1" si="34"/>
        <v>0.3</v>
      </c>
      <c r="H481" s="1">
        <f t="shared" ca="1" si="35"/>
        <v>2.36</v>
      </c>
    </row>
    <row r="482" spans="1:8">
      <c r="A482" s="1">
        <v>477</v>
      </c>
      <c r="B482" s="8">
        <f ca="1">_xlfn.MAXIFS(Transactions[Transaction Date], Transactions[CustomerID],A482)</f>
        <v>42923</v>
      </c>
      <c r="C482" s="1">
        <f t="shared" ca="1" si="32"/>
        <v>7</v>
      </c>
      <c r="D482" s="1">
        <f ca="1">COUNTIF(Transactions[CustomerID],"="&amp;A482)</f>
        <v>1</v>
      </c>
      <c r="E482" s="9">
        <f ca="1">_xlfn.MAXIFS(Transactions[Transaction Amount], Transactions[CustomerID],A482)/'Customer Profiles'!$M$10</f>
        <v>0.64605516554056419</v>
      </c>
      <c r="F482" s="1">
        <f t="shared" ca="1" si="33"/>
        <v>1.65</v>
      </c>
      <c r="G482" s="1">
        <f t="shared" ca="1" si="34"/>
        <v>0.15</v>
      </c>
      <c r="H482" s="1">
        <f t="shared" ca="1" si="35"/>
        <v>2.29</v>
      </c>
    </row>
    <row r="483" spans="1:8">
      <c r="A483" s="1">
        <v>478</v>
      </c>
      <c r="B483" s="8">
        <f ca="1">_xlfn.MAXIFS(Transactions[Transaction Date], Transactions[CustomerID],A483)</f>
        <v>42777</v>
      </c>
      <c r="C483" s="1">
        <f t="shared" ca="1" si="32"/>
        <v>1</v>
      </c>
      <c r="D483" s="1">
        <f ca="1">COUNTIF(Transactions[CustomerID],"="&amp;A483)</f>
        <v>1</v>
      </c>
      <c r="E483" s="9">
        <f ca="1">_xlfn.MAXIFS(Transactions[Transaction Amount], Transactions[CustomerID],A483)/'Customer Profiles'!$M$10</f>
        <v>2.5754381753119149</v>
      </c>
      <c r="F483" s="1">
        <f t="shared" ca="1" si="33"/>
        <v>0.24</v>
      </c>
      <c r="G483" s="1">
        <f t="shared" ca="1" si="34"/>
        <v>0.15</v>
      </c>
      <c r="H483" s="1">
        <f t="shared" ca="1" si="35"/>
        <v>1.95</v>
      </c>
    </row>
    <row r="484" spans="1:8">
      <c r="A484" s="1">
        <v>479</v>
      </c>
      <c r="B484" s="8">
        <f ca="1">_xlfn.MAXIFS(Transactions[Transaction Date], Transactions[CustomerID],A484)</f>
        <v>43071</v>
      </c>
      <c r="C484" s="1">
        <f t="shared" ca="1" si="32"/>
        <v>2</v>
      </c>
      <c r="D484" s="1">
        <f ca="1">COUNTIF(Transactions[CustomerID],"="&amp;A484)</f>
        <v>1</v>
      </c>
      <c r="E484" s="9">
        <f ca="1">_xlfn.MAXIFS(Transactions[Transaction Amount], Transactions[CustomerID],A484)/'Customer Profiles'!$M$10</f>
        <v>0.92065705405072984</v>
      </c>
      <c r="F484" s="1">
        <f t="shared" ca="1" si="33"/>
        <v>0.47</v>
      </c>
      <c r="G484" s="1">
        <f t="shared" ca="1" si="34"/>
        <v>0.15</v>
      </c>
      <c r="H484" s="1">
        <f t="shared" ca="1" si="35"/>
        <v>1.2</v>
      </c>
    </row>
    <row r="485" spans="1:8">
      <c r="A485" s="1">
        <v>480</v>
      </c>
      <c r="B485" s="8">
        <f ca="1">_xlfn.MAXIFS(Transactions[Transaction Date], Transactions[CustomerID],A485)</f>
        <v>43102</v>
      </c>
      <c r="C485" s="1">
        <f t="shared" ca="1" si="32"/>
        <v>1</v>
      </c>
      <c r="D485" s="1">
        <f ca="1">COUNTIF(Transactions[CustomerID],"="&amp;A485)</f>
        <v>3</v>
      </c>
      <c r="E485" s="9">
        <f ca="1">_xlfn.MAXIFS(Transactions[Transaction Amount], Transactions[CustomerID],A485)/'Customer Profiles'!$M$10</f>
        <v>0.70973763830238135</v>
      </c>
      <c r="F485" s="1">
        <f t="shared" ca="1" si="33"/>
        <v>0.24</v>
      </c>
      <c r="G485" s="1">
        <f t="shared" ca="1" si="34"/>
        <v>0.45</v>
      </c>
      <c r="H485" s="1">
        <f t="shared" ca="1" si="35"/>
        <v>1.1299999999999999</v>
      </c>
    </row>
    <row r="486" spans="1:8">
      <c r="A486" s="1">
        <v>481</v>
      </c>
      <c r="B486" s="8">
        <f ca="1">_xlfn.MAXIFS(Transactions[Transaction Date], Transactions[CustomerID],A486)</f>
        <v>42980</v>
      </c>
      <c r="C486" s="1">
        <f t="shared" ca="1" si="32"/>
        <v>5</v>
      </c>
      <c r="D486" s="1">
        <f ca="1">COUNTIF(Transactions[CustomerID],"="&amp;A486)</f>
        <v>1</v>
      </c>
      <c r="E486" s="9">
        <f ca="1">_xlfn.MAXIFS(Transactions[Transaction Amount], Transactions[CustomerID],A486)/'Customer Profiles'!$M$10</f>
        <v>8.0283675786261666E-2</v>
      </c>
      <c r="F486" s="1">
        <f t="shared" ca="1" si="33"/>
        <v>1.18</v>
      </c>
      <c r="G486" s="1">
        <f t="shared" ca="1" si="34"/>
        <v>0.15</v>
      </c>
      <c r="H486" s="1">
        <f t="shared" ca="1" si="35"/>
        <v>1.45</v>
      </c>
    </row>
    <row r="487" spans="1:8">
      <c r="A487" s="1">
        <v>482</v>
      </c>
      <c r="B487" s="8">
        <f ca="1">_xlfn.MAXIFS(Transactions[Transaction Date], Transactions[CustomerID],A487)</f>
        <v>43492</v>
      </c>
      <c r="C487" s="1">
        <f t="shared" ca="1" si="32"/>
        <v>1</v>
      </c>
      <c r="D487" s="1">
        <f ca="1">COUNTIF(Transactions[CustomerID],"="&amp;A487)</f>
        <v>19</v>
      </c>
      <c r="E487" s="9">
        <f ca="1">_xlfn.MAXIFS(Transactions[Transaction Amount], Transactions[CustomerID],A487)/'Customer Profiles'!$M$10</f>
        <v>2.5455066733612686</v>
      </c>
      <c r="F487" s="1">
        <f t="shared" ca="1" si="33"/>
        <v>0.24</v>
      </c>
      <c r="G487" s="1">
        <f t="shared" ca="1" si="34"/>
        <v>2.85</v>
      </c>
      <c r="H487" s="1">
        <f t="shared" ca="1" si="35"/>
        <v>4.63</v>
      </c>
    </row>
    <row r="488" spans="1:8">
      <c r="A488" s="1">
        <v>483</v>
      </c>
      <c r="B488" s="8">
        <f ca="1">_xlfn.MAXIFS(Transactions[Transaction Date], Transactions[CustomerID],A488)</f>
        <v>43415</v>
      </c>
      <c r="C488" s="1">
        <f t="shared" ca="1" si="32"/>
        <v>3</v>
      </c>
      <c r="D488" s="1">
        <f ca="1">COUNTIF(Transactions[CustomerID],"="&amp;A488)</f>
        <v>3</v>
      </c>
      <c r="E488" s="9">
        <f ca="1">_xlfn.MAXIFS(Transactions[Transaction Amount], Transactions[CustomerID],A488)/'Customer Profiles'!$M$10</f>
        <v>0.18126989518701678</v>
      </c>
      <c r="F488" s="1">
        <f t="shared" ca="1" si="33"/>
        <v>0.71</v>
      </c>
      <c r="G488" s="1">
        <f t="shared" ca="1" si="34"/>
        <v>0.45</v>
      </c>
      <c r="H488" s="1">
        <f t="shared" ca="1" si="35"/>
        <v>1.31</v>
      </c>
    </row>
    <row r="489" spans="1:8">
      <c r="A489" s="1">
        <v>484</v>
      </c>
      <c r="B489" s="8">
        <f ca="1">_xlfn.MAXIFS(Transactions[Transaction Date], Transactions[CustomerID],A489)</f>
        <v>43282</v>
      </c>
      <c r="C489" s="1">
        <f t="shared" ca="1" si="32"/>
        <v>8</v>
      </c>
      <c r="D489" s="1">
        <f ca="1">COUNTIF(Transactions[CustomerID],"="&amp;A489)</f>
        <v>1</v>
      </c>
      <c r="E489" s="9">
        <f ca="1">_xlfn.MAXIFS(Transactions[Transaction Amount], Transactions[CustomerID],A489)/'Customer Profiles'!$M$10</f>
        <v>2.6331158435373041</v>
      </c>
      <c r="F489" s="1">
        <f t="shared" ca="1" si="33"/>
        <v>1.89</v>
      </c>
      <c r="G489" s="1">
        <f t="shared" ca="1" si="34"/>
        <v>0.15</v>
      </c>
      <c r="H489" s="1">
        <f t="shared" ca="1" si="35"/>
        <v>3.73</v>
      </c>
    </row>
    <row r="490" spans="1:8">
      <c r="A490" s="1">
        <v>485</v>
      </c>
      <c r="B490" s="8">
        <f ca="1">_xlfn.MAXIFS(Transactions[Transaction Date], Transactions[CustomerID],A490)</f>
        <v>43230</v>
      </c>
      <c r="C490" s="1">
        <f t="shared" ca="1" si="32"/>
        <v>9</v>
      </c>
      <c r="D490" s="1">
        <f ca="1">COUNTIF(Transactions[CustomerID],"="&amp;A490)</f>
        <v>1</v>
      </c>
      <c r="E490" s="9">
        <f ca="1">_xlfn.MAXIFS(Transactions[Transaction Amount], Transactions[CustomerID],A490)/'Customer Profiles'!$M$10</f>
        <v>6.5097846371747279</v>
      </c>
      <c r="F490" s="1">
        <f t="shared" ca="1" si="33"/>
        <v>2.12</v>
      </c>
      <c r="G490" s="1">
        <f t="shared" ca="1" si="34"/>
        <v>0.15</v>
      </c>
      <c r="H490" s="1">
        <f t="shared" ca="1" si="35"/>
        <v>6.31</v>
      </c>
    </row>
    <row r="491" spans="1:8">
      <c r="A491" s="1">
        <v>486</v>
      </c>
      <c r="B491" s="8">
        <f ca="1">_xlfn.MAXIFS(Transactions[Transaction Date], Transactions[CustomerID],A491)</f>
        <v>43336</v>
      </c>
      <c r="C491" s="1">
        <f t="shared" ca="1" si="32"/>
        <v>6</v>
      </c>
      <c r="D491" s="1">
        <f ca="1">COUNTIF(Transactions[CustomerID],"="&amp;A491)</f>
        <v>6</v>
      </c>
      <c r="E491" s="9">
        <f ca="1">_xlfn.MAXIFS(Transactions[Transaction Amount], Transactions[CustomerID],A491)/'Customer Profiles'!$M$10</f>
        <v>1.2502199885476917</v>
      </c>
      <c r="F491" s="1">
        <f t="shared" ca="1" si="33"/>
        <v>1.42</v>
      </c>
      <c r="G491" s="1">
        <f t="shared" ca="1" si="34"/>
        <v>0.9</v>
      </c>
      <c r="H491" s="1">
        <f t="shared" ca="1" si="35"/>
        <v>3.15</v>
      </c>
    </row>
    <row r="492" spans="1:8">
      <c r="A492" s="1">
        <v>487</v>
      </c>
      <c r="B492" s="8">
        <f ca="1">_xlfn.MAXIFS(Transactions[Transaction Date], Transactions[CustomerID],A492)</f>
        <v>43474</v>
      </c>
      <c r="C492" s="1">
        <f t="shared" ca="1" si="32"/>
        <v>1</v>
      </c>
      <c r="D492" s="1">
        <f ca="1">COUNTIF(Transactions[CustomerID],"="&amp;A492)</f>
        <v>3</v>
      </c>
      <c r="E492" s="9">
        <f ca="1">_xlfn.MAXIFS(Transactions[Transaction Amount], Transactions[CustomerID],A492)/'Customer Profiles'!$M$10</f>
        <v>0.84793062031826982</v>
      </c>
      <c r="F492" s="1">
        <f t="shared" ca="1" si="33"/>
        <v>0.24</v>
      </c>
      <c r="G492" s="1">
        <f t="shared" ca="1" si="34"/>
        <v>0.45</v>
      </c>
      <c r="H492" s="1">
        <f t="shared" ca="1" si="35"/>
        <v>1.21</v>
      </c>
    </row>
    <row r="493" spans="1:8">
      <c r="A493" s="1">
        <v>488</v>
      </c>
      <c r="B493" s="8">
        <f ca="1">_xlfn.MAXIFS(Transactions[Transaction Date], Transactions[CustomerID],A493)</f>
        <v>43109</v>
      </c>
      <c r="C493" s="1">
        <f t="shared" ca="1" si="32"/>
        <v>1</v>
      </c>
      <c r="D493" s="1">
        <f ca="1">COUNTIF(Transactions[CustomerID],"="&amp;A493)</f>
        <v>2</v>
      </c>
      <c r="E493" s="9">
        <f ca="1">_xlfn.MAXIFS(Transactions[Transaction Amount], Transactions[CustomerID],A493)/'Customer Profiles'!$M$10</f>
        <v>0.69293377621275443</v>
      </c>
      <c r="F493" s="1">
        <f t="shared" ca="1" si="33"/>
        <v>0.24</v>
      </c>
      <c r="G493" s="1">
        <f t="shared" ca="1" si="34"/>
        <v>0.3</v>
      </c>
      <c r="H493" s="1">
        <f t="shared" ca="1" si="35"/>
        <v>0.97</v>
      </c>
    </row>
    <row r="494" spans="1:8">
      <c r="A494" s="1">
        <v>489</v>
      </c>
      <c r="B494" s="8">
        <f ca="1">_xlfn.MAXIFS(Transactions[Transaction Date], Transactions[CustomerID],A494)</f>
        <v>43065</v>
      </c>
      <c r="C494" s="1">
        <f t="shared" ca="1" si="32"/>
        <v>3</v>
      </c>
      <c r="D494" s="1">
        <f ca="1">COUNTIF(Transactions[CustomerID],"="&amp;A494)</f>
        <v>2</v>
      </c>
      <c r="E494" s="9">
        <f ca="1">_xlfn.MAXIFS(Transactions[Transaction Amount], Transactions[CustomerID],A494)/'Customer Profiles'!$M$10</f>
        <v>0.75982470018165371</v>
      </c>
      <c r="F494" s="1">
        <f t="shared" ca="1" si="33"/>
        <v>0.71</v>
      </c>
      <c r="G494" s="1">
        <f t="shared" ca="1" si="34"/>
        <v>0.3</v>
      </c>
      <c r="H494" s="1">
        <f t="shared" ca="1" si="35"/>
        <v>1.51</v>
      </c>
    </row>
    <row r="495" spans="1:8">
      <c r="A495" s="1">
        <v>490</v>
      </c>
      <c r="B495" s="8">
        <f ca="1">_xlfn.MAXIFS(Transactions[Transaction Date], Transactions[CustomerID],A495)</f>
        <v>43399</v>
      </c>
      <c r="C495" s="1">
        <f t="shared" ca="1" si="32"/>
        <v>4</v>
      </c>
      <c r="D495" s="1">
        <f ca="1">COUNTIF(Transactions[CustomerID],"="&amp;A495)</f>
        <v>4</v>
      </c>
      <c r="E495" s="9">
        <f ca="1">_xlfn.MAXIFS(Transactions[Transaction Amount], Transactions[CustomerID],A495)/'Customer Profiles'!$M$10</f>
        <v>1.1442702460487486</v>
      </c>
      <c r="F495" s="1">
        <f t="shared" ca="1" si="33"/>
        <v>0.94</v>
      </c>
      <c r="G495" s="1">
        <f t="shared" ca="1" si="34"/>
        <v>0.6</v>
      </c>
      <c r="H495" s="1">
        <f t="shared" ca="1" si="35"/>
        <v>2.29</v>
      </c>
    </row>
    <row r="496" spans="1:8">
      <c r="A496" s="1">
        <v>491</v>
      </c>
      <c r="B496" s="8">
        <f ca="1">_xlfn.MAXIFS(Transactions[Transaction Date], Transactions[CustomerID],A496)</f>
        <v>43323</v>
      </c>
      <c r="C496" s="1">
        <f t="shared" ca="1" si="32"/>
        <v>6</v>
      </c>
      <c r="D496" s="1">
        <f ca="1">COUNTIF(Transactions[CustomerID],"="&amp;A496)</f>
        <v>1</v>
      </c>
      <c r="E496" s="9">
        <f ca="1">_xlfn.MAXIFS(Transactions[Transaction Amount], Transactions[CustomerID],A496)/'Customer Profiles'!$M$10</f>
        <v>0.34707562676791631</v>
      </c>
      <c r="F496" s="1">
        <f t="shared" ca="1" si="33"/>
        <v>1.42</v>
      </c>
      <c r="G496" s="1">
        <f t="shared" ca="1" si="34"/>
        <v>0.15</v>
      </c>
      <c r="H496" s="1">
        <f t="shared" ca="1" si="35"/>
        <v>1.86</v>
      </c>
    </row>
    <row r="497" spans="1:8">
      <c r="A497" s="1">
        <v>492</v>
      </c>
      <c r="B497" s="8">
        <f ca="1">_xlfn.MAXIFS(Transactions[Transaction Date], Transactions[CustomerID],A497)</f>
        <v>43100</v>
      </c>
      <c r="C497" s="1">
        <f t="shared" ca="1" si="32"/>
        <v>2</v>
      </c>
      <c r="D497" s="1">
        <f ca="1">COUNTIF(Transactions[CustomerID],"="&amp;A497)</f>
        <v>1</v>
      </c>
      <c r="E497" s="9">
        <f ca="1">_xlfn.MAXIFS(Transactions[Transaction Amount], Transactions[CustomerID],A497)/'Customer Profiles'!$M$10</f>
        <v>1.7107627145677202</v>
      </c>
      <c r="F497" s="1">
        <f t="shared" ca="1" si="33"/>
        <v>0.47</v>
      </c>
      <c r="G497" s="1">
        <f t="shared" ca="1" si="34"/>
        <v>0.15</v>
      </c>
      <c r="H497" s="1">
        <f t="shared" ca="1" si="35"/>
        <v>1.68</v>
      </c>
    </row>
    <row r="498" spans="1:8">
      <c r="A498" s="1">
        <v>493</v>
      </c>
      <c r="B498" s="8">
        <f ca="1">_xlfn.MAXIFS(Transactions[Transaction Date], Transactions[CustomerID],A498)</f>
        <v>43491</v>
      </c>
      <c r="C498" s="1">
        <f t="shared" ca="1" si="32"/>
        <v>1</v>
      </c>
      <c r="D498" s="1">
        <f ca="1">COUNTIF(Transactions[CustomerID],"="&amp;A498)</f>
        <v>102</v>
      </c>
      <c r="E498" s="9">
        <f ca="1">_xlfn.MAXIFS(Transactions[Transaction Amount], Transactions[CustomerID],A498)/'Customer Profiles'!$M$10</f>
        <v>7.6250567184885609</v>
      </c>
      <c r="F498" s="1">
        <f t="shared" ca="1" si="33"/>
        <v>0.24</v>
      </c>
      <c r="G498" s="1">
        <f t="shared" ca="1" si="34"/>
        <v>15.29</v>
      </c>
      <c r="H498" s="1">
        <f t="shared" ca="1" si="35"/>
        <v>20.13</v>
      </c>
    </row>
    <row r="499" spans="1:8">
      <c r="A499" s="1">
        <v>494</v>
      </c>
      <c r="B499" s="8">
        <f ca="1">_xlfn.MAXIFS(Transactions[Transaction Date], Transactions[CustomerID],A499)</f>
        <v>43205</v>
      </c>
      <c r="C499" s="1">
        <f t="shared" ca="1" si="32"/>
        <v>10</v>
      </c>
      <c r="D499" s="1">
        <f ca="1">COUNTIF(Transactions[CustomerID],"="&amp;A499)</f>
        <v>1</v>
      </c>
      <c r="E499" s="9">
        <f ca="1">_xlfn.MAXIFS(Transactions[Transaction Amount], Transactions[CustomerID],A499)/'Customer Profiles'!$M$10</f>
        <v>6.5067875905619701E-2</v>
      </c>
      <c r="F499" s="1">
        <f t="shared" ca="1" si="33"/>
        <v>2.36</v>
      </c>
      <c r="G499" s="1">
        <f t="shared" ca="1" si="34"/>
        <v>0.15</v>
      </c>
      <c r="H499" s="1">
        <f t="shared" ca="1" si="35"/>
        <v>2.69</v>
      </c>
    </row>
    <row r="500" spans="1:8">
      <c r="A500" s="1">
        <v>495</v>
      </c>
      <c r="B500" s="8">
        <f ca="1">_xlfn.MAXIFS(Transactions[Transaction Date], Transactions[CustomerID],A500)</f>
        <v>43444</v>
      </c>
      <c r="C500" s="1">
        <f t="shared" ca="1" si="32"/>
        <v>2</v>
      </c>
      <c r="D500" s="1">
        <f ca="1">COUNTIF(Transactions[CustomerID],"="&amp;A500)</f>
        <v>1</v>
      </c>
      <c r="E500" s="9">
        <f ca="1">_xlfn.MAXIFS(Transactions[Transaction Amount], Transactions[CustomerID],A500)/'Customer Profiles'!$M$10</f>
        <v>7.0170707351926986E-2</v>
      </c>
      <c r="F500" s="1">
        <f t="shared" ca="1" si="33"/>
        <v>0.47</v>
      </c>
      <c r="G500" s="1">
        <f t="shared" ca="1" si="34"/>
        <v>0.15</v>
      </c>
      <c r="H500" s="1">
        <f t="shared" ca="1" si="35"/>
        <v>0.69</v>
      </c>
    </row>
    <row r="501" spans="1:8">
      <c r="A501" s="1">
        <v>496</v>
      </c>
      <c r="B501" s="8">
        <f ca="1">_xlfn.MAXIFS(Transactions[Transaction Date], Transactions[CustomerID],A501)</f>
        <v>43282</v>
      </c>
      <c r="C501" s="1">
        <f t="shared" ca="1" si="32"/>
        <v>8</v>
      </c>
      <c r="D501" s="1">
        <f ca="1">COUNTIF(Transactions[CustomerID],"="&amp;A501)</f>
        <v>1</v>
      </c>
      <c r="E501" s="9">
        <f ca="1">_xlfn.MAXIFS(Transactions[Transaction Amount], Transactions[CustomerID],A501)/'Customer Profiles'!$M$10</f>
        <v>1.6078032773997393</v>
      </c>
      <c r="F501" s="1">
        <f t="shared" ca="1" si="33"/>
        <v>1.89</v>
      </c>
      <c r="G501" s="1">
        <f t="shared" ca="1" si="34"/>
        <v>0.15</v>
      </c>
      <c r="H501" s="1">
        <f t="shared" ca="1" si="35"/>
        <v>3.11</v>
      </c>
    </row>
    <row r="502" spans="1:8">
      <c r="A502" s="1">
        <v>497</v>
      </c>
      <c r="B502" s="8">
        <f ca="1">_xlfn.MAXIFS(Transactions[Transaction Date], Transactions[CustomerID],A502)</f>
        <v>43489</v>
      </c>
      <c r="C502" s="1">
        <f t="shared" ca="1" si="32"/>
        <v>1</v>
      </c>
      <c r="D502" s="1">
        <f ca="1">COUNTIF(Transactions[CustomerID],"="&amp;A502)</f>
        <v>24</v>
      </c>
      <c r="E502" s="9">
        <f ca="1">_xlfn.MAXIFS(Transactions[Transaction Amount], Transactions[CustomerID],A502)/'Customer Profiles'!$M$10</f>
        <v>8.2080851654775948</v>
      </c>
      <c r="F502" s="1">
        <f t="shared" ca="1" si="33"/>
        <v>0.24</v>
      </c>
      <c r="G502" s="1">
        <f t="shared" ca="1" si="34"/>
        <v>3.6</v>
      </c>
      <c r="H502" s="1">
        <f t="shared" ca="1" si="35"/>
        <v>8.77</v>
      </c>
    </row>
    <row r="503" spans="1:8">
      <c r="A503" s="1">
        <v>498</v>
      </c>
      <c r="B503" s="8">
        <f ca="1">_xlfn.MAXIFS(Transactions[Transaction Date], Transactions[CustomerID],A503)</f>
        <v>42811</v>
      </c>
      <c r="C503" s="1">
        <f t="shared" ca="1" si="32"/>
        <v>11</v>
      </c>
      <c r="D503" s="1">
        <f ca="1">COUNTIF(Transactions[CustomerID],"="&amp;A503)</f>
        <v>1</v>
      </c>
      <c r="E503" s="9">
        <f ca="1">_xlfn.MAXIFS(Transactions[Transaction Amount], Transactions[CustomerID],A503)/'Customer Profiles'!$M$10</f>
        <v>0.3895898460283807</v>
      </c>
      <c r="F503" s="1">
        <f t="shared" ca="1" si="33"/>
        <v>2.59</v>
      </c>
      <c r="G503" s="1">
        <f t="shared" ca="1" si="34"/>
        <v>0.15</v>
      </c>
      <c r="H503" s="1">
        <f t="shared" ca="1" si="35"/>
        <v>3.13</v>
      </c>
    </row>
    <row r="504" spans="1:8">
      <c r="A504" s="1">
        <v>499</v>
      </c>
      <c r="B504" s="8">
        <f ca="1">_xlfn.MAXIFS(Transactions[Transaction Date], Transactions[CustomerID],A504)</f>
        <v>43468</v>
      </c>
      <c r="C504" s="1">
        <f t="shared" ca="1" si="32"/>
        <v>1</v>
      </c>
      <c r="D504" s="1">
        <f ca="1">COUNTIF(Transactions[CustomerID],"="&amp;A504)</f>
        <v>1</v>
      </c>
      <c r="E504" s="9">
        <f ca="1">_xlfn.MAXIFS(Transactions[Transaction Amount], Transactions[CustomerID],A504)/'Customer Profiles'!$M$10</f>
        <v>0.28652832232812758</v>
      </c>
      <c r="F504" s="1">
        <f t="shared" ca="1" si="33"/>
        <v>0.24</v>
      </c>
      <c r="G504" s="1">
        <f t="shared" ca="1" si="34"/>
        <v>0.15</v>
      </c>
      <c r="H504" s="1">
        <f t="shared" ca="1" si="35"/>
        <v>0.56999999999999995</v>
      </c>
    </row>
    <row r="505" spans="1:8">
      <c r="A505" s="1">
        <v>500</v>
      </c>
      <c r="B505" s="8">
        <f ca="1">_xlfn.MAXIFS(Transactions[Transaction Date], Transactions[CustomerID],A505)</f>
        <v>42755</v>
      </c>
      <c r="C505" s="1">
        <f t="shared" ca="1" si="32"/>
        <v>1</v>
      </c>
      <c r="D505" s="1">
        <f ca="1">COUNTIF(Transactions[CustomerID],"="&amp;A505)</f>
        <v>1</v>
      </c>
      <c r="E505" s="9">
        <f ca="1">_xlfn.MAXIFS(Transactions[Transaction Amount], Transactions[CustomerID],A505)/'Customer Profiles'!$M$10</f>
        <v>0.44822046940949739</v>
      </c>
      <c r="F505" s="1">
        <f t="shared" ca="1" si="33"/>
        <v>0.24</v>
      </c>
      <c r="G505" s="1">
        <f t="shared" ca="1" si="34"/>
        <v>0.15</v>
      </c>
      <c r="H505" s="1">
        <f t="shared" ca="1" si="35"/>
        <v>0.67</v>
      </c>
    </row>
    <row r="506" spans="1:8">
      <c r="A506" s="1">
        <v>501</v>
      </c>
      <c r="B506" s="8">
        <f ca="1">_xlfn.MAXIFS(Transactions[Transaction Date], Transactions[CustomerID],A506)</f>
        <v>43449</v>
      </c>
      <c r="C506" s="1">
        <f t="shared" ca="1" si="32"/>
        <v>2</v>
      </c>
      <c r="D506" s="1">
        <f ca="1">COUNTIF(Transactions[CustomerID],"="&amp;A506)</f>
        <v>22</v>
      </c>
      <c r="E506" s="9">
        <f ca="1">_xlfn.MAXIFS(Transactions[Transaction Amount], Transactions[CustomerID],A506)/'Customer Profiles'!$M$10</f>
        <v>6.5405702460010104</v>
      </c>
      <c r="F506" s="1">
        <f t="shared" ca="1" si="33"/>
        <v>0.47</v>
      </c>
      <c r="G506" s="1">
        <f t="shared" ca="1" si="34"/>
        <v>3.3</v>
      </c>
      <c r="H506" s="1">
        <f t="shared" ca="1" si="35"/>
        <v>7.72</v>
      </c>
    </row>
    <row r="507" spans="1:8">
      <c r="A507" s="1">
        <v>502</v>
      </c>
      <c r="B507" s="8">
        <f ca="1">_xlfn.MAXIFS(Transactions[Transaction Date], Transactions[CustomerID],A507)</f>
        <v>43027</v>
      </c>
      <c r="C507" s="1">
        <f t="shared" ca="1" si="32"/>
        <v>4</v>
      </c>
      <c r="D507" s="1">
        <f ca="1">COUNTIF(Transactions[CustomerID],"="&amp;A507)</f>
        <v>1</v>
      </c>
      <c r="E507" s="9">
        <f ca="1">_xlfn.MAXIFS(Transactions[Transaction Amount], Transactions[CustomerID],A507)/'Customer Profiles'!$M$10</f>
        <v>5.7441095686778257E-2</v>
      </c>
      <c r="F507" s="1">
        <f t="shared" ca="1" si="33"/>
        <v>0.94</v>
      </c>
      <c r="G507" s="1">
        <f t="shared" ca="1" si="34"/>
        <v>0.15</v>
      </c>
      <c r="H507" s="1">
        <f t="shared" ca="1" si="35"/>
        <v>1.18</v>
      </c>
    </row>
    <row r="508" spans="1:8">
      <c r="A508" s="1">
        <v>503</v>
      </c>
      <c r="B508" s="8">
        <f ca="1">_xlfn.MAXIFS(Transactions[Transaction Date], Transactions[CustomerID],A508)</f>
        <v>43372</v>
      </c>
      <c r="C508" s="1">
        <f t="shared" ca="1" si="32"/>
        <v>5</v>
      </c>
      <c r="D508" s="1">
        <f ca="1">COUNTIF(Transactions[CustomerID],"="&amp;A508)</f>
        <v>19</v>
      </c>
      <c r="E508" s="9">
        <f ca="1">_xlfn.MAXIFS(Transactions[Transaction Amount], Transactions[CustomerID],A508)/'Customer Profiles'!$M$10</f>
        <v>2.0997264967627083</v>
      </c>
      <c r="F508" s="1">
        <f t="shared" ca="1" si="33"/>
        <v>1.18</v>
      </c>
      <c r="G508" s="1">
        <f t="shared" ca="1" si="34"/>
        <v>2.85</v>
      </c>
      <c r="H508" s="1">
        <f t="shared" ca="1" si="35"/>
        <v>5.36</v>
      </c>
    </row>
    <row r="509" spans="1:8">
      <c r="A509" s="1">
        <v>504</v>
      </c>
      <c r="B509" s="8">
        <f ca="1">_xlfn.MAXIFS(Transactions[Transaction Date], Transactions[CustomerID],A509)</f>
        <v>43029</v>
      </c>
      <c r="C509" s="1">
        <f t="shared" ca="1" si="32"/>
        <v>4</v>
      </c>
      <c r="D509" s="1">
        <f ca="1">COUNTIF(Transactions[CustomerID],"="&amp;A509)</f>
        <v>2</v>
      </c>
      <c r="E509" s="9">
        <f ca="1">_xlfn.MAXIFS(Transactions[Transaction Amount], Transactions[CustomerID],A509)/'Customer Profiles'!$M$10</f>
        <v>0.24980830942341073</v>
      </c>
      <c r="F509" s="1">
        <f t="shared" ca="1" si="33"/>
        <v>0.94</v>
      </c>
      <c r="G509" s="1">
        <f t="shared" ca="1" si="34"/>
        <v>0.3</v>
      </c>
      <c r="H509" s="1">
        <f t="shared" ca="1" si="35"/>
        <v>1.45</v>
      </c>
    </row>
    <row r="510" spans="1:8">
      <c r="A510" s="1">
        <v>505</v>
      </c>
      <c r="B510" s="8">
        <f ca="1">_xlfn.MAXIFS(Transactions[Transaction Date], Transactions[CustomerID],A510)</f>
        <v>43204</v>
      </c>
      <c r="C510" s="1">
        <f t="shared" ca="1" si="32"/>
        <v>10</v>
      </c>
      <c r="D510" s="1">
        <f ca="1">COUNTIF(Transactions[CustomerID],"="&amp;A510)</f>
        <v>1</v>
      </c>
      <c r="E510" s="9">
        <f ca="1">_xlfn.MAXIFS(Transactions[Transaction Amount], Transactions[CustomerID],A510)/'Customer Profiles'!$M$10</f>
        <v>1.8984269172754278</v>
      </c>
      <c r="F510" s="1">
        <f t="shared" ca="1" si="33"/>
        <v>2.36</v>
      </c>
      <c r="G510" s="1">
        <f t="shared" ca="1" si="34"/>
        <v>0.15</v>
      </c>
      <c r="H510" s="1">
        <f t="shared" ca="1" si="35"/>
        <v>3.79</v>
      </c>
    </row>
    <row r="511" spans="1:8">
      <c r="A511" s="1">
        <v>506</v>
      </c>
      <c r="B511" s="8">
        <f ca="1">_xlfn.MAXIFS(Transactions[Transaction Date], Transactions[CustomerID],A511)</f>
        <v>43491</v>
      </c>
      <c r="C511" s="1">
        <f t="shared" ca="1" si="32"/>
        <v>1</v>
      </c>
      <c r="D511" s="1">
        <f ca="1">COUNTIF(Transactions[CustomerID],"="&amp;A511)</f>
        <v>1</v>
      </c>
      <c r="E511" s="9">
        <f ca="1">_xlfn.MAXIFS(Transactions[Transaction Amount], Transactions[CustomerID],A511)/'Customer Profiles'!$M$10</f>
        <v>2.8392496270450591</v>
      </c>
      <c r="F511" s="1">
        <f t="shared" ca="1" si="33"/>
        <v>0.24</v>
      </c>
      <c r="G511" s="1">
        <f t="shared" ca="1" si="34"/>
        <v>0.15</v>
      </c>
      <c r="H511" s="1">
        <f t="shared" ca="1" si="35"/>
        <v>2.1</v>
      </c>
    </row>
    <row r="512" spans="1:8">
      <c r="A512" s="1">
        <v>507</v>
      </c>
      <c r="B512" s="8">
        <f ca="1">_xlfn.MAXIFS(Transactions[Transaction Date], Transactions[CustomerID],A512)</f>
        <v>43444</v>
      </c>
      <c r="C512" s="1">
        <f t="shared" ca="1" si="32"/>
        <v>2</v>
      </c>
      <c r="D512" s="1">
        <f ca="1">COUNTIF(Transactions[CustomerID],"="&amp;A512)</f>
        <v>2</v>
      </c>
      <c r="E512" s="9">
        <f ca="1">_xlfn.MAXIFS(Transactions[Transaction Amount], Transactions[CustomerID],A512)/'Customer Profiles'!$M$10</f>
        <v>0.81555087571634988</v>
      </c>
      <c r="F512" s="1">
        <f t="shared" ca="1" si="33"/>
        <v>0.47</v>
      </c>
      <c r="G512" s="1">
        <f t="shared" ca="1" si="34"/>
        <v>0.3</v>
      </c>
      <c r="H512" s="1">
        <f t="shared" ca="1" si="35"/>
        <v>1.29</v>
      </c>
    </row>
    <row r="513" spans="1:8">
      <c r="A513" s="1">
        <v>508</v>
      </c>
      <c r="B513" s="8">
        <f ca="1">_xlfn.MAXIFS(Transactions[Transaction Date], Transactions[CustomerID],A513)</f>
        <v>43488</v>
      </c>
      <c r="C513" s="1">
        <f t="shared" ca="1" si="32"/>
        <v>1</v>
      </c>
      <c r="D513" s="1">
        <f ca="1">COUNTIF(Transactions[CustomerID],"="&amp;A513)</f>
        <v>10</v>
      </c>
      <c r="E513" s="9">
        <f ca="1">_xlfn.MAXIFS(Transactions[Transaction Amount], Transactions[CustomerID],A513)/'Customer Profiles'!$M$10</f>
        <v>3.2048067575493651</v>
      </c>
      <c r="F513" s="1">
        <f t="shared" ca="1" si="33"/>
        <v>0.24</v>
      </c>
      <c r="G513" s="1">
        <f t="shared" ca="1" si="34"/>
        <v>1.5</v>
      </c>
      <c r="H513" s="1">
        <f t="shared" ca="1" si="35"/>
        <v>3.67</v>
      </c>
    </row>
    <row r="514" spans="1:8">
      <c r="A514" s="1">
        <v>509</v>
      </c>
      <c r="B514" s="8">
        <f ca="1">_xlfn.MAXIFS(Transactions[Transaction Date], Transactions[CustomerID],A514)</f>
        <v>42943</v>
      </c>
      <c r="C514" s="1">
        <f t="shared" ca="1" si="32"/>
        <v>7</v>
      </c>
      <c r="D514" s="1">
        <f ca="1">COUNTIF(Transactions[CustomerID],"="&amp;A514)</f>
        <v>1</v>
      </c>
      <c r="E514" s="9">
        <f ca="1">_xlfn.MAXIFS(Transactions[Transaction Amount], Transactions[CustomerID],A514)/'Customer Profiles'!$M$10</f>
        <v>0.63141785082635238</v>
      </c>
      <c r="F514" s="1">
        <f t="shared" ca="1" si="33"/>
        <v>1.65</v>
      </c>
      <c r="G514" s="1">
        <f t="shared" ca="1" si="34"/>
        <v>0.15</v>
      </c>
      <c r="H514" s="1">
        <f t="shared" ca="1" si="35"/>
        <v>2.2799999999999998</v>
      </c>
    </row>
    <row r="515" spans="1:8">
      <c r="A515" s="1">
        <v>510</v>
      </c>
      <c r="B515" s="8">
        <f ca="1">_xlfn.MAXIFS(Transactions[Transaction Date], Transactions[CustomerID],A515)</f>
        <v>42976</v>
      </c>
      <c r="C515" s="1">
        <f t="shared" ca="1" si="32"/>
        <v>6</v>
      </c>
      <c r="D515" s="1">
        <f ca="1">COUNTIF(Transactions[CustomerID],"="&amp;A515)</f>
        <v>1</v>
      </c>
      <c r="E515" s="9">
        <f ca="1">_xlfn.MAXIFS(Transactions[Transaction Amount], Transactions[CustomerID],A515)/'Customer Profiles'!$M$10</f>
        <v>0.13159007389265998</v>
      </c>
      <c r="F515" s="1">
        <f t="shared" ca="1" si="33"/>
        <v>1.42</v>
      </c>
      <c r="G515" s="1">
        <f t="shared" ca="1" si="34"/>
        <v>0.15</v>
      </c>
      <c r="H515" s="1">
        <f t="shared" ca="1" si="35"/>
        <v>1.73</v>
      </c>
    </row>
    <row r="516" spans="1:8">
      <c r="A516" s="1">
        <v>511</v>
      </c>
      <c r="B516" s="8">
        <f ca="1">_xlfn.MAXIFS(Transactions[Transaction Date], Transactions[CustomerID],A516)</f>
        <v>43482</v>
      </c>
      <c r="C516" s="1">
        <f t="shared" ca="1" si="32"/>
        <v>1</v>
      </c>
      <c r="D516" s="1">
        <f ca="1">COUNTIF(Transactions[CustomerID],"="&amp;A516)</f>
        <v>38</v>
      </c>
      <c r="E516" s="9">
        <f ca="1">_xlfn.MAXIFS(Transactions[Transaction Amount], Transactions[CustomerID],A516)/'Customer Profiles'!$M$10</f>
        <v>3.9600464158403814</v>
      </c>
      <c r="F516" s="1">
        <f t="shared" ca="1" si="33"/>
        <v>0.24</v>
      </c>
      <c r="G516" s="1">
        <f t="shared" ca="1" si="34"/>
        <v>5.7</v>
      </c>
      <c r="H516" s="1">
        <f t="shared" ca="1" si="35"/>
        <v>8.33</v>
      </c>
    </row>
    <row r="517" spans="1:8">
      <c r="A517" s="1">
        <v>512</v>
      </c>
      <c r="B517" s="8">
        <f ca="1">_xlfn.MAXIFS(Transactions[Transaction Date], Transactions[CustomerID],A517)</f>
        <v>43082</v>
      </c>
      <c r="C517" s="1">
        <f t="shared" ca="1" si="32"/>
        <v>2</v>
      </c>
      <c r="D517" s="1">
        <f ca="1">COUNTIF(Transactions[CustomerID],"="&amp;A517)</f>
        <v>3</v>
      </c>
      <c r="E517" s="9">
        <f ca="1">_xlfn.MAXIFS(Transactions[Transaction Amount], Transactions[CustomerID],A517)/'Customer Profiles'!$M$10</f>
        <v>1.4936774500268288</v>
      </c>
      <c r="F517" s="1">
        <f t="shared" ca="1" si="33"/>
        <v>0.47</v>
      </c>
      <c r="G517" s="1">
        <f t="shared" ca="1" si="34"/>
        <v>0.45</v>
      </c>
      <c r="H517" s="1">
        <f t="shared" ca="1" si="35"/>
        <v>1.85</v>
      </c>
    </row>
    <row r="518" spans="1:8">
      <c r="A518" s="1">
        <v>513</v>
      </c>
      <c r="B518" s="8">
        <f ca="1">_xlfn.MAXIFS(Transactions[Transaction Date], Transactions[CustomerID],A518)</f>
        <v>43142</v>
      </c>
      <c r="C518" s="1">
        <f t="shared" ca="1" si="32"/>
        <v>1</v>
      </c>
      <c r="D518" s="1">
        <f ca="1">COUNTIF(Transactions[CustomerID],"="&amp;A518)</f>
        <v>3</v>
      </c>
      <c r="E518" s="9">
        <f ca="1">_xlfn.MAXIFS(Transactions[Transaction Amount], Transactions[CustomerID],A518)/'Customer Profiles'!$M$10</f>
        <v>1.9543682569724135</v>
      </c>
      <c r="F518" s="1">
        <f t="shared" ca="1" si="33"/>
        <v>0.24</v>
      </c>
      <c r="G518" s="1">
        <f t="shared" ca="1" si="34"/>
        <v>0.45</v>
      </c>
      <c r="H518" s="1">
        <f t="shared" ca="1" si="35"/>
        <v>1.87</v>
      </c>
    </row>
    <row r="519" spans="1:8">
      <c r="A519" s="1">
        <v>514</v>
      </c>
      <c r="B519" s="8">
        <f ca="1">_xlfn.MAXIFS(Transactions[Transaction Date], Transactions[CustomerID],A519)</f>
        <v>43491</v>
      </c>
      <c r="C519" s="1">
        <f t="shared" ca="1" si="32"/>
        <v>1</v>
      </c>
      <c r="D519" s="1">
        <f ca="1">COUNTIF(Transactions[CustomerID],"="&amp;A519)</f>
        <v>34</v>
      </c>
      <c r="E519" s="9">
        <f ca="1">_xlfn.MAXIFS(Transactions[Transaction Amount], Transactions[CustomerID],A519)/'Customer Profiles'!$M$10</f>
        <v>9.451321703896939</v>
      </c>
      <c r="F519" s="1">
        <f t="shared" ca="1" si="33"/>
        <v>0.24</v>
      </c>
      <c r="G519" s="1">
        <f t="shared" ca="1" si="34"/>
        <v>5.0999999999999996</v>
      </c>
      <c r="H519" s="1">
        <f t="shared" ca="1" si="35"/>
        <v>11.02</v>
      </c>
    </row>
    <row r="520" spans="1:8">
      <c r="A520" s="1">
        <v>515</v>
      </c>
      <c r="B520" s="8">
        <f ca="1">_xlfn.MAXIFS(Transactions[Transaction Date], Transactions[CustomerID],A520)</f>
        <v>43458</v>
      </c>
      <c r="C520" s="1">
        <f t="shared" ca="1" si="32"/>
        <v>2</v>
      </c>
      <c r="D520" s="1">
        <f ca="1">COUNTIF(Transactions[CustomerID],"="&amp;A520)</f>
        <v>19</v>
      </c>
      <c r="E520" s="9">
        <f ca="1">_xlfn.MAXIFS(Transactions[Transaction Amount], Transactions[CustomerID],A520)/'Customer Profiles'!$M$10</f>
        <v>5.9143336505172854</v>
      </c>
      <c r="F520" s="1">
        <f t="shared" ca="1" si="33"/>
        <v>0.47</v>
      </c>
      <c r="G520" s="1">
        <f t="shared" ca="1" si="34"/>
        <v>2.85</v>
      </c>
      <c r="H520" s="1">
        <f t="shared" ca="1" si="35"/>
        <v>6.9</v>
      </c>
    </row>
    <row r="521" spans="1:8">
      <c r="A521" s="1">
        <v>516</v>
      </c>
      <c r="B521" s="8">
        <f ca="1">_xlfn.MAXIFS(Transactions[Transaction Date], Transactions[CustomerID],A521)</f>
        <v>43492</v>
      </c>
      <c r="C521" s="1">
        <f t="shared" ca="1" si="32"/>
        <v>1</v>
      </c>
      <c r="D521" s="1">
        <f ca="1">COUNTIF(Transactions[CustomerID],"="&amp;A521)</f>
        <v>26</v>
      </c>
      <c r="E521" s="9">
        <f ca="1">_xlfn.MAXIFS(Transactions[Transaction Amount], Transactions[CustomerID],A521)/'Customer Profiles'!$M$10</f>
        <v>3.8037529691193628</v>
      </c>
      <c r="F521" s="1">
        <f t="shared" ca="1" si="33"/>
        <v>0.24</v>
      </c>
      <c r="G521" s="1">
        <f t="shared" ca="1" si="34"/>
        <v>3.9</v>
      </c>
      <c r="H521" s="1">
        <f t="shared" ca="1" si="35"/>
        <v>6.43</v>
      </c>
    </row>
    <row r="522" spans="1:8">
      <c r="A522" s="1">
        <v>517</v>
      </c>
      <c r="B522" s="8">
        <f ca="1">_xlfn.MAXIFS(Transactions[Transaction Date], Transactions[CustomerID],A522)</f>
        <v>43496</v>
      </c>
      <c r="C522" s="1">
        <f t="shared" ca="1" si="32"/>
        <v>1</v>
      </c>
      <c r="D522" s="1">
        <f ca="1">COUNTIF(Transactions[CustomerID],"="&amp;A522)</f>
        <v>18</v>
      </c>
      <c r="E522" s="9">
        <f ca="1">_xlfn.MAXIFS(Transactions[Transaction Amount], Transactions[CustomerID],A522)/'Customer Profiles'!$M$10</f>
        <v>6.063391302198978</v>
      </c>
      <c r="F522" s="1">
        <f t="shared" ca="1" si="33"/>
        <v>0.24</v>
      </c>
      <c r="G522" s="1">
        <f t="shared" ca="1" si="34"/>
        <v>2.7</v>
      </c>
      <c r="H522" s="1">
        <f t="shared" ca="1" si="35"/>
        <v>6.59</v>
      </c>
    </row>
    <row r="523" spans="1:8">
      <c r="A523" s="1">
        <v>518</v>
      </c>
      <c r="B523" s="8">
        <f ca="1">_xlfn.MAXIFS(Transactions[Transaction Date], Transactions[CustomerID],A523)</f>
        <v>43472</v>
      </c>
      <c r="C523" s="1">
        <f t="shared" ca="1" si="32"/>
        <v>1</v>
      </c>
      <c r="D523" s="1">
        <f ca="1">COUNTIF(Transactions[CustomerID],"="&amp;A523)</f>
        <v>13</v>
      </c>
      <c r="E523" s="9">
        <f ca="1">_xlfn.MAXIFS(Transactions[Transaction Amount], Transactions[CustomerID],A523)/'Customer Profiles'!$M$10</f>
        <v>3.7630230470638781</v>
      </c>
      <c r="F523" s="1">
        <f t="shared" ca="1" si="33"/>
        <v>0.24</v>
      </c>
      <c r="G523" s="1">
        <f t="shared" ca="1" si="34"/>
        <v>1.95</v>
      </c>
      <c r="H523" s="1">
        <f t="shared" ca="1" si="35"/>
        <v>4.46</v>
      </c>
    </row>
    <row r="524" spans="1:8">
      <c r="A524" s="1">
        <v>519</v>
      </c>
      <c r="B524" s="8">
        <f ca="1">_xlfn.MAXIFS(Transactions[Transaction Date], Transactions[CustomerID],A524)</f>
        <v>43398</v>
      </c>
      <c r="C524" s="1">
        <f t="shared" ca="1" si="32"/>
        <v>4</v>
      </c>
      <c r="D524" s="1">
        <f ca="1">COUNTIF(Transactions[CustomerID],"="&amp;A524)</f>
        <v>1</v>
      </c>
      <c r="E524" s="9">
        <f ca="1">_xlfn.MAXIFS(Transactions[Transaction Amount], Transactions[CustomerID],A524)/'Customer Profiles'!$M$10</f>
        <v>1.2076664089234999</v>
      </c>
      <c r="F524" s="1">
        <f t="shared" ca="1" si="33"/>
        <v>0.94</v>
      </c>
      <c r="G524" s="1">
        <f t="shared" ca="1" si="34"/>
        <v>0.15</v>
      </c>
      <c r="H524" s="1">
        <f t="shared" ca="1" si="35"/>
        <v>1.87</v>
      </c>
    </row>
    <row r="525" spans="1:8">
      <c r="A525" s="1">
        <v>520</v>
      </c>
      <c r="B525" s="8">
        <f ca="1">_xlfn.MAXIFS(Transactions[Transaction Date], Transactions[CustomerID],A525)</f>
        <v>43183</v>
      </c>
      <c r="C525" s="1">
        <f t="shared" ca="1" si="32"/>
        <v>11</v>
      </c>
      <c r="D525" s="1">
        <f ca="1">COUNTIF(Transactions[CustomerID],"="&amp;A525)</f>
        <v>1</v>
      </c>
      <c r="E525" s="9">
        <f ca="1">_xlfn.MAXIFS(Transactions[Transaction Amount], Transactions[CustomerID],A525)/'Customer Profiles'!$M$10</f>
        <v>0.41611894123460724</v>
      </c>
      <c r="F525" s="1">
        <f t="shared" ca="1" si="33"/>
        <v>2.59</v>
      </c>
      <c r="G525" s="1">
        <f t="shared" ca="1" si="34"/>
        <v>0.15</v>
      </c>
      <c r="H525" s="1">
        <f t="shared" ca="1" si="35"/>
        <v>3.15</v>
      </c>
    </row>
    <row r="526" spans="1:8">
      <c r="A526" s="1">
        <v>521</v>
      </c>
      <c r="B526" s="8">
        <f ca="1">_xlfn.MAXIFS(Transactions[Transaction Date], Transactions[CustomerID],A526)</f>
        <v>43329</v>
      </c>
      <c r="C526" s="1">
        <f t="shared" ca="1" si="32"/>
        <v>6</v>
      </c>
      <c r="D526" s="1">
        <f ca="1">COUNTIF(Transactions[CustomerID],"="&amp;A526)</f>
        <v>3</v>
      </c>
      <c r="E526" s="9">
        <f ca="1">_xlfn.MAXIFS(Transactions[Transaction Amount], Transactions[CustomerID],A526)/'Customer Profiles'!$M$10</f>
        <v>4.8183555187814093</v>
      </c>
      <c r="F526" s="1">
        <f t="shared" ca="1" si="33"/>
        <v>1.42</v>
      </c>
      <c r="G526" s="1">
        <f t="shared" ca="1" si="34"/>
        <v>0.45</v>
      </c>
      <c r="H526" s="1">
        <f t="shared" ca="1" si="35"/>
        <v>4.84</v>
      </c>
    </row>
    <row r="527" spans="1:8">
      <c r="A527" s="1">
        <v>522</v>
      </c>
      <c r="B527" s="8">
        <f ca="1">_xlfn.MAXIFS(Transactions[Transaction Date], Transactions[CustomerID],A527)</f>
        <v>43469</v>
      </c>
      <c r="C527" s="1">
        <f t="shared" ca="1" si="32"/>
        <v>1</v>
      </c>
      <c r="D527" s="1">
        <f ca="1">COUNTIF(Transactions[CustomerID],"="&amp;A527)</f>
        <v>3</v>
      </c>
      <c r="E527" s="9">
        <f ca="1">_xlfn.MAXIFS(Transactions[Transaction Amount], Transactions[CustomerID],A527)/'Customer Profiles'!$M$10</f>
        <v>0.8860534609512023</v>
      </c>
      <c r="F527" s="1">
        <f t="shared" ca="1" si="33"/>
        <v>0.24</v>
      </c>
      <c r="G527" s="1">
        <f t="shared" ca="1" si="34"/>
        <v>0.45</v>
      </c>
      <c r="H527" s="1">
        <f t="shared" ca="1" si="35"/>
        <v>1.23</v>
      </c>
    </row>
    <row r="528" spans="1:8">
      <c r="A528" s="1">
        <v>523</v>
      </c>
      <c r="B528" s="8">
        <f ca="1">_xlfn.MAXIFS(Transactions[Transaction Date], Transactions[CustomerID],A528)</f>
        <v>43489</v>
      </c>
      <c r="C528" s="1">
        <f t="shared" ca="1" si="32"/>
        <v>1</v>
      </c>
      <c r="D528" s="1">
        <f ca="1">COUNTIF(Transactions[CustomerID],"="&amp;A528)</f>
        <v>5</v>
      </c>
      <c r="E528" s="9">
        <f ca="1">_xlfn.MAXIFS(Transactions[Transaction Amount], Transactions[CustomerID],A528)/'Customer Profiles'!$M$10</f>
        <v>3.0269287227427149</v>
      </c>
      <c r="F528" s="1">
        <f t="shared" ca="1" si="33"/>
        <v>0.24</v>
      </c>
      <c r="G528" s="1">
        <f t="shared" ca="1" si="34"/>
        <v>0.75</v>
      </c>
      <c r="H528" s="1">
        <f t="shared" ca="1" si="35"/>
        <v>2.82</v>
      </c>
    </row>
    <row r="529" spans="1:8">
      <c r="A529" s="1">
        <v>524</v>
      </c>
      <c r="B529" s="8">
        <f ca="1">_xlfn.MAXIFS(Transactions[Transaction Date], Transactions[CustomerID],A529)</f>
        <v>43302</v>
      </c>
      <c r="C529" s="1">
        <f t="shared" ca="1" si="32"/>
        <v>7</v>
      </c>
      <c r="D529" s="1">
        <f ca="1">COUNTIF(Transactions[CustomerID],"="&amp;A529)</f>
        <v>1</v>
      </c>
      <c r="E529" s="9">
        <f ca="1">_xlfn.MAXIFS(Transactions[Transaction Amount], Transactions[CustomerID],A529)/'Customer Profiles'!$M$10</f>
        <v>0.17998760794596705</v>
      </c>
      <c r="F529" s="1">
        <f t="shared" ca="1" si="33"/>
        <v>1.65</v>
      </c>
      <c r="G529" s="1">
        <f t="shared" ca="1" si="34"/>
        <v>0.15</v>
      </c>
      <c r="H529" s="1">
        <f t="shared" ca="1" si="35"/>
        <v>2.0099999999999998</v>
      </c>
    </row>
    <row r="530" spans="1:8">
      <c r="A530" s="1">
        <v>525</v>
      </c>
      <c r="B530" s="8">
        <f ca="1">_xlfn.MAXIFS(Transactions[Transaction Date], Transactions[CustomerID],A530)</f>
        <v>43400</v>
      </c>
      <c r="C530" s="1">
        <f t="shared" ca="1" si="32"/>
        <v>4</v>
      </c>
      <c r="D530" s="1">
        <f ca="1">COUNTIF(Transactions[CustomerID],"="&amp;A530)</f>
        <v>2</v>
      </c>
      <c r="E530" s="9">
        <f ca="1">_xlfn.MAXIFS(Transactions[Transaction Amount], Transactions[CustomerID],A530)/'Customer Profiles'!$M$10</f>
        <v>0.60100677022020543</v>
      </c>
      <c r="F530" s="1">
        <f t="shared" ca="1" si="33"/>
        <v>0.94</v>
      </c>
      <c r="G530" s="1">
        <f t="shared" ca="1" si="34"/>
        <v>0.3</v>
      </c>
      <c r="H530" s="1">
        <f t="shared" ca="1" si="35"/>
        <v>1.66</v>
      </c>
    </row>
    <row r="531" spans="1:8">
      <c r="A531" s="1">
        <v>526</v>
      </c>
      <c r="B531" s="8">
        <f ca="1">_xlfn.MAXIFS(Transactions[Transaction Date], Transactions[CustomerID],A531)</f>
        <v>43350</v>
      </c>
      <c r="C531" s="1">
        <f t="shared" ref="C531:C594" ca="1" si="36">(MAX(DATEDIF(B531,"03/01/2019","ym"),1))</f>
        <v>5</v>
      </c>
      <c r="D531" s="1">
        <f ca="1">COUNTIF(Transactions[CustomerID],"="&amp;A531)</f>
        <v>11</v>
      </c>
      <c r="E531" s="9">
        <f ca="1">_xlfn.MAXIFS(Transactions[Transaction Amount], Transactions[CustomerID],A531)/'Customer Profiles'!$M$10</f>
        <v>2.5515959223991804</v>
      </c>
      <c r="F531" s="1">
        <f t="shared" ref="F531:F594" ca="1" si="37">ROUND(C531/$M$8,2)</f>
        <v>1.18</v>
      </c>
      <c r="G531" s="1">
        <f t="shared" ref="G531:G594" ca="1" si="38">ROUND(D531/$M$6,2)</f>
        <v>1.65</v>
      </c>
      <c r="H531" s="1">
        <f t="shared" ref="H531:H594" ca="1" si="39">ROUND(C531*$K$6+D531*$K$7+E531*$K$8,2)</f>
        <v>4.43</v>
      </c>
    </row>
    <row r="532" spans="1:8">
      <c r="A532" s="1">
        <v>527</v>
      </c>
      <c r="B532" s="8">
        <f ca="1">_xlfn.MAXIFS(Transactions[Transaction Date], Transactions[CustomerID],A532)</f>
        <v>43273</v>
      </c>
      <c r="C532" s="1">
        <f t="shared" ca="1" si="36"/>
        <v>8</v>
      </c>
      <c r="D532" s="1">
        <f ca="1">COUNTIF(Transactions[CustomerID],"="&amp;A532)</f>
        <v>3</v>
      </c>
      <c r="E532" s="9">
        <f ca="1">_xlfn.MAXIFS(Transactions[Transaction Amount], Transactions[CustomerID],A532)/'Customer Profiles'!$M$10</f>
        <v>0.78506266453657991</v>
      </c>
      <c r="F532" s="1">
        <f t="shared" ca="1" si="37"/>
        <v>1.89</v>
      </c>
      <c r="G532" s="1">
        <f t="shared" ca="1" si="38"/>
        <v>0.45</v>
      </c>
      <c r="H532" s="1">
        <f t="shared" ca="1" si="39"/>
        <v>2.92</v>
      </c>
    </row>
    <row r="533" spans="1:8">
      <c r="A533" s="1">
        <v>528</v>
      </c>
      <c r="B533" s="8">
        <f ca="1">_xlfn.MAXIFS(Transactions[Transaction Date], Transactions[CustomerID],A533)</f>
        <v>43234</v>
      </c>
      <c r="C533" s="1">
        <f t="shared" ca="1" si="36"/>
        <v>9</v>
      </c>
      <c r="D533" s="1">
        <f ca="1">COUNTIF(Transactions[CustomerID],"="&amp;A533)</f>
        <v>2</v>
      </c>
      <c r="E533" s="9">
        <f ca="1">_xlfn.MAXIFS(Transactions[Transaction Amount], Transactions[CustomerID],A533)/'Customer Profiles'!$M$10</f>
        <v>2.2317968949060307</v>
      </c>
      <c r="F533" s="1">
        <f t="shared" ca="1" si="37"/>
        <v>2.12</v>
      </c>
      <c r="G533" s="1">
        <f t="shared" ca="1" si="38"/>
        <v>0.3</v>
      </c>
      <c r="H533" s="1">
        <f t="shared" ca="1" si="39"/>
        <v>3.89</v>
      </c>
    </row>
    <row r="534" spans="1:8">
      <c r="A534" s="1">
        <v>529</v>
      </c>
      <c r="B534" s="8">
        <f ca="1">_xlfn.MAXIFS(Transactions[Transaction Date], Transactions[CustomerID],A534)</f>
        <v>43432</v>
      </c>
      <c r="C534" s="1">
        <f t="shared" ca="1" si="36"/>
        <v>3</v>
      </c>
      <c r="D534" s="1">
        <f ca="1">COUNTIF(Transactions[CustomerID],"="&amp;A534)</f>
        <v>15</v>
      </c>
      <c r="E534" s="9">
        <f ca="1">_xlfn.MAXIFS(Transactions[Transaction Amount], Transactions[CustomerID],A534)/'Customer Profiles'!$M$10</f>
        <v>7.9610065602116897</v>
      </c>
      <c r="F534" s="1">
        <f t="shared" ca="1" si="37"/>
        <v>0.71</v>
      </c>
      <c r="G534" s="1">
        <f t="shared" ca="1" si="38"/>
        <v>2.25</v>
      </c>
      <c r="H534" s="1">
        <f t="shared" ca="1" si="39"/>
        <v>7.78</v>
      </c>
    </row>
    <row r="535" spans="1:8">
      <c r="A535" s="1">
        <v>530</v>
      </c>
      <c r="B535" s="8">
        <f ca="1">_xlfn.MAXIFS(Transactions[Transaction Date], Transactions[CustomerID],A535)</f>
        <v>43435</v>
      </c>
      <c r="C535" s="1">
        <f t="shared" ca="1" si="36"/>
        <v>3</v>
      </c>
      <c r="D535" s="1">
        <f ca="1">COUNTIF(Transactions[CustomerID],"="&amp;A535)</f>
        <v>10</v>
      </c>
      <c r="E535" s="9">
        <f ca="1">_xlfn.MAXIFS(Transactions[Transaction Amount], Transactions[CustomerID],A535)/'Customer Profiles'!$M$10</f>
        <v>4.8636768645451038</v>
      </c>
      <c r="F535" s="1">
        <f t="shared" ca="1" si="37"/>
        <v>0.71</v>
      </c>
      <c r="G535" s="1">
        <f t="shared" ca="1" si="38"/>
        <v>1.5</v>
      </c>
      <c r="H535" s="1">
        <f t="shared" ca="1" si="39"/>
        <v>5.17</v>
      </c>
    </row>
    <row r="536" spans="1:8">
      <c r="A536" s="1">
        <v>531</v>
      </c>
      <c r="B536" s="8">
        <f ca="1">_xlfn.MAXIFS(Transactions[Transaction Date], Transactions[CustomerID],A536)</f>
        <v>42916</v>
      </c>
      <c r="C536" s="1">
        <f t="shared" ca="1" si="36"/>
        <v>8</v>
      </c>
      <c r="D536" s="1">
        <f ca="1">COUNTIF(Transactions[CustomerID],"="&amp;A536)</f>
        <v>1</v>
      </c>
      <c r="E536" s="9">
        <f ca="1">_xlfn.MAXIFS(Transactions[Transaction Amount], Transactions[CustomerID],A536)/'Customer Profiles'!$M$10</f>
        <v>1.2774118867077155</v>
      </c>
      <c r="F536" s="1">
        <f t="shared" ca="1" si="37"/>
        <v>1.89</v>
      </c>
      <c r="G536" s="1">
        <f t="shared" ca="1" si="38"/>
        <v>0.15</v>
      </c>
      <c r="H536" s="1">
        <f t="shared" ca="1" si="39"/>
        <v>2.92</v>
      </c>
    </row>
    <row r="537" spans="1:8">
      <c r="A537" s="1">
        <v>532</v>
      </c>
      <c r="B537" s="8">
        <f ca="1">_xlfn.MAXIFS(Transactions[Transaction Date], Transactions[CustomerID],A537)</f>
        <v>43069</v>
      </c>
      <c r="C537" s="1">
        <f t="shared" ca="1" si="36"/>
        <v>3</v>
      </c>
      <c r="D537" s="1">
        <f ca="1">COUNTIF(Transactions[CustomerID],"="&amp;A537)</f>
        <v>2</v>
      </c>
      <c r="E537" s="9">
        <f ca="1">_xlfn.MAXIFS(Transactions[Transaction Amount], Transactions[CustomerID],A537)/'Customer Profiles'!$M$10</f>
        <v>0.14012251694010314</v>
      </c>
      <c r="F537" s="1">
        <f t="shared" ca="1" si="37"/>
        <v>0.71</v>
      </c>
      <c r="G537" s="1">
        <f t="shared" ca="1" si="38"/>
        <v>0.3</v>
      </c>
      <c r="H537" s="1">
        <f t="shared" ca="1" si="39"/>
        <v>1.1299999999999999</v>
      </c>
    </row>
    <row r="538" spans="1:8">
      <c r="A538" s="1">
        <v>533</v>
      </c>
      <c r="B538" s="8">
        <f ca="1">_xlfn.MAXIFS(Transactions[Transaction Date], Transactions[CustomerID],A538)</f>
        <v>43267</v>
      </c>
      <c r="C538" s="1">
        <f t="shared" ca="1" si="36"/>
        <v>8</v>
      </c>
      <c r="D538" s="1">
        <f ca="1">COUNTIF(Transactions[CustomerID],"="&amp;A538)</f>
        <v>1</v>
      </c>
      <c r="E538" s="9">
        <f ca="1">_xlfn.MAXIFS(Transactions[Transaction Amount], Transactions[CustomerID],A538)/'Customer Profiles'!$M$10</f>
        <v>0.62616690761395299</v>
      </c>
      <c r="F538" s="1">
        <f t="shared" ca="1" si="37"/>
        <v>1.89</v>
      </c>
      <c r="G538" s="1">
        <f t="shared" ca="1" si="38"/>
        <v>0.15</v>
      </c>
      <c r="H538" s="1">
        <f t="shared" ca="1" si="39"/>
        <v>2.5299999999999998</v>
      </c>
    </row>
    <row r="539" spans="1:8">
      <c r="A539" s="1">
        <v>534</v>
      </c>
      <c r="B539" s="8">
        <f ca="1">_xlfn.MAXIFS(Transactions[Transaction Date], Transactions[CustomerID],A539)</f>
        <v>42869</v>
      </c>
      <c r="C539" s="1">
        <f t="shared" ca="1" si="36"/>
        <v>9</v>
      </c>
      <c r="D539" s="1">
        <f ca="1">COUNTIF(Transactions[CustomerID],"="&amp;A539)</f>
        <v>1</v>
      </c>
      <c r="E539" s="9">
        <f ca="1">_xlfn.MAXIFS(Transactions[Transaction Amount], Transactions[CustomerID],A539)/'Customer Profiles'!$M$10</f>
        <v>0.14472984511016482</v>
      </c>
      <c r="F539" s="1">
        <f t="shared" ca="1" si="37"/>
        <v>2.12</v>
      </c>
      <c r="G539" s="1">
        <f t="shared" ca="1" si="38"/>
        <v>0.15</v>
      </c>
      <c r="H539" s="1">
        <f t="shared" ca="1" si="39"/>
        <v>2.4900000000000002</v>
      </c>
    </row>
    <row r="540" spans="1:8">
      <c r="A540" s="1">
        <v>535</v>
      </c>
      <c r="B540" s="8">
        <f ca="1">_xlfn.MAXIFS(Transactions[Transaction Date], Transactions[CustomerID],A540)</f>
        <v>43433</v>
      </c>
      <c r="C540" s="1">
        <f t="shared" ca="1" si="36"/>
        <v>3</v>
      </c>
      <c r="D540" s="1">
        <f ca="1">COUNTIF(Transactions[CustomerID],"="&amp;A540)</f>
        <v>28</v>
      </c>
      <c r="E540" s="9">
        <f ca="1">_xlfn.MAXIFS(Transactions[Transaction Amount], Transactions[CustomerID],A540)/'Customer Profiles'!$M$10</f>
        <v>4.8142187736320849</v>
      </c>
      <c r="F540" s="1">
        <f t="shared" ca="1" si="37"/>
        <v>0.71</v>
      </c>
      <c r="G540" s="1">
        <f t="shared" ca="1" si="38"/>
        <v>4.2</v>
      </c>
      <c r="H540" s="1">
        <f t="shared" ca="1" si="39"/>
        <v>7.84</v>
      </c>
    </row>
    <row r="541" spans="1:8">
      <c r="A541" s="1">
        <v>536</v>
      </c>
      <c r="B541" s="8">
        <f ca="1">_xlfn.MAXIFS(Transactions[Transaction Date], Transactions[CustomerID],A541)</f>
        <v>43478</v>
      </c>
      <c r="C541" s="1">
        <f t="shared" ca="1" si="36"/>
        <v>1</v>
      </c>
      <c r="D541" s="1">
        <f ca="1">COUNTIF(Transactions[CustomerID],"="&amp;A541)</f>
        <v>9</v>
      </c>
      <c r="E541" s="9">
        <f ca="1">_xlfn.MAXIFS(Transactions[Transaction Amount], Transactions[CustomerID],A541)/'Customer Profiles'!$M$10</f>
        <v>10.266245213502341</v>
      </c>
      <c r="F541" s="1">
        <f t="shared" ca="1" si="37"/>
        <v>0.24</v>
      </c>
      <c r="G541" s="1">
        <f t="shared" ca="1" si="38"/>
        <v>1.35</v>
      </c>
      <c r="H541" s="1">
        <f t="shared" ca="1" si="39"/>
        <v>7.76</v>
      </c>
    </row>
    <row r="542" spans="1:8">
      <c r="A542" s="1">
        <v>537</v>
      </c>
      <c r="B542" s="8">
        <f ca="1">_xlfn.MAXIFS(Transactions[Transaction Date], Transactions[CustomerID],A542)</f>
        <v>43083</v>
      </c>
      <c r="C542" s="1">
        <f t="shared" ca="1" si="36"/>
        <v>2</v>
      </c>
      <c r="D542" s="1">
        <f ca="1">COUNTIF(Transactions[CustomerID],"="&amp;A542)</f>
        <v>1</v>
      </c>
      <c r="E542" s="9">
        <f ca="1">_xlfn.MAXIFS(Transactions[Transaction Amount], Transactions[CustomerID],A542)/'Customer Profiles'!$M$10</f>
        <v>1.4583750612002155</v>
      </c>
      <c r="F542" s="1">
        <f t="shared" ca="1" si="37"/>
        <v>0.47</v>
      </c>
      <c r="G542" s="1">
        <f t="shared" ca="1" si="38"/>
        <v>0.15</v>
      </c>
      <c r="H542" s="1">
        <f t="shared" ca="1" si="39"/>
        <v>1.53</v>
      </c>
    </row>
    <row r="543" spans="1:8">
      <c r="A543" s="1">
        <v>538</v>
      </c>
      <c r="B543" s="8">
        <f ca="1">_xlfn.MAXIFS(Transactions[Transaction Date], Transactions[CustomerID],A543)</f>
        <v>43470</v>
      </c>
      <c r="C543" s="1">
        <f t="shared" ca="1" si="36"/>
        <v>1</v>
      </c>
      <c r="D543" s="1">
        <f ca="1">COUNTIF(Transactions[CustomerID],"="&amp;A543)</f>
        <v>2</v>
      </c>
      <c r="E543" s="9">
        <f ca="1">_xlfn.MAXIFS(Transactions[Transaction Amount], Transactions[CustomerID],A543)/'Customer Profiles'!$M$10</f>
        <v>1.79887631868683</v>
      </c>
      <c r="F543" s="1">
        <f t="shared" ca="1" si="37"/>
        <v>0.24</v>
      </c>
      <c r="G543" s="1">
        <f t="shared" ca="1" si="38"/>
        <v>0.3</v>
      </c>
      <c r="H543" s="1">
        <f t="shared" ca="1" si="39"/>
        <v>1.63</v>
      </c>
    </row>
    <row r="544" spans="1:8">
      <c r="A544" s="1">
        <v>539</v>
      </c>
      <c r="B544" s="8">
        <f ca="1">_xlfn.MAXIFS(Transactions[Transaction Date], Transactions[CustomerID],A544)</f>
        <v>43163</v>
      </c>
      <c r="C544" s="1">
        <f t="shared" ca="1" si="36"/>
        <v>11</v>
      </c>
      <c r="D544" s="1">
        <f ca="1">COUNTIF(Transactions[CustomerID],"="&amp;A544)</f>
        <v>1</v>
      </c>
      <c r="E544" s="9">
        <f ca="1">_xlfn.MAXIFS(Transactions[Transaction Amount], Transactions[CustomerID],A544)/'Customer Profiles'!$M$10</f>
        <v>0.48389498966003264</v>
      </c>
      <c r="F544" s="1">
        <f t="shared" ca="1" si="37"/>
        <v>2.59</v>
      </c>
      <c r="G544" s="1">
        <f t="shared" ca="1" si="38"/>
        <v>0.15</v>
      </c>
      <c r="H544" s="1">
        <f t="shared" ca="1" si="39"/>
        <v>3.19</v>
      </c>
    </row>
    <row r="545" spans="1:8">
      <c r="A545" s="1">
        <v>540</v>
      </c>
      <c r="B545" s="8">
        <f ca="1">_xlfn.MAXIFS(Transactions[Transaction Date], Transactions[CustomerID],A545)</f>
        <v>43419</v>
      </c>
      <c r="C545" s="1">
        <f t="shared" ca="1" si="36"/>
        <v>3</v>
      </c>
      <c r="D545" s="1">
        <f ca="1">COUNTIF(Transactions[CustomerID],"="&amp;A545)</f>
        <v>1</v>
      </c>
      <c r="E545" s="9">
        <f ca="1">_xlfn.MAXIFS(Transactions[Transaction Amount], Transactions[CustomerID],A545)/'Customer Profiles'!$M$10</f>
        <v>0.5451867198968734</v>
      </c>
      <c r="F545" s="1">
        <f t="shared" ca="1" si="37"/>
        <v>0.71</v>
      </c>
      <c r="G545" s="1">
        <f t="shared" ca="1" si="38"/>
        <v>0.15</v>
      </c>
      <c r="H545" s="1">
        <f t="shared" ca="1" si="39"/>
        <v>1.23</v>
      </c>
    </row>
    <row r="546" spans="1:8">
      <c r="A546" s="1">
        <v>541</v>
      </c>
      <c r="B546" s="8">
        <f ca="1">_xlfn.MAXIFS(Transactions[Transaction Date], Transactions[CustomerID],A546)</f>
        <v>43418</v>
      </c>
      <c r="C546" s="1">
        <f t="shared" ca="1" si="36"/>
        <v>3</v>
      </c>
      <c r="D546" s="1">
        <f ca="1">COUNTIF(Transactions[CustomerID],"="&amp;A546)</f>
        <v>5</v>
      </c>
      <c r="E546" s="9">
        <f ca="1">_xlfn.MAXIFS(Transactions[Transaction Amount], Transactions[CustomerID],A546)/'Customer Profiles'!$M$10</f>
        <v>1.3474159628905871</v>
      </c>
      <c r="F546" s="1">
        <f t="shared" ca="1" si="37"/>
        <v>0.71</v>
      </c>
      <c r="G546" s="1">
        <f t="shared" ca="1" si="38"/>
        <v>0.75</v>
      </c>
      <c r="H546" s="1">
        <f t="shared" ca="1" si="39"/>
        <v>2.31</v>
      </c>
    </row>
    <row r="547" spans="1:8">
      <c r="A547" s="1">
        <v>542</v>
      </c>
      <c r="B547" s="8">
        <f ca="1">_xlfn.MAXIFS(Transactions[Transaction Date], Transactions[CustomerID],A547)</f>
        <v>42900</v>
      </c>
      <c r="C547" s="1">
        <f t="shared" ca="1" si="36"/>
        <v>8</v>
      </c>
      <c r="D547" s="1">
        <f ca="1">COUNTIF(Transactions[CustomerID],"="&amp;A547)</f>
        <v>1</v>
      </c>
      <c r="E547" s="9">
        <f ca="1">_xlfn.MAXIFS(Transactions[Transaction Amount], Transactions[CustomerID],A547)/'Customer Profiles'!$M$10</f>
        <v>0.13183601438697473</v>
      </c>
      <c r="F547" s="1">
        <f t="shared" ca="1" si="37"/>
        <v>1.89</v>
      </c>
      <c r="G547" s="1">
        <f t="shared" ca="1" si="38"/>
        <v>0.15</v>
      </c>
      <c r="H547" s="1">
        <f t="shared" ca="1" si="39"/>
        <v>2.23</v>
      </c>
    </row>
    <row r="548" spans="1:8">
      <c r="A548" s="1">
        <v>543</v>
      </c>
      <c r="B548" s="8">
        <f ca="1">_xlfn.MAXIFS(Transactions[Transaction Date], Transactions[CustomerID],A548)</f>
        <v>43126</v>
      </c>
      <c r="C548" s="1">
        <f t="shared" ca="1" si="36"/>
        <v>1</v>
      </c>
      <c r="D548" s="1">
        <f ca="1">COUNTIF(Transactions[CustomerID],"="&amp;A548)</f>
        <v>4</v>
      </c>
      <c r="E548" s="9">
        <f ca="1">_xlfn.MAXIFS(Transactions[Transaction Amount], Transactions[CustomerID],A548)/'Customer Profiles'!$M$10</f>
        <v>4.1194418045211139</v>
      </c>
      <c r="F548" s="1">
        <f t="shared" ca="1" si="37"/>
        <v>0.24</v>
      </c>
      <c r="G548" s="1">
        <f t="shared" ca="1" si="38"/>
        <v>0.6</v>
      </c>
      <c r="H548" s="1">
        <f t="shared" ca="1" si="39"/>
        <v>3.32</v>
      </c>
    </row>
    <row r="549" spans="1:8">
      <c r="A549" s="1">
        <v>544</v>
      </c>
      <c r="B549" s="8">
        <f ca="1">_xlfn.MAXIFS(Transactions[Transaction Date], Transactions[CustomerID],A549)</f>
        <v>43113</v>
      </c>
      <c r="C549" s="1">
        <f t="shared" ca="1" si="36"/>
        <v>1</v>
      </c>
      <c r="D549" s="1">
        <f ca="1">COUNTIF(Transactions[CustomerID],"="&amp;A549)</f>
        <v>1</v>
      </c>
      <c r="E549" s="9">
        <f ca="1">_xlfn.MAXIFS(Transactions[Transaction Amount], Transactions[CustomerID],A549)/'Customer Profiles'!$M$10</f>
        <v>0.1705664226283807</v>
      </c>
      <c r="F549" s="1">
        <f t="shared" ca="1" si="37"/>
        <v>0.24</v>
      </c>
      <c r="G549" s="1">
        <f t="shared" ca="1" si="38"/>
        <v>0.15</v>
      </c>
      <c r="H549" s="1">
        <f t="shared" ca="1" si="39"/>
        <v>0.5</v>
      </c>
    </row>
    <row r="550" spans="1:8">
      <c r="A550" s="1">
        <v>545</v>
      </c>
      <c r="B550" s="8">
        <f ca="1">_xlfn.MAXIFS(Transactions[Transaction Date], Transactions[CustomerID],A550)</f>
        <v>43491</v>
      </c>
      <c r="C550" s="1">
        <f t="shared" ca="1" si="36"/>
        <v>1</v>
      </c>
      <c r="D550" s="1">
        <f ca="1">COUNTIF(Transactions[CustomerID],"="&amp;A550)</f>
        <v>1</v>
      </c>
      <c r="E550" s="9">
        <f ca="1">_xlfn.MAXIFS(Transactions[Transaction Amount], Transactions[CustomerID],A550)/'Customer Profiles'!$M$10</f>
        <v>3.2095752836805391</v>
      </c>
      <c r="F550" s="1">
        <f t="shared" ca="1" si="37"/>
        <v>0.24</v>
      </c>
      <c r="G550" s="1">
        <f t="shared" ca="1" si="38"/>
        <v>0.15</v>
      </c>
      <c r="H550" s="1">
        <f t="shared" ca="1" si="39"/>
        <v>2.33</v>
      </c>
    </row>
    <row r="551" spans="1:8">
      <c r="A551" s="1">
        <v>546</v>
      </c>
      <c r="B551" s="8">
        <f ca="1">_xlfn.MAXIFS(Transactions[Transaction Date], Transactions[CustomerID],A551)</f>
        <v>43230</v>
      </c>
      <c r="C551" s="1">
        <f t="shared" ca="1" si="36"/>
        <v>9</v>
      </c>
      <c r="D551" s="1">
        <f ca="1">COUNTIF(Transactions[CustomerID],"="&amp;A551)</f>
        <v>2</v>
      </c>
      <c r="E551" s="9">
        <f ca="1">_xlfn.MAXIFS(Transactions[Transaction Amount], Transactions[CustomerID],A551)/'Customer Profiles'!$M$10</f>
        <v>1.6491860730887409</v>
      </c>
      <c r="F551" s="1">
        <f t="shared" ca="1" si="37"/>
        <v>2.12</v>
      </c>
      <c r="G551" s="1">
        <f t="shared" ca="1" si="38"/>
        <v>0.3</v>
      </c>
      <c r="H551" s="1">
        <f t="shared" ca="1" si="39"/>
        <v>3.54</v>
      </c>
    </row>
    <row r="552" spans="1:8">
      <c r="A552" s="1">
        <v>547</v>
      </c>
      <c r="B552" s="8">
        <f ca="1">_xlfn.MAXIFS(Transactions[Transaction Date], Transactions[CustomerID],A552)</f>
        <v>43436</v>
      </c>
      <c r="C552" s="1">
        <f t="shared" ca="1" si="36"/>
        <v>2</v>
      </c>
      <c r="D552" s="1">
        <f ca="1">COUNTIF(Transactions[CustomerID],"="&amp;A552)</f>
        <v>8</v>
      </c>
      <c r="E552" s="9">
        <f ca="1">_xlfn.MAXIFS(Transactions[Transaction Amount], Transactions[CustomerID],A552)/'Customer Profiles'!$M$10</f>
        <v>2.1171083616255442</v>
      </c>
      <c r="F552" s="1">
        <f t="shared" ca="1" si="37"/>
        <v>0.47</v>
      </c>
      <c r="G552" s="1">
        <f t="shared" ca="1" si="38"/>
        <v>1.2</v>
      </c>
      <c r="H552" s="1">
        <f t="shared" ca="1" si="39"/>
        <v>2.97</v>
      </c>
    </row>
    <row r="553" spans="1:8">
      <c r="A553" s="1">
        <v>548</v>
      </c>
      <c r="B553" s="8">
        <f ca="1">_xlfn.MAXIFS(Transactions[Transaction Date], Transactions[CustomerID],A553)</f>
        <v>43151</v>
      </c>
      <c r="C553" s="1">
        <f t="shared" ca="1" si="36"/>
        <v>1</v>
      </c>
      <c r="D553" s="1">
        <f ca="1">COUNTIF(Transactions[CustomerID],"="&amp;A553)</f>
        <v>1</v>
      </c>
      <c r="E553" s="9">
        <f ca="1">_xlfn.MAXIFS(Transactions[Transaction Amount], Transactions[CustomerID],A553)/'Customer Profiles'!$M$10</f>
        <v>6.3161418331176333E-2</v>
      </c>
      <c r="F553" s="1">
        <f t="shared" ca="1" si="37"/>
        <v>0.24</v>
      </c>
      <c r="G553" s="1">
        <f t="shared" ca="1" si="38"/>
        <v>0.15</v>
      </c>
      <c r="H553" s="1">
        <f t="shared" ca="1" si="39"/>
        <v>0.44</v>
      </c>
    </row>
    <row r="554" spans="1:8">
      <c r="A554" s="1">
        <v>549</v>
      </c>
      <c r="B554" s="8">
        <f ca="1">_xlfn.MAXIFS(Transactions[Transaction Date], Transactions[CustomerID],A554)</f>
        <v>43316</v>
      </c>
      <c r="C554" s="1">
        <f t="shared" ca="1" si="36"/>
        <v>6</v>
      </c>
      <c r="D554" s="1">
        <f ca="1">COUNTIF(Transactions[CustomerID],"="&amp;A554)</f>
        <v>1</v>
      </c>
      <c r="E554" s="9">
        <f ca="1">_xlfn.MAXIFS(Transactions[Transaction Amount], Transactions[CustomerID],A554)/'Customer Profiles'!$M$10</f>
        <v>1.1479414008527007</v>
      </c>
      <c r="F554" s="1">
        <f t="shared" ca="1" si="37"/>
        <v>1.42</v>
      </c>
      <c r="G554" s="1">
        <f t="shared" ca="1" si="38"/>
        <v>0.15</v>
      </c>
      <c r="H554" s="1">
        <f t="shared" ca="1" si="39"/>
        <v>2.34</v>
      </c>
    </row>
    <row r="555" spans="1:8">
      <c r="A555" s="1">
        <v>550</v>
      </c>
      <c r="B555" s="8">
        <f ca="1">_xlfn.MAXIFS(Transactions[Transaction Date], Transactions[CustomerID],A555)</f>
        <v>42822</v>
      </c>
      <c r="C555" s="1">
        <f t="shared" ca="1" si="36"/>
        <v>11</v>
      </c>
      <c r="D555" s="1">
        <f ca="1">COUNTIF(Transactions[CustomerID],"="&amp;A555)</f>
        <v>1</v>
      </c>
      <c r="E555" s="9">
        <f ca="1">_xlfn.MAXIFS(Transactions[Transaction Amount], Transactions[CustomerID],A555)/'Customer Profiles'!$M$10</f>
        <v>2.5945728262183168</v>
      </c>
      <c r="F555" s="1">
        <f t="shared" ca="1" si="37"/>
        <v>2.59</v>
      </c>
      <c r="G555" s="1">
        <f t="shared" ca="1" si="38"/>
        <v>0.15</v>
      </c>
      <c r="H555" s="1">
        <f t="shared" ca="1" si="39"/>
        <v>4.46</v>
      </c>
    </row>
    <row r="556" spans="1:8">
      <c r="A556" s="1">
        <v>551</v>
      </c>
      <c r="B556" s="8">
        <f ca="1">_xlfn.MAXIFS(Transactions[Transaction Date], Transactions[CustomerID],A556)</f>
        <v>43470</v>
      </c>
      <c r="C556" s="1">
        <f t="shared" ca="1" si="36"/>
        <v>1</v>
      </c>
      <c r="D556" s="1">
        <f ca="1">COUNTIF(Transactions[CustomerID],"="&amp;A556)</f>
        <v>11</v>
      </c>
      <c r="E556" s="9">
        <f ca="1">_xlfn.MAXIFS(Transactions[Transaction Amount], Transactions[CustomerID],A556)/'Customer Profiles'!$M$10</f>
        <v>6.2492317407187041</v>
      </c>
      <c r="F556" s="1">
        <f t="shared" ca="1" si="37"/>
        <v>0.24</v>
      </c>
      <c r="G556" s="1">
        <f t="shared" ca="1" si="38"/>
        <v>1.65</v>
      </c>
      <c r="H556" s="1">
        <f t="shared" ca="1" si="39"/>
        <v>5.65</v>
      </c>
    </row>
    <row r="557" spans="1:8">
      <c r="A557" s="1">
        <v>552</v>
      </c>
      <c r="B557" s="8">
        <f ca="1">_xlfn.MAXIFS(Transactions[Transaction Date], Transactions[CustomerID],A557)</f>
        <v>43442</v>
      </c>
      <c r="C557" s="1">
        <f t="shared" ca="1" si="36"/>
        <v>2</v>
      </c>
      <c r="D557" s="1">
        <f ca="1">COUNTIF(Transactions[CustomerID],"="&amp;A557)</f>
        <v>9</v>
      </c>
      <c r="E557" s="9">
        <f ca="1">_xlfn.MAXIFS(Transactions[Transaction Amount], Transactions[CustomerID],A557)/'Customer Profiles'!$M$10</f>
        <v>4.5838285927438944</v>
      </c>
      <c r="F557" s="1">
        <f t="shared" ca="1" si="37"/>
        <v>0.47</v>
      </c>
      <c r="G557" s="1">
        <f t="shared" ca="1" si="38"/>
        <v>1.35</v>
      </c>
      <c r="H557" s="1">
        <f t="shared" ca="1" si="39"/>
        <v>4.5999999999999996</v>
      </c>
    </row>
    <row r="558" spans="1:8">
      <c r="A558" s="1">
        <v>553</v>
      </c>
      <c r="B558" s="8">
        <f ca="1">_xlfn.MAXIFS(Transactions[Transaction Date], Transactions[CustomerID],A558)</f>
        <v>43079</v>
      </c>
      <c r="C558" s="1">
        <f t="shared" ca="1" si="36"/>
        <v>2</v>
      </c>
      <c r="D558" s="1">
        <f ca="1">COUNTIF(Transactions[CustomerID],"="&amp;A558)</f>
        <v>1</v>
      </c>
      <c r="E558" s="9">
        <f ca="1">_xlfn.MAXIFS(Transactions[Transaction Amount], Transactions[CustomerID],A558)/'Customer Profiles'!$M$10</f>
        <v>0.6017018893646302</v>
      </c>
      <c r="F558" s="1">
        <f t="shared" ca="1" si="37"/>
        <v>0.47</v>
      </c>
      <c r="G558" s="1">
        <f t="shared" ca="1" si="38"/>
        <v>0.15</v>
      </c>
      <c r="H558" s="1">
        <f t="shared" ca="1" si="39"/>
        <v>1.01</v>
      </c>
    </row>
    <row r="559" spans="1:8">
      <c r="A559" s="1">
        <v>554</v>
      </c>
      <c r="B559" s="8">
        <f ca="1">_xlfn.MAXIFS(Transactions[Transaction Date], Transactions[CustomerID],A559)</f>
        <v>42968</v>
      </c>
      <c r="C559" s="1">
        <f t="shared" ca="1" si="36"/>
        <v>6</v>
      </c>
      <c r="D559" s="1">
        <f ca="1">COUNTIF(Transactions[CustomerID],"="&amp;A559)</f>
        <v>1</v>
      </c>
      <c r="E559" s="9">
        <f ca="1">_xlfn.MAXIFS(Transactions[Transaction Amount], Transactions[CustomerID],A559)/'Customer Profiles'!$M$10</f>
        <v>0.96671833233139204</v>
      </c>
      <c r="F559" s="1">
        <f t="shared" ca="1" si="37"/>
        <v>1.42</v>
      </c>
      <c r="G559" s="1">
        <f t="shared" ca="1" si="38"/>
        <v>0.15</v>
      </c>
      <c r="H559" s="1">
        <f t="shared" ca="1" si="39"/>
        <v>2.23</v>
      </c>
    </row>
    <row r="560" spans="1:8">
      <c r="A560" s="1">
        <v>555</v>
      </c>
      <c r="B560" s="8">
        <f ca="1">_xlfn.MAXIFS(Transactions[Transaction Date], Transactions[CustomerID],A560)</f>
        <v>43170</v>
      </c>
      <c r="C560" s="1">
        <f t="shared" ca="1" si="36"/>
        <v>11</v>
      </c>
      <c r="D560" s="1">
        <f ca="1">COUNTIF(Transactions[CustomerID],"="&amp;A560)</f>
        <v>1</v>
      </c>
      <c r="E560" s="9">
        <f ca="1">_xlfn.MAXIFS(Transactions[Transaction Amount], Transactions[CustomerID],A560)/'Customer Profiles'!$M$10</f>
        <v>3.89372684863153</v>
      </c>
      <c r="F560" s="1">
        <f t="shared" ca="1" si="37"/>
        <v>2.59</v>
      </c>
      <c r="G560" s="1">
        <f t="shared" ca="1" si="38"/>
        <v>0.15</v>
      </c>
      <c r="H560" s="1">
        <f t="shared" ca="1" si="39"/>
        <v>5.24</v>
      </c>
    </row>
    <row r="561" spans="1:8">
      <c r="A561" s="1">
        <v>556</v>
      </c>
      <c r="B561" s="8">
        <f ca="1">_xlfn.MAXIFS(Transactions[Transaction Date], Transactions[CustomerID],A561)</f>
        <v>43295</v>
      </c>
      <c r="C561" s="1">
        <f t="shared" ca="1" si="36"/>
        <v>7</v>
      </c>
      <c r="D561" s="1">
        <f ca="1">COUNTIF(Transactions[CustomerID],"="&amp;A561)</f>
        <v>2</v>
      </c>
      <c r="E561" s="9">
        <f ca="1">_xlfn.MAXIFS(Transactions[Transaction Amount], Transactions[CustomerID],A561)/'Customer Profiles'!$M$10</f>
        <v>0.15145205440226039</v>
      </c>
      <c r="F561" s="1">
        <f t="shared" ca="1" si="37"/>
        <v>1.65</v>
      </c>
      <c r="G561" s="1">
        <f t="shared" ca="1" si="38"/>
        <v>0.3</v>
      </c>
      <c r="H561" s="1">
        <f t="shared" ca="1" si="39"/>
        <v>2.14</v>
      </c>
    </row>
    <row r="562" spans="1:8">
      <c r="A562" s="1">
        <v>557</v>
      </c>
      <c r="B562" s="8">
        <f ca="1">_xlfn.MAXIFS(Transactions[Transaction Date], Transactions[CustomerID],A562)</f>
        <v>42771</v>
      </c>
      <c r="C562" s="1">
        <f t="shared" ca="1" si="36"/>
        <v>1</v>
      </c>
      <c r="D562" s="1">
        <f ca="1">COUNTIF(Transactions[CustomerID],"="&amp;A562)</f>
        <v>1</v>
      </c>
      <c r="E562" s="9">
        <f ca="1">_xlfn.MAXIFS(Transactions[Transaction Amount], Transactions[CustomerID],A562)/'Customer Profiles'!$M$10</f>
        <v>0.39296994318509082</v>
      </c>
      <c r="F562" s="1">
        <f t="shared" ca="1" si="37"/>
        <v>0.24</v>
      </c>
      <c r="G562" s="1">
        <f t="shared" ca="1" si="38"/>
        <v>0.15</v>
      </c>
      <c r="H562" s="1">
        <f t="shared" ca="1" si="39"/>
        <v>0.64</v>
      </c>
    </row>
    <row r="563" spans="1:8">
      <c r="A563" s="1">
        <v>558</v>
      </c>
      <c r="B563" s="8">
        <f ca="1">_xlfn.MAXIFS(Transactions[Transaction Date], Transactions[CustomerID],A563)</f>
        <v>43320</v>
      </c>
      <c r="C563" s="1">
        <f t="shared" ca="1" si="36"/>
        <v>6</v>
      </c>
      <c r="D563" s="1">
        <f ca="1">COUNTIF(Transactions[CustomerID],"="&amp;A563)</f>
        <v>1</v>
      </c>
      <c r="E563" s="9">
        <f ca="1">_xlfn.MAXIFS(Transactions[Transaction Amount], Transactions[CustomerID],A563)/'Customer Profiles'!$M$10</f>
        <v>2.2527077720817639</v>
      </c>
      <c r="F563" s="1">
        <f t="shared" ca="1" si="37"/>
        <v>1.42</v>
      </c>
      <c r="G563" s="1">
        <f t="shared" ca="1" si="38"/>
        <v>0.15</v>
      </c>
      <c r="H563" s="1">
        <f t="shared" ca="1" si="39"/>
        <v>3</v>
      </c>
    </row>
    <row r="564" spans="1:8">
      <c r="A564" s="1">
        <v>559</v>
      </c>
      <c r="B564" s="8">
        <f ca="1">_xlfn.MAXIFS(Transactions[Transaction Date], Transactions[CustomerID],A564)</f>
        <v>43180</v>
      </c>
      <c r="C564" s="1">
        <f t="shared" ca="1" si="36"/>
        <v>11</v>
      </c>
      <c r="D564" s="1">
        <f ca="1">COUNTIF(Transactions[CustomerID],"="&amp;A564)</f>
        <v>1</v>
      </c>
      <c r="E564" s="9">
        <f ca="1">_xlfn.MAXIFS(Transactions[Transaction Amount], Transactions[CustomerID],A564)/'Customer Profiles'!$M$10</f>
        <v>0.73152050685056236</v>
      </c>
      <c r="F564" s="1">
        <f t="shared" ca="1" si="37"/>
        <v>2.59</v>
      </c>
      <c r="G564" s="1">
        <f t="shared" ca="1" si="38"/>
        <v>0.15</v>
      </c>
      <c r="H564" s="1">
        <f t="shared" ca="1" si="39"/>
        <v>3.34</v>
      </c>
    </row>
    <row r="565" spans="1:8">
      <c r="A565" s="1">
        <v>560</v>
      </c>
      <c r="B565" s="8">
        <f ca="1">_xlfn.MAXIFS(Transactions[Transaction Date], Transactions[CustomerID],A565)</f>
        <v>43467</v>
      </c>
      <c r="C565" s="1">
        <f t="shared" ca="1" si="36"/>
        <v>1</v>
      </c>
      <c r="D565" s="1">
        <f ca="1">COUNTIF(Transactions[CustomerID],"="&amp;A565)</f>
        <v>8</v>
      </c>
      <c r="E565" s="9">
        <f ca="1">_xlfn.MAXIFS(Transactions[Transaction Amount], Transactions[CustomerID],A565)/'Customer Profiles'!$M$10</f>
        <v>4.1496374385865149</v>
      </c>
      <c r="F565" s="1">
        <f t="shared" ca="1" si="37"/>
        <v>0.24</v>
      </c>
      <c r="G565" s="1">
        <f t="shared" ca="1" si="38"/>
        <v>1.2</v>
      </c>
      <c r="H565" s="1">
        <f t="shared" ca="1" si="39"/>
        <v>3.94</v>
      </c>
    </row>
    <row r="566" spans="1:8">
      <c r="A566" s="1">
        <v>561</v>
      </c>
      <c r="B566" s="8">
        <f ca="1">_xlfn.MAXIFS(Transactions[Transaction Date], Transactions[CustomerID],A566)</f>
        <v>43064</v>
      </c>
      <c r="C566" s="1">
        <f t="shared" ca="1" si="36"/>
        <v>3</v>
      </c>
      <c r="D566" s="1">
        <f ca="1">COUNTIF(Transactions[CustomerID],"="&amp;A566)</f>
        <v>1</v>
      </c>
      <c r="E566" s="9">
        <f ca="1">_xlfn.MAXIFS(Transactions[Transaction Amount], Transactions[CustomerID],A566)/'Customer Profiles'!$M$10</f>
        <v>0.10921638030650271</v>
      </c>
      <c r="F566" s="1">
        <f t="shared" ca="1" si="37"/>
        <v>0.71</v>
      </c>
      <c r="G566" s="1">
        <f t="shared" ca="1" si="38"/>
        <v>0.15</v>
      </c>
      <c r="H566" s="1">
        <f t="shared" ca="1" si="39"/>
        <v>0.97</v>
      </c>
    </row>
    <row r="567" spans="1:8">
      <c r="A567" s="1">
        <v>562</v>
      </c>
      <c r="B567" s="8">
        <f ca="1">_xlfn.MAXIFS(Transactions[Transaction Date], Transactions[CustomerID],A567)</f>
        <v>43112</v>
      </c>
      <c r="C567" s="1">
        <f t="shared" ca="1" si="36"/>
        <v>1</v>
      </c>
      <c r="D567" s="1">
        <f ca="1">COUNTIF(Transactions[CustomerID],"="&amp;A567)</f>
        <v>1</v>
      </c>
      <c r="E567" s="9">
        <f ca="1">_xlfn.MAXIFS(Transactions[Transaction Amount], Transactions[CustomerID],A567)/'Customer Profiles'!$M$10</f>
        <v>6.5524326587192663E-2</v>
      </c>
      <c r="F567" s="1">
        <f t="shared" ca="1" si="37"/>
        <v>0.24</v>
      </c>
      <c r="G567" s="1">
        <f t="shared" ca="1" si="38"/>
        <v>0.15</v>
      </c>
      <c r="H567" s="1">
        <f t="shared" ca="1" si="39"/>
        <v>0.44</v>
      </c>
    </row>
    <row r="568" spans="1:8">
      <c r="A568" s="1">
        <v>563</v>
      </c>
      <c r="B568" s="8">
        <f ca="1">_xlfn.MAXIFS(Transactions[Transaction Date], Transactions[CustomerID],A568)</f>
        <v>43246</v>
      </c>
      <c r="C568" s="1">
        <f t="shared" ca="1" si="36"/>
        <v>9</v>
      </c>
      <c r="D568" s="1">
        <f ca="1">COUNTIF(Transactions[CustomerID],"="&amp;A568)</f>
        <v>1</v>
      </c>
      <c r="E568" s="9">
        <f ca="1">_xlfn.MAXIFS(Transactions[Transaction Amount], Transactions[CustomerID],A568)/'Customer Profiles'!$M$10</f>
        <v>0.32337577902164405</v>
      </c>
      <c r="F568" s="1">
        <f t="shared" ca="1" si="37"/>
        <v>2.12</v>
      </c>
      <c r="G568" s="1">
        <f t="shared" ca="1" si="38"/>
        <v>0.15</v>
      </c>
      <c r="H568" s="1">
        <f t="shared" ca="1" si="39"/>
        <v>2.59</v>
      </c>
    </row>
    <row r="569" spans="1:8">
      <c r="A569" s="1">
        <v>564</v>
      </c>
      <c r="B569" s="8">
        <f ca="1">_xlfn.MAXIFS(Transactions[Transaction Date], Transactions[CustomerID],A569)</f>
        <v>43050</v>
      </c>
      <c r="C569" s="1">
        <f t="shared" ca="1" si="36"/>
        <v>3</v>
      </c>
      <c r="D569" s="1">
        <f ca="1">COUNTIF(Transactions[CustomerID],"="&amp;A569)</f>
        <v>2</v>
      </c>
      <c r="E569" s="9">
        <f ca="1">_xlfn.MAXIFS(Transactions[Transaction Amount], Transactions[CustomerID],A569)/'Customer Profiles'!$M$10</f>
        <v>2.7835829229881086</v>
      </c>
      <c r="F569" s="1">
        <f t="shared" ca="1" si="37"/>
        <v>0.71</v>
      </c>
      <c r="G569" s="1">
        <f t="shared" ca="1" si="38"/>
        <v>0.3</v>
      </c>
      <c r="H569" s="1">
        <f t="shared" ca="1" si="39"/>
        <v>2.72</v>
      </c>
    </row>
    <row r="570" spans="1:8">
      <c r="A570" s="1">
        <v>565</v>
      </c>
      <c r="B570" s="8">
        <f ca="1">_xlfn.MAXIFS(Transactions[Transaction Date], Transactions[CustomerID],A570)</f>
        <v>43199</v>
      </c>
      <c r="C570" s="1">
        <f t="shared" ca="1" si="36"/>
        <v>10</v>
      </c>
      <c r="D570" s="1">
        <f ca="1">COUNTIF(Transactions[CustomerID],"="&amp;A570)</f>
        <v>1</v>
      </c>
      <c r="E570" s="9">
        <f ca="1">_xlfn.MAXIFS(Transactions[Transaction Amount], Transactions[CustomerID],A570)/'Customer Profiles'!$M$10</f>
        <v>2.2674925356716145</v>
      </c>
      <c r="F570" s="1">
        <f t="shared" ca="1" si="37"/>
        <v>2.36</v>
      </c>
      <c r="G570" s="1">
        <f t="shared" ca="1" si="38"/>
        <v>0.15</v>
      </c>
      <c r="H570" s="1">
        <f t="shared" ca="1" si="39"/>
        <v>4.01</v>
      </c>
    </row>
    <row r="571" spans="1:8">
      <c r="A571" s="1">
        <v>566</v>
      </c>
      <c r="B571" s="8">
        <f ca="1">_xlfn.MAXIFS(Transactions[Transaction Date], Transactions[CustomerID],A571)</f>
        <v>43495</v>
      </c>
      <c r="C571" s="1">
        <f t="shared" ca="1" si="36"/>
        <v>1</v>
      </c>
      <c r="D571" s="1">
        <f ca="1">COUNTIF(Transactions[CustomerID],"="&amp;A571)</f>
        <v>44</v>
      </c>
      <c r="E571" s="9">
        <f ca="1">_xlfn.MAXIFS(Transactions[Transaction Amount], Transactions[CustomerID],A571)/'Customer Profiles'!$M$10</f>
        <v>5.9209565552119274</v>
      </c>
      <c r="F571" s="1">
        <f t="shared" ca="1" si="37"/>
        <v>0.24</v>
      </c>
      <c r="G571" s="1">
        <f t="shared" ca="1" si="38"/>
        <v>6.6</v>
      </c>
      <c r="H571" s="1">
        <f t="shared" ca="1" si="39"/>
        <v>10.4</v>
      </c>
    </row>
    <row r="572" spans="1:8">
      <c r="A572" s="1">
        <v>567</v>
      </c>
      <c r="B572" s="8">
        <f ca="1">_xlfn.MAXIFS(Transactions[Transaction Date], Transactions[CustomerID],A572)</f>
        <v>42956</v>
      </c>
      <c r="C572" s="1">
        <f t="shared" ca="1" si="36"/>
        <v>6</v>
      </c>
      <c r="D572" s="1">
        <f ca="1">COUNTIF(Transactions[CustomerID],"="&amp;A572)</f>
        <v>1</v>
      </c>
      <c r="E572" s="9">
        <f ca="1">_xlfn.MAXIFS(Transactions[Transaction Amount], Transactions[CustomerID],A572)/'Customer Profiles'!$M$10</f>
        <v>0.27865054341826095</v>
      </c>
      <c r="F572" s="1">
        <f t="shared" ca="1" si="37"/>
        <v>1.42</v>
      </c>
      <c r="G572" s="1">
        <f t="shared" ca="1" si="38"/>
        <v>0.15</v>
      </c>
      <c r="H572" s="1">
        <f t="shared" ca="1" si="39"/>
        <v>1.82</v>
      </c>
    </row>
    <row r="573" spans="1:8">
      <c r="A573" s="1">
        <v>568</v>
      </c>
      <c r="B573" s="8">
        <f ca="1">_xlfn.MAXIFS(Transactions[Transaction Date], Transactions[CustomerID],A573)</f>
        <v>42867</v>
      </c>
      <c r="C573" s="1">
        <f t="shared" ca="1" si="36"/>
        <v>9</v>
      </c>
      <c r="D573" s="1">
        <f ca="1">COUNTIF(Transactions[CustomerID],"="&amp;A573)</f>
        <v>1</v>
      </c>
      <c r="E573" s="9">
        <f ca="1">_xlfn.MAXIFS(Transactions[Transaction Amount], Transactions[CustomerID],A573)/'Customer Profiles'!$M$10</f>
        <v>1.1119918226329284</v>
      </c>
      <c r="F573" s="1">
        <f t="shared" ca="1" si="37"/>
        <v>2.12</v>
      </c>
      <c r="G573" s="1">
        <f t="shared" ca="1" si="38"/>
        <v>0.15</v>
      </c>
      <c r="H573" s="1">
        <f t="shared" ca="1" si="39"/>
        <v>3.07</v>
      </c>
    </row>
    <row r="574" spans="1:8">
      <c r="A574" s="1">
        <v>569</v>
      </c>
      <c r="B574" s="8">
        <f ca="1">_xlfn.MAXIFS(Transactions[Transaction Date], Transactions[CustomerID],A574)</f>
        <v>43148</v>
      </c>
      <c r="C574" s="1">
        <f t="shared" ca="1" si="36"/>
        <v>1</v>
      </c>
      <c r="D574" s="1">
        <f ca="1">COUNTIF(Transactions[CustomerID],"="&amp;A574)</f>
        <v>2</v>
      </c>
      <c r="E574" s="9">
        <f ca="1">_xlfn.MAXIFS(Transactions[Transaction Amount], Transactions[CustomerID],A574)/'Customer Profiles'!$M$10</f>
        <v>0.1762913881281486</v>
      </c>
      <c r="F574" s="1">
        <f t="shared" ca="1" si="37"/>
        <v>0.24</v>
      </c>
      <c r="G574" s="1">
        <f t="shared" ca="1" si="38"/>
        <v>0.3</v>
      </c>
      <c r="H574" s="1">
        <f t="shared" ca="1" si="39"/>
        <v>0.66</v>
      </c>
    </row>
    <row r="575" spans="1:8">
      <c r="A575" s="1">
        <v>570</v>
      </c>
      <c r="B575" s="8">
        <f ca="1">_xlfn.MAXIFS(Transactions[Transaction Date], Transactions[CustomerID],A575)</f>
        <v>43387</v>
      </c>
      <c r="C575" s="1">
        <f t="shared" ca="1" si="36"/>
        <v>4</v>
      </c>
      <c r="D575" s="1">
        <f ca="1">COUNTIF(Transactions[CustomerID],"="&amp;A575)</f>
        <v>6</v>
      </c>
      <c r="E575" s="9">
        <f ca="1">_xlfn.MAXIFS(Transactions[Transaction Amount], Transactions[CustomerID],A575)/'Customer Profiles'!$M$10</f>
        <v>1.1847664826161279</v>
      </c>
      <c r="F575" s="1">
        <f t="shared" ca="1" si="37"/>
        <v>0.94</v>
      </c>
      <c r="G575" s="1">
        <f t="shared" ca="1" si="38"/>
        <v>0.9</v>
      </c>
      <c r="H575" s="1">
        <f t="shared" ca="1" si="39"/>
        <v>2.61</v>
      </c>
    </row>
    <row r="576" spans="1:8">
      <c r="A576" s="1">
        <v>571</v>
      </c>
      <c r="B576" s="8">
        <f ca="1">_xlfn.MAXIFS(Transactions[Transaction Date], Transactions[CustomerID],A576)</f>
        <v>43309</v>
      </c>
      <c r="C576" s="1">
        <f t="shared" ca="1" si="36"/>
        <v>7</v>
      </c>
      <c r="D576" s="1">
        <f ca="1">COUNTIF(Transactions[CustomerID],"="&amp;A576)</f>
        <v>10</v>
      </c>
      <c r="E576" s="9">
        <f ca="1">_xlfn.MAXIFS(Transactions[Transaction Amount], Transactions[CustomerID],A576)/'Customer Profiles'!$M$10</f>
        <v>2.8965008739247038</v>
      </c>
      <c r="F576" s="1">
        <f t="shared" ca="1" si="37"/>
        <v>1.65</v>
      </c>
      <c r="G576" s="1">
        <f t="shared" ca="1" si="38"/>
        <v>1.5</v>
      </c>
      <c r="H576" s="1">
        <f t="shared" ca="1" si="39"/>
        <v>4.99</v>
      </c>
    </row>
    <row r="577" spans="1:8">
      <c r="A577" s="1">
        <v>572</v>
      </c>
      <c r="B577" s="8">
        <f ca="1">_xlfn.MAXIFS(Transactions[Transaction Date], Transactions[CustomerID],A577)</f>
        <v>43262</v>
      </c>
      <c r="C577" s="1">
        <f t="shared" ca="1" si="36"/>
        <v>8</v>
      </c>
      <c r="D577" s="1">
        <f ca="1">COUNTIF(Transactions[CustomerID],"="&amp;A577)</f>
        <v>1</v>
      </c>
      <c r="E577" s="9">
        <f ca="1">_xlfn.MAXIFS(Transactions[Transaction Amount], Transactions[CustomerID],A577)/'Customer Profiles'!$M$10</f>
        <v>0.14756943656347238</v>
      </c>
      <c r="F577" s="1">
        <f t="shared" ca="1" si="37"/>
        <v>1.89</v>
      </c>
      <c r="G577" s="1">
        <f t="shared" ca="1" si="38"/>
        <v>0.15</v>
      </c>
      <c r="H577" s="1">
        <f t="shared" ca="1" si="39"/>
        <v>2.2400000000000002</v>
      </c>
    </row>
    <row r="578" spans="1:8">
      <c r="A578" s="1">
        <v>573</v>
      </c>
      <c r="B578" s="8">
        <f ca="1">_xlfn.MAXIFS(Transactions[Transaction Date], Transactions[CustomerID],A578)</f>
        <v>43340</v>
      </c>
      <c r="C578" s="1">
        <f t="shared" ca="1" si="36"/>
        <v>6</v>
      </c>
      <c r="D578" s="1">
        <f ca="1">COUNTIF(Transactions[CustomerID],"="&amp;A578)</f>
        <v>2</v>
      </c>
      <c r="E578" s="9">
        <f ca="1">_xlfn.MAXIFS(Transactions[Transaction Amount], Transactions[CustomerID],A578)/'Customer Profiles'!$M$10</f>
        <v>5.906328848886595</v>
      </c>
      <c r="F578" s="1">
        <f t="shared" ca="1" si="37"/>
        <v>1.42</v>
      </c>
      <c r="G578" s="1">
        <f t="shared" ca="1" si="38"/>
        <v>0.3</v>
      </c>
      <c r="H578" s="1">
        <f t="shared" ca="1" si="39"/>
        <v>5.34</v>
      </c>
    </row>
    <row r="579" spans="1:8">
      <c r="A579" s="1">
        <v>574</v>
      </c>
      <c r="B579" s="8">
        <f ca="1">_xlfn.MAXIFS(Transactions[Transaction Date], Transactions[CustomerID],A579)</f>
        <v>43495</v>
      </c>
      <c r="C579" s="1">
        <f t="shared" ca="1" si="36"/>
        <v>1</v>
      </c>
      <c r="D579" s="1">
        <f ca="1">COUNTIF(Transactions[CustomerID],"="&amp;A579)</f>
        <v>18</v>
      </c>
      <c r="E579" s="9">
        <f ca="1">_xlfn.MAXIFS(Transactions[Transaction Amount], Transactions[CustomerID],A579)/'Customer Profiles'!$M$10</f>
        <v>0.74644403852348318</v>
      </c>
      <c r="F579" s="1">
        <f t="shared" ca="1" si="37"/>
        <v>0.24</v>
      </c>
      <c r="G579" s="1">
        <f t="shared" ca="1" si="38"/>
        <v>2.7</v>
      </c>
      <c r="H579" s="1">
        <f t="shared" ca="1" si="39"/>
        <v>3.4</v>
      </c>
    </row>
    <row r="580" spans="1:8">
      <c r="A580" s="1">
        <v>575</v>
      </c>
      <c r="B580" s="8">
        <f ca="1">_xlfn.MAXIFS(Transactions[Transaction Date], Transactions[CustomerID],A580)</f>
        <v>43283</v>
      </c>
      <c r="C580" s="1">
        <f t="shared" ca="1" si="36"/>
        <v>7</v>
      </c>
      <c r="D580" s="1">
        <f ca="1">COUNTIF(Transactions[CustomerID],"="&amp;A580)</f>
        <v>1</v>
      </c>
      <c r="E580" s="9">
        <f ca="1">_xlfn.MAXIFS(Transactions[Transaction Amount], Transactions[CustomerID],A580)/'Customer Profiles'!$M$10</f>
        <v>1.1033035651749428</v>
      </c>
      <c r="F580" s="1">
        <f t="shared" ca="1" si="37"/>
        <v>1.65</v>
      </c>
      <c r="G580" s="1">
        <f t="shared" ca="1" si="38"/>
        <v>0.15</v>
      </c>
      <c r="H580" s="1">
        <f t="shared" ca="1" si="39"/>
        <v>2.56</v>
      </c>
    </row>
    <row r="581" spans="1:8">
      <c r="A581" s="1">
        <v>576</v>
      </c>
      <c r="B581" s="8">
        <f ca="1">_xlfn.MAXIFS(Transactions[Transaction Date], Transactions[CustomerID],A581)</f>
        <v>43464</v>
      </c>
      <c r="C581" s="1">
        <f t="shared" ca="1" si="36"/>
        <v>2</v>
      </c>
      <c r="D581" s="1">
        <f ca="1">COUNTIF(Transactions[CustomerID],"="&amp;A581)</f>
        <v>39</v>
      </c>
      <c r="E581" s="9">
        <f ca="1">_xlfn.MAXIFS(Transactions[Transaction Amount], Transactions[CustomerID],A581)/'Customer Profiles'!$M$10</f>
        <v>7.9231963725806409</v>
      </c>
      <c r="F581" s="1">
        <f t="shared" ca="1" si="37"/>
        <v>0.47</v>
      </c>
      <c r="G581" s="1">
        <f t="shared" ca="1" si="38"/>
        <v>5.85</v>
      </c>
      <c r="H581" s="1">
        <f t="shared" ca="1" si="39"/>
        <v>11.1</v>
      </c>
    </row>
    <row r="582" spans="1:8">
      <c r="A582" s="1">
        <v>577</v>
      </c>
      <c r="B582" s="8">
        <f ca="1">_xlfn.MAXIFS(Transactions[Transaction Date], Transactions[CustomerID],A582)</f>
        <v>42812</v>
      </c>
      <c r="C582" s="1">
        <f t="shared" ca="1" si="36"/>
        <v>11</v>
      </c>
      <c r="D582" s="1">
        <f ca="1">COUNTIF(Transactions[CustomerID],"="&amp;A582)</f>
        <v>1</v>
      </c>
      <c r="E582" s="9">
        <f ca="1">_xlfn.MAXIFS(Transactions[Transaction Amount], Transactions[CustomerID],A582)/'Customer Profiles'!$M$10</f>
        <v>1.0268017382643022</v>
      </c>
      <c r="F582" s="1">
        <f t="shared" ca="1" si="37"/>
        <v>2.59</v>
      </c>
      <c r="G582" s="1">
        <f t="shared" ca="1" si="38"/>
        <v>0.15</v>
      </c>
      <c r="H582" s="1">
        <f t="shared" ca="1" si="39"/>
        <v>3.52</v>
      </c>
    </row>
    <row r="583" spans="1:8">
      <c r="A583" s="1">
        <v>578</v>
      </c>
      <c r="B583" s="8">
        <f ca="1">_xlfn.MAXIFS(Transactions[Transaction Date], Transactions[CustomerID],A583)</f>
        <v>43497</v>
      </c>
      <c r="C583" s="1">
        <f t="shared" ca="1" si="36"/>
        <v>1</v>
      </c>
      <c r="D583" s="1">
        <f ca="1">COUNTIF(Transactions[CustomerID],"="&amp;A583)</f>
        <v>2</v>
      </c>
      <c r="E583" s="9">
        <f ca="1">_xlfn.MAXIFS(Transactions[Transaction Amount], Transactions[CustomerID],A583)/'Customer Profiles'!$M$10</f>
        <v>0.87958117457843421</v>
      </c>
      <c r="F583" s="1">
        <f t="shared" ca="1" si="37"/>
        <v>0.24</v>
      </c>
      <c r="G583" s="1">
        <f t="shared" ca="1" si="38"/>
        <v>0.3</v>
      </c>
      <c r="H583" s="1">
        <f t="shared" ca="1" si="39"/>
        <v>1.08</v>
      </c>
    </row>
    <row r="584" spans="1:8">
      <c r="A584" s="1">
        <v>579</v>
      </c>
      <c r="B584" s="8">
        <f ca="1">_xlfn.MAXIFS(Transactions[Transaction Date], Transactions[CustomerID],A584)</f>
        <v>43452</v>
      </c>
      <c r="C584" s="1">
        <f t="shared" ca="1" si="36"/>
        <v>2</v>
      </c>
      <c r="D584" s="1">
        <f ca="1">COUNTIF(Transactions[CustomerID],"="&amp;A584)</f>
        <v>2</v>
      </c>
      <c r="E584" s="9">
        <f ca="1">_xlfn.MAXIFS(Transactions[Transaction Amount], Transactions[CustomerID],A584)/'Customer Profiles'!$M$10</f>
        <v>1.1798148119815037</v>
      </c>
      <c r="F584" s="1">
        <f t="shared" ca="1" si="37"/>
        <v>0.47</v>
      </c>
      <c r="G584" s="1">
        <f t="shared" ca="1" si="38"/>
        <v>0.3</v>
      </c>
      <c r="H584" s="1">
        <f t="shared" ca="1" si="39"/>
        <v>1.51</v>
      </c>
    </row>
    <row r="585" spans="1:8">
      <c r="A585" s="1">
        <v>580</v>
      </c>
      <c r="B585" s="8">
        <f ca="1">_xlfn.MAXIFS(Transactions[Transaction Date], Transactions[CustomerID],A585)</f>
        <v>43434</v>
      </c>
      <c r="C585" s="1">
        <f t="shared" ca="1" si="36"/>
        <v>3</v>
      </c>
      <c r="D585" s="1">
        <f ca="1">COUNTIF(Transactions[CustomerID],"="&amp;A585)</f>
        <v>5</v>
      </c>
      <c r="E585" s="9">
        <f ca="1">_xlfn.MAXIFS(Transactions[Transaction Amount], Transactions[CustomerID],A585)/'Customer Profiles'!$M$10</f>
        <v>1.0163531027092483</v>
      </c>
      <c r="F585" s="1">
        <f t="shared" ca="1" si="37"/>
        <v>0.71</v>
      </c>
      <c r="G585" s="1">
        <f t="shared" ca="1" si="38"/>
        <v>0.75</v>
      </c>
      <c r="H585" s="1">
        <f t="shared" ca="1" si="39"/>
        <v>2.11</v>
      </c>
    </row>
    <row r="586" spans="1:8">
      <c r="A586" s="1">
        <v>581</v>
      </c>
      <c r="B586" s="8">
        <f ca="1">_xlfn.MAXIFS(Transactions[Transaction Date], Transactions[CustomerID],A586)</f>
        <v>43482</v>
      </c>
      <c r="C586" s="1">
        <f t="shared" ca="1" si="36"/>
        <v>1</v>
      </c>
      <c r="D586" s="1">
        <f ca="1">COUNTIF(Transactions[CustomerID],"="&amp;A586)</f>
        <v>6</v>
      </c>
      <c r="E586" s="9">
        <f ca="1">_xlfn.MAXIFS(Transactions[Transaction Amount], Transactions[CustomerID],A586)/'Customer Profiles'!$M$10</f>
        <v>1.4548474682121928</v>
      </c>
      <c r="F586" s="1">
        <f t="shared" ca="1" si="37"/>
        <v>0.24</v>
      </c>
      <c r="G586" s="1">
        <f t="shared" ca="1" si="38"/>
        <v>0.9</v>
      </c>
      <c r="H586" s="1">
        <f t="shared" ca="1" si="39"/>
        <v>2.02</v>
      </c>
    </row>
    <row r="587" spans="1:8">
      <c r="A587" s="1">
        <v>582</v>
      </c>
      <c r="B587" s="8">
        <f ca="1">_xlfn.MAXIFS(Transactions[Transaction Date], Transactions[CustomerID],A587)</f>
        <v>43365</v>
      </c>
      <c r="C587" s="1">
        <f t="shared" ca="1" si="36"/>
        <v>5</v>
      </c>
      <c r="D587" s="1">
        <f ca="1">COUNTIF(Transactions[CustomerID],"="&amp;A587)</f>
        <v>6</v>
      </c>
      <c r="E587" s="9">
        <f ca="1">_xlfn.MAXIFS(Transactions[Transaction Amount], Transactions[CustomerID],A587)/'Customer Profiles'!$M$10</f>
        <v>3.0748314464258795</v>
      </c>
      <c r="F587" s="1">
        <f t="shared" ca="1" si="37"/>
        <v>1.18</v>
      </c>
      <c r="G587" s="1">
        <f t="shared" ca="1" si="38"/>
        <v>0.9</v>
      </c>
      <c r="H587" s="1">
        <f t="shared" ca="1" si="39"/>
        <v>3.99</v>
      </c>
    </row>
    <row r="588" spans="1:8">
      <c r="A588" s="1">
        <v>583</v>
      </c>
      <c r="B588" s="8">
        <f ca="1">_xlfn.MAXIFS(Transactions[Transaction Date], Transactions[CustomerID],A588)</f>
        <v>43206</v>
      </c>
      <c r="C588" s="1">
        <f t="shared" ca="1" si="36"/>
        <v>10</v>
      </c>
      <c r="D588" s="1">
        <f ca="1">COUNTIF(Transactions[CustomerID],"="&amp;A588)</f>
        <v>1</v>
      </c>
      <c r="E588" s="9">
        <f ca="1">_xlfn.MAXIFS(Transactions[Transaction Amount], Transactions[CustomerID],A588)/'Customer Profiles'!$M$10</f>
        <v>1.4307500916411895</v>
      </c>
      <c r="F588" s="1">
        <f t="shared" ca="1" si="37"/>
        <v>2.36</v>
      </c>
      <c r="G588" s="1">
        <f t="shared" ca="1" si="38"/>
        <v>0.15</v>
      </c>
      <c r="H588" s="1">
        <f t="shared" ca="1" si="39"/>
        <v>3.51</v>
      </c>
    </row>
    <row r="589" spans="1:8">
      <c r="A589" s="1">
        <v>584</v>
      </c>
      <c r="B589" s="8">
        <f ca="1">_xlfn.MAXIFS(Transactions[Transaction Date], Transactions[CustomerID],A589)</f>
        <v>43462</v>
      </c>
      <c r="C589" s="1">
        <f t="shared" ca="1" si="36"/>
        <v>2</v>
      </c>
      <c r="D589" s="1">
        <f ca="1">COUNTIF(Transactions[CustomerID],"="&amp;A589)</f>
        <v>1</v>
      </c>
      <c r="E589" s="9">
        <f ca="1">_xlfn.MAXIFS(Transactions[Transaction Amount], Transactions[CustomerID],A589)/'Customer Profiles'!$M$10</f>
        <v>0.60200751641984329</v>
      </c>
      <c r="F589" s="1">
        <f t="shared" ca="1" si="37"/>
        <v>0.47</v>
      </c>
      <c r="G589" s="1">
        <f t="shared" ca="1" si="38"/>
        <v>0.15</v>
      </c>
      <c r="H589" s="1">
        <f t="shared" ca="1" si="39"/>
        <v>1.01</v>
      </c>
    </row>
    <row r="590" spans="1:8">
      <c r="A590" s="1">
        <v>585</v>
      </c>
      <c r="B590" s="8">
        <f ca="1">_xlfn.MAXIFS(Transactions[Transaction Date], Transactions[CustomerID],A590)</f>
        <v>43247</v>
      </c>
      <c r="C590" s="1">
        <f t="shared" ca="1" si="36"/>
        <v>9</v>
      </c>
      <c r="D590" s="1">
        <f ca="1">COUNTIF(Transactions[CustomerID],"="&amp;A590)</f>
        <v>1</v>
      </c>
      <c r="E590" s="9">
        <f ca="1">_xlfn.MAXIFS(Transactions[Transaction Amount], Transactions[CustomerID],A590)/'Customer Profiles'!$M$10</f>
        <v>0.11069338146623584</v>
      </c>
      <c r="F590" s="1">
        <f t="shared" ca="1" si="37"/>
        <v>2.12</v>
      </c>
      <c r="G590" s="1">
        <f t="shared" ca="1" si="38"/>
        <v>0.15</v>
      </c>
      <c r="H590" s="1">
        <f t="shared" ca="1" si="39"/>
        <v>2.4700000000000002</v>
      </c>
    </row>
    <row r="591" spans="1:8">
      <c r="A591" s="1">
        <v>586</v>
      </c>
      <c r="B591" s="8">
        <f ca="1">_xlfn.MAXIFS(Transactions[Transaction Date], Transactions[CustomerID],A591)</f>
        <v>42974</v>
      </c>
      <c r="C591" s="1">
        <f t="shared" ca="1" si="36"/>
        <v>6</v>
      </c>
      <c r="D591" s="1">
        <f ca="1">COUNTIF(Transactions[CustomerID],"="&amp;A591)</f>
        <v>1</v>
      </c>
      <c r="E591" s="9">
        <f ca="1">_xlfn.MAXIFS(Transactions[Transaction Amount], Transactions[CustomerID],A591)/'Customer Profiles'!$M$10</f>
        <v>9.0668324695068719E-2</v>
      </c>
      <c r="F591" s="1">
        <f t="shared" ca="1" si="37"/>
        <v>1.42</v>
      </c>
      <c r="G591" s="1">
        <f t="shared" ca="1" si="38"/>
        <v>0.15</v>
      </c>
      <c r="H591" s="1">
        <f t="shared" ca="1" si="39"/>
        <v>1.7</v>
      </c>
    </row>
    <row r="592" spans="1:8">
      <c r="A592" s="1">
        <v>587</v>
      </c>
      <c r="B592" s="8">
        <f ca="1">_xlfn.MAXIFS(Transactions[Transaction Date], Transactions[CustomerID],A592)</f>
        <v>43304</v>
      </c>
      <c r="C592" s="1">
        <f t="shared" ca="1" si="36"/>
        <v>7</v>
      </c>
      <c r="D592" s="1">
        <f ca="1">COUNTIF(Transactions[CustomerID],"="&amp;A592)</f>
        <v>6</v>
      </c>
      <c r="E592" s="9">
        <f ca="1">_xlfn.MAXIFS(Transactions[Transaction Amount], Transactions[CustomerID],A592)/'Customer Profiles'!$M$10</f>
        <v>5.1106303162597282</v>
      </c>
      <c r="F592" s="1">
        <f t="shared" ca="1" si="37"/>
        <v>1.65</v>
      </c>
      <c r="G592" s="1">
        <f t="shared" ca="1" si="38"/>
        <v>0.9</v>
      </c>
      <c r="H592" s="1">
        <f t="shared" ca="1" si="39"/>
        <v>5.72</v>
      </c>
    </row>
    <row r="593" spans="1:8">
      <c r="A593" s="1">
        <v>588</v>
      </c>
      <c r="B593" s="8">
        <f ca="1">_xlfn.MAXIFS(Transactions[Transaction Date], Transactions[CustomerID],A593)</f>
        <v>43148</v>
      </c>
      <c r="C593" s="1">
        <f t="shared" ca="1" si="36"/>
        <v>1</v>
      </c>
      <c r="D593" s="1">
        <f ca="1">COUNTIF(Transactions[CustomerID],"="&amp;A593)</f>
        <v>4</v>
      </c>
      <c r="E593" s="9">
        <f ca="1">_xlfn.MAXIFS(Transactions[Transaction Amount], Transactions[CustomerID],A593)/'Customer Profiles'!$M$10</f>
        <v>3.0264190920658698</v>
      </c>
      <c r="F593" s="1">
        <f t="shared" ca="1" si="37"/>
        <v>0.24</v>
      </c>
      <c r="G593" s="1">
        <f t="shared" ca="1" si="38"/>
        <v>0.6</v>
      </c>
      <c r="H593" s="1">
        <f t="shared" ca="1" si="39"/>
        <v>2.67</v>
      </c>
    </row>
    <row r="594" spans="1:8">
      <c r="A594" s="1">
        <v>589</v>
      </c>
      <c r="B594" s="8">
        <f ca="1">_xlfn.MAXIFS(Transactions[Transaction Date], Transactions[CustomerID],A594)</f>
        <v>42994</v>
      </c>
      <c r="C594" s="1">
        <f t="shared" ca="1" si="36"/>
        <v>5</v>
      </c>
      <c r="D594" s="1">
        <f ca="1">COUNTIF(Transactions[CustomerID],"="&amp;A594)</f>
        <v>2</v>
      </c>
      <c r="E594" s="9">
        <f ca="1">_xlfn.MAXIFS(Transactions[Transaction Amount], Transactions[CustomerID],A594)/'Customer Profiles'!$M$10</f>
        <v>0.81349735064995909</v>
      </c>
      <c r="F594" s="1">
        <f t="shared" ca="1" si="37"/>
        <v>1.18</v>
      </c>
      <c r="G594" s="1">
        <f t="shared" ca="1" si="38"/>
        <v>0.3</v>
      </c>
      <c r="H594" s="1">
        <f t="shared" ca="1" si="39"/>
        <v>2.04</v>
      </c>
    </row>
    <row r="595" spans="1:8">
      <c r="A595" s="1">
        <v>590</v>
      </c>
      <c r="B595" s="8">
        <f ca="1">_xlfn.MAXIFS(Transactions[Transaction Date], Transactions[CustomerID],A595)</f>
        <v>43284</v>
      </c>
      <c r="C595" s="1">
        <f t="shared" ref="C595:C605" ca="1" si="40">(MAX(DATEDIF(B595,"03/01/2019","ym"),1))</f>
        <v>7</v>
      </c>
      <c r="D595" s="1">
        <f ca="1">COUNTIF(Transactions[CustomerID],"="&amp;A595)</f>
        <v>1</v>
      </c>
      <c r="E595" s="9">
        <f ca="1">_xlfn.MAXIFS(Transactions[Transaction Amount], Transactions[CustomerID],A595)/'Customer Profiles'!$M$10</f>
        <v>0.47829306764842666</v>
      </c>
      <c r="F595" s="1">
        <f t="shared" ref="F595:F605" ca="1" si="41">ROUND(C595/$M$8,2)</f>
        <v>1.65</v>
      </c>
      <c r="G595" s="1">
        <f t="shared" ref="G595:G605" ca="1" si="42">ROUND(D595/$M$6,2)</f>
        <v>0.15</v>
      </c>
      <c r="H595" s="1">
        <f t="shared" ref="H595:H605" ca="1" si="43">ROUND(C595*$K$6+D595*$K$7+E595*$K$8,2)</f>
        <v>2.19</v>
      </c>
    </row>
    <row r="596" spans="1:8">
      <c r="A596" s="1">
        <v>591</v>
      </c>
      <c r="B596" s="8">
        <f ca="1">_xlfn.MAXIFS(Transactions[Transaction Date], Transactions[CustomerID],A596)</f>
        <v>43258</v>
      </c>
      <c r="C596" s="1">
        <f t="shared" ca="1" si="40"/>
        <v>8</v>
      </c>
      <c r="D596" s="1">
        <f ca="1">COUNTIF(Transactions[CustomerID],"="&amp;A596)</f>
        <v>7</v>
      </c>
      <c r="E596" s="9">
        <f ca="1">_xlfn.MAXIFS(Transactions[Transaction Amount], Transactions[CustomerID],A596)/'Customer Profiles'!$M$10</f>
        <v>4.3699266011758784</v>
      </c>
      <c r="F596" s="1">
        <f t="shared" ca="1" si="41"/>
        <v>1.89</v>
      </c>
      <c r="G596" s="1">
        <f t="shared" ca="1" si="42"/>
        <v>1.05</v>
      </c>
      <c r="H596" s="1">
        <f t="shared" ca="1" si="43"/>
        <v>5.67</v>
      </c>
    </row>
    <row r="597" spans="1:8">
      <c r="A597" s="1">
        <v>592</v>
      </c>
      <c r="B597" s="8">
        <f ca="1">_xlfn.MAXIFS(Transactions[Transaction Date], Transactions[CustomerID],A597)</f>
        <v>43097</v>
      </c>
      <c r="C597" s="1">
        <f t="shared" ca="1" si="40"/>
        <v>2</v>
      </c>
      <c r="D597" s="1">
        <f ca="1">COUNTIF(Transactions[CustomerID],"="&amp;A597)</f>
        <v>2</v>
      </c>
      <c r="E597" s="9">
        <f ca="1">_xlfn.MAXIFS(Transactions[Transaction Amount], Transactions[CustomerID],A597)/'Customer Profiles'!$M$10</f>
        <v>1.5793228777706294</v>
      </c>
      <c r="F597" s="1">
        <f t="shared" ca="1" si="41"/>
        <v>0.47</v>
      </c>
      <c r="G597" s="1">
        <f t="shared" ca="1" si="42"/>
        <v>0.3</v>
      </c>
      <c r="H597" s="1">
        <f t="shared" ca="1" si="43"/>
        <v>1.75</v>
      </c>
    </row>
    <row r="598" spans="1:8">
      <c r="A598" s="1">
        <v>593</v>
      </c>
      <c r="B598" s="8">
        <f ca="1">_xlfn.MAXIFS(Transactions[Transaction Date], Transactions[CustomerID],A598)</f>
        <v>42826</v>
      </c>
      <c r="C598" s="1">
        <f t="shared" ca="1" si="40"/>
        <v>11</v>
      </c>
      <c r="D598" s="1">
        <f ca="1">COUNTIF(Transactions[CustomerID],"="&amp;A598)</f>
        <v>1</v>
      </c>
      <c r="E598" s="9">
        <f ca="1">_xlfn.MAXIFS(Transactions[Transaction Amount], Transactions[CustomerID],A598)/'Customer Profiles'!$M$10</f>
        <v>0.10696523482885464</v>
      </c>
      <c r="F598" s="1">
        <f t="shared" ca="1" si="41"/>
        <v>2.59</v>
      </c>
      <c r="G598" s="1">
        <f t="shared" ca="1" si="42"/>
        <v>0.15</v>
      </c>
      <c r="H598" s="1">
        <f t="shared" ca="1" si="43"/>
        <v>2.96</v>
      </c>
    </row>
    <row r="599" spans="1:8">
      <c r="A599" s="1">
        <v>594</v>
      </c>
      <c r="B599" s="8">
        <f ca="1">_xlfn.MAXIFS(Transactions[Transaction Date], Transactions[CustomerID],A599)</f>
        <v>42909</v>
      </c>
      <c r="C599" s="1">
        <f t="shared" ca="1" si="40"/>
        <v>8</v>
      </c>
      <c r="D599" s="1">
        <f ca="1">COUNTIF(Transactions[CustomerID],"="&amp;A599)</f>
        <v>1</v>
      </c>
      <c r="E599" s="9">
        <f ca="1">_xlfn.MAXIFS(Transactions[Transaction Amount], Transactions[CustomerID],A599)/'Customer Profiles'!$M$10</f>
        <v>6.3177804391947562E-2</v>
      </c>
      <c r="F599" s="1">
        <f t="shared" ca="1" si="41"/>
        <v>1.89</v>
      </c>
      <c r="G599" s="1">
        <f t="shared" ca="1" si="42"/>
        <v>0.15</v>
      </c>
      <c r="H599" s="1">
        <f t="shared" ca="1" si="43"/>
        <v>2.19</v>
      </c>
    </row>
    <row r="600" spans="1:8">
      <c r="A600" s="1">
        <v>595</v>
      </c>
      <c r="B600" s="8">
        <f ca="1">_xlfn.MAXIFS(Transactions[Transaction Date], Transactions[CustomerID],A600)</f>
        <v>43284</v>
      </c>
      <c r="C600" s="1">
        <f t="shared" ca="1" si="40"/>
        <v>7</v>
      </c>
      <c r="D600" s="1">
        <f ca="1">COUNTIF(Transactions[CustomerID],"="&amp;A600)</f>
        <v>1</v>
      </c>
      <c r="E600" s="9">
        <f ca="1">_xlfn.MAXIFS(Transactions[Transaction Amount], Transactions[CustomerID],A600)/'Customer Profiles'!$M$10</f>
        <v>2.4791153109771629</v>
      </c>
      <c r="F600" s="1">
        <f t="shared" ca="1" si="41"/>
        <v>1.65</v>
      </c>
      <c r="G600" s="1">
        <f t="shared" ca="1" si="42"/>
        <v>0.15</v>
      </c>
      <c r="H600" s="1">
        <f t="shared" ca="1" si="43"/>
        <v>3.39</v>
      </c>
    </row>
    <row r="601" spans="1:8">
      <c r="A601" s="1">
        <v>596</v>
      </c>
      <c r="B601" s="8">
        <f ca="1">_xlfn.MAXIFS(Transactions[Transaction Date], Transactions[CustomerID],A601)</f>
        <v>42883</v>
      </c>
      <c r="C601" s="1">
        <f t="shared" ca="1" si="40"/>
        <v>9</v>
      </c>
      <c r="D601" s="1">
        <f ca="1">COUNTIF(Transactions[CustomerID],"="&amp;A601)</f>
        <v>1</v>
      </c>
      <c r="E601" s="9">
        <f ca="1">_xlfn.MAXIFS(Transactions[Transaction Amount], Transactions[CustomerID],A601)/'Customer Profiles'!$M$10</f>
        <v>0.59294342246017295</v>
      </c>
      <c r="F601" s="1">
        <f t="shared" ca="1" si="41"/>
        <v>2.12</v>
      </c>
      <c r="G601" s="1">
        <f t="shared" ca="1" si="42"/>
        <v>0.15</v>
      </c>
      <c r="H601" s="1">
        <f t="shared" ca="1" si="43"/>
        <v>2.76</v>
      </c>
    </row>
    <row r="602" spans="1:8">
      <c r="A602" s="1">
        <v>597</v>
      </c>
      <c r="B602" s="8">
        <f ca="1">_xlfn.MAXIFS(Transactions[Transaction Date], Transactions[CustomerID],A602)</f>
        <v>42756</v>
      </c>
      <c r="C602" s="1">
        <f t="shared" ca="1" si="40"/>
        <v>1</v>
      </c>
      <c r="D602" s="1">
        <f ca="1">COUNTIF(Transactions[CustomerID],"="&amp;A602)</f>
        <v>1</v>
      </c>
      <c r="E602" s="9">
        <f ca="1">_xlfn.MAXIFS(Transactions[Transaction Amount], Transactions[CustomerID],A602)/'Customer Profiles'!$M$10</f>
        <v>0.84934755796167827</v>
      </c>
      <c r="F602" s="1">
        <f t="shared" ca="1" si="41"/>
        <v>0.24</v>
      </c>
      <c r="G602" s="1">
        <f t="shared" ca="1" si="42"/>
        <v>0.15</v>
      </c>
      <c r="H602" s="1">
        <f t="shared" ca="1" si="43"/>
        <v>0.91</v>
      </c>
    </row>
    <row r="603" spans="1:8">
      <c r="A603" s="1">
        <v>598</v>
      </c>
      <c r="B603" s="8">
        <f ca="1">_xlfn.MAXIFS(Transactions[Transaction Date], Transactions[CustomerID],A603)</f>
        <v>43265</v>
      </c>
      <c r="C603" s="1">
        <f t="shared" ca="1" si="40"/>
        <v>8</v>
      </c>
      <c r="D603" s="1">
        <f ca="1">COUNTIF(Transactions[CustomerID],"="&amp;A603)</f>
        <v>1</v>
      </c>
      <c r="E603" s="9">
        <f ca="1">_xlfn.MAXIFS(Transactions[Transaction Amount], Transactions[CustomerID],A603)/'Customer Profiles'!$M$10</f>
        <v>5.9104134629050599E-2</v>
      </c>
      <c r="F603" s="1">
        <f t="shared" ca="1" si="41"/>
        <v>1.89</v>
      </c>
      <c r="G603" s="1">
        <f t="shared" ca="1" si="42"/>
        <v>0.15</v>
      </c>
      <c r="H603" s="1">
        <f t="shared" ca="1" si="43"/>
        <v>2.19</v>
      </c>
    </row>
    <row r="604" spans="1:8">
      <c r="A604" s="1">
        <v>599</v>
      </c>
      <c r="B604" s="8">
        <f ca="1">_xlfn.MAXIFS(Transactions[Transaction Date], Transactions[CustomerID],A604)</f>
        <v>43330</v>
      </c>
      <c r="C604" s="1">
        <f t="shared" ca="1" si="40"/>
        <v>6</v>
      </c>
      <c r="D604" s="1">
        <f ca="1">COUNTIF(Transactions[CustomerID],"="&amp;A604)</f>
        <v>15</v>
      </c>
      <c r="E604" s="9">
        <f ca="1">_xlfn.MAXIFS(Transactions[Transaction Amount], Transactions[CustomerID],A604)/'Customer Profiles'!$M$10</f>
        <v>1.5733259133387747</v>
      </c>
      <c r="F604" s="1">
        <f t="shared" ca="1" si="41"/>
        <v>1.42</v>
      </c>
      <c r="G604" s="1">
        <f t="shared" ca="1" si="42"/>
        <v>2.25</v>
      </c>
      <c r="H604" s="1">
        <f t="shared" ca="1" si="43"/>
        <v>4.6900000000000004</v>
      </c>
    </row>
    <row r="605" spans="1:8">
      <c r="A605" s="1">
        <v>600</v>
      </c>
      <c r="B605" s="8">
        <f ca="1">_xlfn.MAXIFS(Transactions[Transaction Date], Transactions[CustomerID],A605)</f>
        <v>43287</v>
      </c>
      <c r="C605" s="1">
        <f t="shared" ca="1" si="40"/>
        <v>7</v>
      </c>
      <c r="D605" s="1">
        <f ca="1">COUNTIF(Transactions[CustomerID],"="&amp;A605)</f>
        <v>8</v>
      </c>
      <c r="E605" s="9">
        <f ca="1">_xlfn.MAXIFS(Transactions[Transaction Amount], Transactions[CustomerID],A605)/'Customer Profiles'!$M$10</f>
        <v>4.8810520268306492</v>
      </c>
      <c r="F605" s="1">
        <f t="shared" ca="1" si="41"/>
        <v>1.65</v>
      </c>
      <c r="G605" s="1">
        <f t="shared" ca="1" si="42"/>
        <v>1.2</v>
      </c>
      <c r="H605" s="1">
        <f t="shared" ca="1" si="43"/>
        <v>5.88</v>
      </c>
    </row>
  </sheetData>
  <mergeCells count="5">
    <mergeCell ref="A2:H2"/>
    <mergeCell ref="A3:H3"/>
    <mergeCell ref="J12:N12"/>
    <mergeCell ref="A4:H4"/>
    <mergeCell ref="A1:J1"/>
  </mergeCells>
  <conditionalFormatting sqref="H6:H605">
    <cfRule type="expression" dxfId="2" priority="1">
      <formula>H6&gt;$M$17</formula>
    </cfRule>
    <cfRule type="expression" dxfId="1" priority="2">
      <formula>H6&gt;$M$16</formula>
    </cfRule>
    <cfRule type="expression" dxfId="0" priority="3">
      <formula>H6&gt;$M$15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Simulated Transaction Data</vt:lpstr>
      <vt:lpstr>Customer Profiles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wrobe</dc:creator>
  <cp:lastModifiedBy>wrobe</cp:lastModifiedBy>
  <dcterms:created xsi:type="dcterms:W3CDTF">2019-03-15T19:01:41Z</dcterms:created>
  <dcterms:modified xsi:type="dcterms:W3CDTF">2019-03-21T00:44:52Z</dcterms:modified>
</cp:coreProperties>
</file>