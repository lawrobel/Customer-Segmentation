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"/>
    </mc:Choice>
  </mc:AlternateContent>
  <xr:revisionPtr revIDLastSave="0" documentId="8_{EDC3F029-ABAD-4581-8ECA-33AAEDC80A90}" xr6:coauthVersionLast="43" xr6:coauthVersionMax="43" xr10:uidLastSave="{00000000-0000-0000-0000-000000000000}"/>
  <bookViews>
    <workbookView xWindow="-108" yWindow="-108" windowWidth="23256" windowHeight="12576" activeTab="1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Data'!$F$1</definedName>
    <definedName name="_xlchart.v1.1" hidden="1">'Simulated Transaction Data'!$F$2:$F$2669</definedName>
    <definedName name="_xlchart.v1.2" hidden="1">'Simulated Transaction Data'!$C$1</definedName>
    <definedName name="_xlchart.v1.3" hidden="1">'Simulated Transaction Data'!$C$401:$C$2669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4" l="1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B534" i="4" l="1"/>
  <c r="C534" i="4" s="1"/>
  <c r="F534" i="4" s="1"/>
  <c r="B488" i="4"/>
  <c r="C488" i="4" s="1"/>
  <c r="F488" i="4" s="1"/>
  <c r="B520" i="4"/>
  <c r="C520" i="4" s="1"/>
  <c r="F520" i="4" s="1"/>
  <c r="B513" i="4"/>
  <c r="C513" i="4" s="1"/>
  <c r="F513" i="4" s="1"/>
  <c r="B117" i="4"/>
  <c r="C117" i="4" s="1"/>
  <c r="F117" i="4" s="1"/>
  <c r="B101" i="4"/>
  <c r="C101" i="4" s="1"/>
  <c r="F101" i="4" s="1"/>
  <c r="B392" i="4"/>
  <c r="C392" i="4" s="1"/>
  <c r="F392" i="4" s="1"/>
  <c r="B473" i="4"/>
  <c r="C473" i="4" s="1"/>
  <c r="F473" i="4" s="1"/>
  <c r="B108" i="4"/>
  <c r="C108" i="4" s="1"/>
  <c r="F108" i="4" s="1"/>
  <c r="B144" i="4"/>
  <c r="C144" i="4" s="1"/>
  <c r="F144" i="4" s="1"/>
  <c r="B219" i="4"/>
  <c r="C219" i="4" s="1"/>
  <c r="F219" i="4" s="1"/>
  <c r="B143" i="4"/>
  <c r="C143" i="4" s="1"/>
  <c r="F143" i="4" s="1"/>
  <c r="B197" i="4"/>
  <c r="C197" i="4" s="1"/>
  <c r="F197" i="4" s="1"/>
  <c r="B391" i="4"/>
  <c r="C391" i="4" s="1"/>
  <c r="F391" i="4" s="1"/>
  <c r="B7" i="4"/>
  <c r="C7" i="4" s="1"/>
  <c r="F7" i="4" s="1"/>
  <c r="B593" i="4"/>
  <c r="C593" i="4" s="1"/>
  <c r="F593" i="4" s="1"/>
  <c r="B248" i="4"/>
  <c r="C248" i="4" s="1"/>
  <c r="F248" i="4" s="1"/>
  <c r="B589" i="4"/>
  <c r="C589" i="4" s="1"/>
  <c r="F589" i="4" s="1"/>
  <c r="B433" i="4"/>
  <c r="C433" i="4" s="1"/>
  <c r="F433" i="4" s="1"/>
  <c r="B238" i="4"/>
  <c r="C238" i="4" s="1"/>
  <c r="F238" i="4" s="1"/>
  <c r="B146" i="4"/>
  <c r="C146" i="4" s="1"/>
  <c r="F146" i="4" s="1"/>
  <c r="B527" i="4"/>
  <c r="C527" i="4" s="1"/>
  <c r="F527" i="4" s="1"/>
  <c r="B368" i="4"/>
  <c r="C368" i="4" s="1"/>
  <c r="F368" i="4" s="1"/>
  <c r="B188" i="4"/>
  <c r="C188" i="4" s="1"/>
  <c r="F188" i="4" s="1"/>
  <c r="B434" i="4"/>
  <c r="C434" i="4" s="1"/>
  <c r="F434" i="4" s="1"/>
  <c r="B70" i="4"/>
  <c r="C70" i="4" s="1"/>
  <c r="F70" i="4" s="1"/>
  <c r="D469" i="4"/>
  <c r="D493" i="4"/>
  <c r="D220" i="4"/>
  <c r="D224" i="4"/>
  <c r="D478" i="4"/>
  <c r="D522" i="4"/>
  <c r="D84" i="4"/>
  <c r="D356" i="4"/>
  <c r="D189" i="4"/>
  <c r="D352" i="4"/>
  <c r="D438" i="4"/>
  <c r="D123" i="4"/>
  <c r="D605" i="4"/>
  <c r="D167" i="4"/>
  <c r="D76" i="4"/>
  <c r="D102" i="4"/>
  <c r="D465" i="4"/>
  <c r="D535" i="4"/>
  <c r="D87" i="4"/>
  <c r="D365" i="4"/>
  <c r="D367" i="4"/>
  <c r="D260" i="4"/>
  <c r="D266" i="4"/>
  <c r="D176" i="4"/>
  <c r="D12" i="4"/>
  <c r="D430" i="4"/>
  <c r="B177" i="4"/>
  <c r="C177" i="4" s="1"/>
  <c r="F177" i="4" s="1"/>
  <c r="B163" i="4"/>
  <c r="C163" i="4" s="1"/>
  <c r="F163" i="4" s="1"/>
  <c r="B402" i="4"/>
  <c r="C402" i="4" s="1"/>
  <c r="F402" i="4" s="1"/>
  <c r="B358" i="4"/>
  <c r="C358" i="4" s="1"/>
  <c r="F358" i="4" s="1"/>
  <c r="B75" i="4"/>
  <c r="C75" i="4" s="1"/>
  <c r="F75" i="4" s="1"/>
  <c r="B342" i="4"/>
  <c r="C342" i="4" s="1"/>
  <c r="F342" i="4" s="1"/>
  <c r="B490" i="4"/>
  <c r="C490" i="4" s="1"/>
  <c r="F490" i="4" s="1"/>
  <c r="B424" i="4"/>
  <c r="C424" i="4" s="1"/>
  <c r="F424" i="4" s="1"/>
  <c r="B441" i="4"/>
  <c r="C441" i="4" s="1"/>
  <c r="F441" i="4" s="1"/>
  <c r="B205" i="4"/>
  <c r="C205" i="4" s="1"/>
  <c r="F205" i="4" s="1"/>
  <c r="B565" i="4"/>
  <c r="C565" i="4" s="1"/>
  <c r="F565" i="4" s="1"/>
  <c r="B47" i="4"/>
  <c r="C47" i="4" s="1"/>
  <c r="F47" i="4" s="1"/>
  <c r="B10" i="4"/>
  <c r="C10" i="4" s="1"/>
  <c r="F10" i="4" s="1"/>
  <c r="B246" i="4"/>
  <c r="C246" i="4" s="1"/>
  <c r="F246" i="4" s="1"/>
  <c r="B592" i="4"/>
  <c r="C592" i="4" s="1"/>
  <c r="F592" i="4" s="1"/>
  <c r="B404" i="4"/>
  <c r="C404" i="4" s="1"/>
  <c r="F404" i="4" s="1"/>
  <c r="B120" i="4"/>
  <c r="C120" i="4" s="1"/>
  <c r="F120" i="4" s="1"/>
  <c r="B483" i="4"/>
  <c r="C483" i="4" s="1"/>
  <c r="F483" i="4" s="1"/>
  <c r="B571" i="4"/>
  <c r="C571" i="4" s="1"/>
  <c r="F571" i="4" s="1"/>
  <c r="B80" i="4"/>
  <c r="C80" i="4" s="1"/>
  <c r="F80" i="4" s="1"/>
  <c r="B128" i="4"/>
  <c r="C128" i="4" s="1"/>
  <c r="F128" i="4" s="1"/>
  <c r="B499" i="4"/>
  <c r="C499" i="4" s="1"/>
  <c r="F499" i="4" s="1"/>
  <c r="B22" i="4"/>
  <c r="C22" i="4" s="1"/>
  <c r="F22" i="4" s="1"/>
  <c r="B242" i="4"/>
  <c r="C242" i="4" s="1"/>
  <c r="F242" i="4" s="1"/>
  <c r="B244" i="4"/>
  <c r="C244" i="4" s="1"/>
  <c r="F244" i="4" s="1"/>
  <c r="B106" i="4"/>
  <c r="C106" i="4" s="1"/>
  <c r="F106" i="4" s="1"/>
  <c r="D103" i="4"/>
  <c r="D265" i="4"/>
  <c r="D21" i="4"/>
  <c r="D284" i="4"/>
  <c r="D409" i="4"/>
  <c r="D386" i="4"/>
  <c r="D531" i="4"/>
  <c r="D90" i="4"/>
  <c r="D594" i="4"/>
  <c r="D273" i="4"/>
  <c r="D501" i="4"/>
  <c r="D290" i="4"/>
  <c r="D566" i="4"/>
  <c r="D436" i="4"/>
  <c r="D136" i="4"/>
  <c r="D121" i="4"/>
  <c r="D237" i="4"/>
  <c r="D331" i="4"/>
  <c r="D73" i="4"/>
  <c r="D375" i="4"/>
  <c r="D591" i="4"/>
  <c r="D448" i="4"/>
  <c r="D190" i="4"/>
  <c r="D71" i="4"/>
  <c r="D543" i="4"/>
  <c r="B469" i="4"/>
  <c r="C469" i="4" s="1"/>
  <c r="F469" i="4" s="1"/>
  <c r="B493" i="4"/>
  <c r="C493" i="4" s="1"/>
  <c r="F493" i="4" s="1"/>
  <c r="B220" i="4"/>
  <c r="C220" i="4" s="1"/>
  <c r="F220" i="4" s="1"/>
  <c r="B224" i="4"/>
  <c r="C224" i="4" s="1"/>
  <c r="F224" i="4" s="1"/>
  <c r="B478" i="4"/>
  <c r="C478" i="4" s="1"/>
  <c r="F478" i="4" s="1"/>
  <c r="B522" i="4"/>
  <c r="C522" i="4" s="1"/>
  <c r="F522" i="4" s="1"/>
  <c r="B84" i="4"/>
  <c r="C84" i="4" s="1"/>
  <c r="F84" i="4" s="1"/>
  <c r="B356" i="4"/>
  <c r="C356" i="4" s="1"/>
  <c r="F356" i="4" s="1"/>
  <c r="B189" i="4"/>
  <c r="C189" i="4" s="1"/>
  <c r="F189" i="4" s="1"/>
  <c r="B352" i="4"/>
  <c r="C352" i="4" s="1"/>
  <c r="F352" i="4" s="1"/>
  <c r="B438" i="4"/>
  <c r="C438" i="4" s="1"/>
  <c r="F438" i="4" s="1"/>
  <c r="B123" i="4"/>
  <c r="C123" i="4" s="1"/>
  <c r="F123" i="4" s="1"/>
  <c r="B605" i="4"/>
  <c r="C605" i="4" s="1"/>
  <c r="F605" i="4" s="1"/>
  <c r="B167" i="4"/>
  <c r="C167" i="4" s="1"/>
  <c r="F167" i="4" s="1"/>
  <c r="B76" i="4"/>
  <c r="C76" i="4" s="1"/>
  <c r="F76" i="4" s="1"/>
  <c r="B102" i="4"/>
  <c r="C102" i="4" s="1"/>
  <c r="F102" i="4" s="1"/>
  <c r="B465" i="4"/>
  <c r="C465" i="4" s="1"/>
  <c r="F465" i="4" s="1"/>
  <c r="B535" i="4"/>
  <c r="C535" i="4" s="1"/>
  <c r="F535" i="4" s="1"/>
  <c r="B87" i="4"/>
  <c r="C87" i="4" s="1"/>
  <c r="F87" i="4" s="1"/>
  <c r="B365" i="4"/>
  <c r="C365" i="4" s="1"/>
  <c r="F365" i="4" s="1"/>
  <c r="B367" i="4"/>
  <c r="C367" i="4" s="1"/>
  <c r="F367" i="4" s="1"/>
  <c r="B260" i="4"/>
  <c r="C260" i="4" s="1"/>
  <c r="F260" i="4" s="1"/>
  <c r="B266" i="4"/>
  <c r="C266" i="4" s="1"/>
  <c r="F266" i="4" s="1"/>
  <c r="B176" i="4"/>
  <c r="C176" i="4" s="1"/>
  <c r="F176" i="4" s="1"/>
  <c r="B12" i="4"/>
  <c r="C12" i="4" s="1"/>
  <c r="F12" i="4" s="1"/>
  <c r="B430" i="4"/>
  <c r="C430" i="4" s="1"/>
  <c r="F430" i="4" s="1"/>
  <c r="D341" i="4"/>
  <c r="D544" i="4"/>
  <c r="D139" i="4"/>
  <c r="D212" i="4"/>
  <c r="D339" i="4"/>
  <c r="D160" i="4"/>
  <c r="D214" i="4"/>
  <c r="D9" i="4"/>
  <c r="D506" i="4"/>
  <c r="D68" i="4"/>
  <c r="D492" i="4"/>
  <c r="D539" i="4"/>
  <c r="D187" i="4"/>
  <c r="D274" i="4"/>
  <c r="D45" i="4"/>
  <c r="D330" i="4"/>
  <c r="D135" i="4"/>
  <c r="D93" i="4"/>
  <c r="D126" i="4"/>
  <c r="D225" i="4"/>
  <c r="D414" i="4"/>
  <c r="D289" i="4"/>
  <c r="D453" i="4"/>
  <c r="D541" i="4"/>
  <c r="D245" i="4"/>
  <c r="B103" i="4"/>
  <c r="C103" i="4" s="1"/>
  <c r="F103" i="4" s="1"/>
  <c r="B265" i="4"/>
  <c r="C265" i="4" s="1"/>
  <c r="F265" i="4" s="1"/>
  <c r="B21" i="4"/>
  <c r="C21" i="4" s="1"/>
  <c r="F21" i="4" s="1"/>
  <c r="B284" i="4"/>
  <c r="C284" i="4" s="1"/>
  <c r="F284" i="4" s="1"/>
  <c r="B409" i="4"/>
  <c r="C409" i="4" s="1"/>
  <c r="F409" i="4" s="1"/>
  <c r="B386" i="4"/>
  <c r="C386" i="4" s="1"/>
  <c r="F386" i="4" s="1"/>
  <c r="B531" i="4"/>
  <c r="C531" i="4" s="1"/>
  <c r="F531" i="4" s="1"/>
  <c r="B90" i="4"/>
  <c r="C90" i="4" s="1"/>
  <c r="F90" i="4" s="1"/>
  <c r="B594" i="4"/>
  <c r="C594" i="4" s="1"/>
  <c r="F594" i="4" s="1"/>
  <c r="B273" i="4"/>
  <c r="C273" i="4" s="1"/>
  <c r="F273" i="4" s="1"/>
  <c r="B501" i="4"/>
  <c r="C501" i="4" s="1"/>
  <c r="F501" i="4" s="1"/>
  <c r="B290" i="4"/>
  <c r="C290" i="4" s="1"/>
  <c r="F290" i="4" s="1"/>
  <c r="B566" i="4"/>
  <c r="C566" i="4" s="1"/>
  <c r="F566" i="4" s="1"/>
  <c r="B436" i="4"/>
  <c r="C436" i="4" s="1"/>
  <c r="F436" i="4" s="1"/>
  <c r="B136" i="4"/>
  <c r="C136" i="4" s="1"/>
  <c r="F136" i="4" s="1"/>
  <c r="B121" i="4"/>
  <c r="C121" i="4" s="1"/>
  <c r="F121" i="4" s="1"/>
  <c r="B237" i="4"/>
  <c r="C237" i="4" s="1"/>
  <c r="F237" i="4" s="1"/>
  <c r="B331" i="4"/>
  <c r="C331" i="4" s="1"/>
  <c r="F331" i="4" s="1"/>
  <c r="B73" i="4"/>
  <c r="C73" i="4" s="1"/>
  <c r="F73" i="4" s="1"/>
  <c r="B375" i="4"/>
  <c r="C375" i="4" s="1"/>
  <c r="F375" i="4" s="1"/>
  <c r="B591" i="4"/>
  <c r="C591" i="4" s="1"/>
  <c r="F591" i="4" s="1"/>
  <c r="B448" i="4"/>
  <c r="C448" i="4" s="1"/>
  <c r="F448" i="4" s="1"/>
  <c r="B190" i="4"/>
  <c r="C190" i="4" s="1"/>
  <c r="F190" i="4" s="1"/>
  <c r="B71" i="4"/>
  <c r="C71" i="4" s="1"/>
  <c r="F71" i="4" s="1"/>
  <c r="B543" i="4"/>
  <c r="C543" i="4" s="1"/>
  <c r="F543" i="4" s="1"/>
  <c r="D537" i="4"/>
  <c r="D324" i="4"/>
  <c r="D122" i="4"/>
  <c r="D364" i="4"/>
  <c r="D119" i="4"/>
  <c r="D403" i="4"/>
  <c r="D39" i="4"/>
  <c r="D195" i="4"/>
  <c r="D587" i="4"/>
  <c r="D457" i="4"/>
  <c r="D158" i="4"/>
  <c r="D599" i="4"/>
  <c r="D447" i="4"/>
  <c r="D417" i="4"/>
  <c r="D183" i="4"/>
  <c r="D429" i="4"/>
  <c r="D521" i="4"/>
  <c r="D169" i="4"/>
  <c r="D379" i="4"/>
  <c r="D449" i="4"/>
  <c r="D100" i="4"/>
  <c r="D498" i="4"/>
  <c r="D586" i="4"/>
  <c r="D445" i="4"/>
  <c r="B341" i="4"/>
  <c r="C341" i="4" s="1"/>
  <c r="F341" i="4" s="1"/>
  <c r="B544" i="4"/>
  <c r="C544" i="4" s="1"/>
  <c r="F544" i="4" s="1"/>
  <c r="B139" i="4"/>
  <c r="C139" i="4" s="1"/>
  <c r="F139" i="4" s="1"/>
  <c r="B212" i="4"/>
  <c r="C212" i="4" s="1"/>
  <c r="F212" i="4" s="1"/>
  <c r="B339" i="4"/>
  <c r="C339" i="4" s="1"/>
  <c r="F339" i="4" s="1"/>
  <c r="B160" i="4"/>
  <c r="C160" i="4" s="1"/>
  <c r="F160" i="4" s="1"/>
  <c r="B214" i="4"/>
  <c r="C214" i="4" s="1"/>
  <c r="F214" i="4" s="1"/>
  <c r="B9" i="4"/>
  <c r="C9" i="4" s="1"/>
  <c r="F9" i="4" s="1"/>
  <c r="B506" i="4"/>
  <c r="C506" i="4" s="1"/>
  <c r="F506" i="4" s="1"/>
  <c r="B68" i="4"/>
  <c r="C68" i="4" s="1"/>
  <c r="F68" i="4" s="1"/>
  <c r="B492" i="4"/>
  <c r="C492" i="4" s="1"/>
  <c r="F492" i="4" s="1"/>
  <c r="B539" i="4"/>
  <c r="C539" i="4" s="1"/>
  <c r="F539" i="4" s="1"/>
  <c r="B187" i="4"/>
  <c r="C187" i="4" s="1"/>
  <c r="F187" i="4" s="1"/>
  <c r="B274" i="4"/>
  <c r="C274" i="4" s="1"/>
  <c r="F274" i="4" s="1"/>
  <c r="B45" i="4"/>
  <c r="C45" i="4" s="1"/>
  <c r="F45" i="4" s="1"/>
  <c r="B330" i="4"/>
  <c r="C330" i="4" s="1"/>
  <c r="F330" i="4" s="1"/>
  <c r="B135" i="4"/>
  <c r="C135" i="4" s="1"/>
  <c r="F135" i="4" s="1"/>
  <c r="B93" i="4"/>
  <c r="C93" i="4" s="1"/>
  <c r="F93" i="4" s="1"/>
  <c r="B126" i="4"/>
  <c r="C126" i="4" s="1"/>
  <c r="F126" i="4" s="1"/>
  <c r="B225" i="4"/>
  <c r="C225" i="4" s="1"/>
  <c r="F225" i="4" s="1"/>
  <c r="B414" i="4"/>
  <c r="C414" i="4" s="1"/>
  <c r="F414" i="4" s="1"/>
  <c r="B289" i="4"/>
  <c r="C289" i="4" s="1"/>
  <c r="F289" i="4" s="1"/>
  <c r="B453" i="4"/>
  <c r="C453" i="4" s="1"/>
  <c r="F453" i="4" s="1"/>
  <c r="B541" i="4"/>
  <c r="C541" i="4" s="1"/>
  <c r="F541" i="4" s="1"/>
  <c r="B245" i="4"/>
  <c r="C245" i="4" s="1"/>
  <c r="F245" i="4" s="1"/>
  <c r="D283" i="4"/>
  <c r="D567" i="4"/>
  <c r="D58" i="4"/>
  <c r="D140" i="4"/>
  <c r="D390" i="4"/>
  <c r="D578" i="4"/>
  <c r="D411" i="4"/>
  <c r="D311" i="4"/>
  <c r="D89" i="4"/>
  <c r="D34" i="4"/>
  <c r="D141" i="4"/>
  <c r="D31" i="4"/>
  <c r="D320" i="4"/>
  <c r="D406" i="4"/>
  <c r="D418" i="4"/>
  <c r="D226" i="4"/>
  <c r="D275" i="4"/>
  <c r="D278" i="4"/>
  <c r="D50" i="4"/>
  <c r="D304" i="4"/>
  <c r="D15" i="4"/>
  <c r="D216" i="4"/>
  <c r="D507" i="4"/>
  <c r="D179" i="4"/>
  <c r="D269" i="4"/>
  <c r="B283" i="4"/>
  <c r="C283" i="4" s="1"/>
  <c r="F283" i="4" s="1"/>
  <c r="B567" i="4"/>
  <c r="C567" i="4" s="1"/>
  <c r="F567" i="4" s="1"/>
  <c r="B58" i="4"/>
  <c r="C58" i="4" s="1"/>
  <c r="F58" i="4" s="1"/>
  <c r="B140" i="4"/>
  <c r="C140" i="4" s="1"/>
  <c r="F140" i="4" s="1"/>
  <c r="B390" i="4"/>
  <c r="C390" i="4" s="1"/>
  <c r="F390" i="4" s="1"/>
  <c r="B578" i="4"/>
  <c r="C578" i="4" s="1"/>
  <c r="F578" i="4" s="1"/>
  <c r="B411" i="4"/>
  <c r="C411" i="4" s="1"/>
  <c r="F411" i="4" s="1"/>
  <c r="B311" i="4"/>
  <c r="C311" i="4" s="1"/>
  <c r="F311" i="4" s="1"/>
  <c r="B89" i="4"/>
  <c r="C89" i="4" s="1"/>
  <c r="F89" i="4" s="1"/>
  <c r="B34" i="4"/>
  <c r="C34" i="4" s="1"/>
  <c r="F34" i="4" s="1"/>
  <c r="B141" i="4"/>
  <c r="C141" i="4" s="1"/>
  <c r="F141" i="4" s="1"/>
  <c r="B31" i="4"/>
  <c r="C31" i="4" s="1"/>
  <c r="F31" i="4" s="1"/>
  <c r="B320" i="4"/>
  <c r="C320" i="4" s="1"/>
  <c r="F320" i="4" s="1"/>
  <c r="B406" i="4"/>
  <c r="C406" i="4" s="1"/>
  <c r="F406" i="4" s="1"/>
  <c r="B418" i="4"/>
  <c r="C418" i="4" s="1"/>
  <c r="F418" i="4" s="1"/>
  <c r="B226" i="4"/>
  <c r="C226" i="4" s="1"/>
  <c r="F226" i="4" s="1"/>
  <c r="B275" i="4"/>
  <c r="C275" i="4" s="1"/>
  <c r="F275" i="4" s="1"/>
  <c r="B278" i="4"/>
  <c r="C278" i="4" s="1"/>
  <c r="F278" i="4" s="1"/>
  <c r="B50" i="4"/>
  <c r="C50" i="4" s="1"/>
  <c r="F50" i="4" s="1"/>
  <c r="B304" i="4"/>
  <c r="C304" i="4" s="1"/>
  <c r="F304" i="4" s="1"/>
  <c r="B15" i="4"/>
  <c r="C15" i="4" s="1"/>
  <c r="F15" i="4" s="1"/>
  <c r="B216" i="4"/>
  <c r="C216" i="4" s="1"/>
  <c r="F216" i="4" s="1"/>
  <c r="B507" i="4"/>
  <c r="C507" i="4" s="1"/>
  <c r="F507" i="4" s="1"/>
  <c r="B179" i="4"/>
  <c r="C179" i="4" s="1"/>
  <c r="F179" i="4" s="1"/>
  <c r="B269" i="4"/>
  <c r="C269" i="4" s="1"/>
  <c r="F269" i="4" s="1"/>
  <c r="D534" i="4"/>
  <c r="D488" i="4"/>
  <c r="D520" i="4"/>
  <c r="D513" i="4"/>
  <c r="D117" i="4"/>
  <c r="D101" i="4"/>
  <c r="B196" i="4"/>
  <c r="C196" i="4" s="1"/>
  <c r="F196" i="4" s="1"/>
  <c r="B130" i="4"/>
  <c r="C130" i="4" s="1"/>
  <c r="F130" i="4" s="1"/>
  <c r="B239" i="4"/>
  <c r="C239" i="4" s="1"/>
  <c r="F239" i="4" s="1"/>
  <c r="B147" i="4"/>
  <c r="C147" i="4" s="1"/>
  <c r="F147" i="4" s="1"/>
  <c r="B287" i="4"/>
  <c r="C287" i="4" s="1"/>
  <c r="F287" i="4" s="1"/>
  <c r="B222" i="4"/>
  <c r="C222" i="4" s="1"/>
  <c r="F222" i="4" s="1"/>
  <c r="B133" i="4"/>
  <c r="C133" i="4" s="1"/>
  <c r="F133" i="4" s="1"/>
  <c r="B458" i="4"/>
  <c r="C458" i="4" s="1"/>
  <c r="F458" i="4" s="1"/>
  <c r="B559" i="4"/>
  <c r="C559" i="4" s="1"/>
  <c r="F559" i="4" s="1"/>
  <c r="B315" i="4"/>
  <c r="C315" i="4" s="1"/>
  <c r="F315" i="4" s="1"/>
  <c r="B83" i="4"/>
  <c r="C83" i="4" s="1"/>
  <c r="F83" i="4" s="1"/>
  <c r="B114" i="4"/>
  <c r="C114" i="4" s="1"/>
  <c r="F114" i="4" s="1"/>
  <c r="B276" i="4"/>
  <c r="C276" i="4" s="1"/>
  <c r="F276" i="4" s="1"/>
  <c r="B85" i="4"/>
  <c r="C85" i="4" s="1"/>
  <c r="F85" i="4" s="1"/>
  <c r="B419" i="4"/>
  <c r="C419" i="4" s="1"/>
  <c r="F419" i="4" s="1"/>
  <c r="B484" i="4"/>
  <c r="C484" i="4" s="1"/>
  <c r="F484" i="4" s="1"/>
  <c r="B537" i="4"/>
  <c r="C537" i="4" s="1"/>
  <c r="F537" i="4" s="1"/>
  <c r="B587" i="4"/>
  <c r="C587" i="4" s="1"/>
  <c r="F587" i="4" s="1"/>
  <c r="B521" i="4"/>
  <c r="C521" i="4" s="1"/>
  <c r="F521" i="4" s="1"/>
  <c r="B100" i="4"/>
  <c r="C100" i="4" s="1"/>
  <c r="F100" i="4" s="1"/>
  <c r="B382" i="4"/>
  <c r="C382" i="4" s="1"/>
  <c r="F382" i="4" s="1"/>
  <c r="D130" i="4"/>
  <c r="D222" i="4"/>
  <c r="D441" i="4"/>
  <c r="D143" i="4"/>
  <c r="D85" i="4"/>
  <c r="D120" i="4"/>
  <c r="D238" i="4"/>
  <c r="D37" i="4"/>
  <c r="D244" i="4"/>
  <c r="B324" i="4"/>
  <c r="C324" i="4" s="1"/>
  <c r="F324" i="4" s="1"/>
  <c r="B457" i="4"/>
  <c r="C457" i="4" s="1"/>
  <c r="F457" i="4" s="1"/>
  <c r="B393" i="4"/>
  <c r="C393" i="4" s="1"/>
  <c r="F393" i="4" s="1"/>
  <c r="B600" i="4"/>
  <c r="C600" i="4" s="1"/>
  <c r="F600" i="4" s="1"/>
  <c r="B14" i="4"/>
  <c r="C14" i="4" s="1"/>
  <c r="F14" i="4" s="1"/>
  <c r="D402" i="4"/>
  <c r="D392" i="4"/>
  <c r="D559" i="4"/>
  <c r="D47" i="4"/>
  <c r="D7" i="4"/>
  <c r="D393" i="4"/>
  <c r="D80" i="4"/>
  <c r="D368" i="4"/>
  <c r="D382" i="4"/>
  <c r="B122" i="4"/>
  <c r="C122" i="4" s="1"/>
  <c r="F122" i="4" s="1"/>
  <c r="B158" i="4"/>
  <c r="C158" i="4" s="1"/>
  <c r="F158" i="4" s="1"/>
  <c r="B169" i="4"/>
  <c r="C169" i="4" s="1"/>
  <c r="F169" i="4" s="1"/>
  <c r="B498" i="4"/>
  <c r="C498" i="4" s="1"/>
  <c r="F498" i="4" s="1"/>
  <c r="D239" i="4"/>
  <c r="D490" i="4"/>
  <c r="D144" i="4"/>
  <c r="D114" i="4"/>
  <c r="D592" i="4"/>
  <c r="D589" i="4"/>
  <c r="D533" i="4"/>
  <c r="D22" i="4"/>
  <c r="D14" i="4"/>
  <c r="B364" i="4"/>
  <c r="C364" i="4" s="1"/>
  <c r="F364" i="4" s="1"/>
  <c r="B599" i="4"/>
  <c r="C599" i="4" s="1"/>
  <c r="F599" i="4" s="1"/>
  <c r="B26" i="4"/>
  <c r="C26" i="4" s="1"/>
  <c r="F26" i="4" s="1"/>
  <c r="B37" i="4"/>
  <c r="C37" i="4" s="1"/>
  <c r="F37" i="4" s="1"/>
  <c r="D358" i="4"/>
  <c r="D133" i="4"/>
  <c r="D205" i="4"/>
  <c r="D197" i="4"/>
  <c r="D419" i="4"/>
  <c r="D483" i="4"/>
  <c r="D146" i="4"/>
  <c r="D508" i="4"/>
  <c r="D70" i="4"/>
  <c r="B119" i="4"/>
  <c r="C119" i="4" s="1"/>
  <c r="F119" i="4" s="1"/>
  <c r="B447" i="4"/>
  <c r="C447" i="4" s="1"/>
  <c r="F447" i="4" s="1"/>
  <c r="B379" i="4"/>
  <c r="C379" i="4" s="1"/>
  <c r="F379" i="4" s="1"/>
  <c r="B586" i="4"/>
  <c r="C586" i="4" s="1"/>
  <c r="F586" i="4" s="1"/>
  <c r="D147" i="4"/>
  <c r="D473" i="4"/>
  <c r="D315" i="4"/>
  <c r="D10" i="4"/>
  <c r="D593" i="4"/>
  <c r="D26" i="4"/>
  <c r="D128" i="4"/>
  <c r="D188" i="4"/>
  <c r="D106" i="4"/>
  <c r="B403" i="4"/>
  <c r="C403" i="4" s="1"/>
  <c r="F403" i="4" s="1"/>
  <c r="B417" i="4"/>
  <c r="C417" i="4" s="1"/>
  <c r="F417" i="4" s="1"/>
  <c r="B268" i="4"/>
  <c r="C268" i="4" s="1"/>
  <c r="F268" i="4" s="1"/>
  <c r="B508" i="4"/>
  <c r="C508" i="4" s="1"/>
  <c r="F508" i="4" s="1"/>
  <c r="D177" i="4"/>
  <c r="D75" i="4"/>
  <c r="D424" i="4"/>
  <c r="D219" i="4"/>
  <c r="D276" i="4"/>
  <c r="D404" i="4"/>
  <c r="D433" i="4"/>
  <c r="D600" i="4"/>
  <c r="D242" i="4"/>
  <c r="B39" i="4"/>
  <c r="C39" i="4" s="1"/>
  <c r="F39" i="4" s="1"/>
  <c r="B183" i="4"/>
  <c r="C183" i="4" s="1"/>
  <c r="F183" i="4" s="1"/>
  <c r="B449" i="4"/>
  <c r="C449" i="4" s="1"/>
  <c r="F449" i="4" s="1"/>
  <c r="B445" i="4"/>
  <c r="C445" i="4" s="1"/>
  <c r="F445" i="4" s="1"/>
  <c r="D196" i="4"/>
  <c r="D287" i="4"/>
  <c r="D458" i="4"/>
  <c r="D565" i="4"/>
  <c r="D391" i="4"/>
  <c r="D484" i="4"/>
  <c r="D571" i="4"/>
  <c r="D527" i="4"/>
  <c r="D254" i="4"/>
  <c r="B195" i="4"/>
  <c r="C195" i="4" s="1"/>
  <c r="F195" i="4" s="1"/>
  <c r="D268" i="4"/>
  <c r="B429" i="4"/>
  <c r="C429" i="4" s="1"/>
  <c r="F429" i="4" s="1"/>
  <c r="D499" i="4"/>
  <c r="B533" i="4"/>
  <c r="C533" i="4" s="1"/>
  <c r="F533" i="4" s="1"/>
  <c r="D163" i="4"/>
  <c r="D434" i="4"/>
  <c r="D248" i="4"/>
  <c r="B254" i="4"/>
  <c r="C254" i="4" s="1"/>
  <c r="F254" i="4" s="1"/>
  <c r="D342" i="4"/>
  <c r="D108" i="4"/>
  <c r="D246" i="4"/>
  <c r="D83" i="4"/>
  <c r="D88" i="4"/>
  <c r="B88" i="4"/>
  <c r="C88" i="4" s="1"/>
  <c r="F88" i="4" s="1"/>
  <c r="M10" i="4" l="1"/>
  <c r="E7" i="4" l="1"/>
  <c r="E15" i="4"/>
  <c r="E23" i="4"/>
  <c r="E31" i="4"/>
  <c r="E39" i="4"/>
  <c r="E47" i="4"/>
  <c r="E55" i="4"/>
  <c r="E63" i="4"/>
  <c r="E71" i="4"/>
  <c r="E79" i="4"/>
  <c r="E87" i="4"/>
  <c r="E95" i="4"/>
  <c r="E103" i="4"/>
  <c r="E111" i="4"/>
  <c r="E119" i="4"/>
  <c r="E127" i="4"/>
  <c r="E135" i="4"/>
  <c r="E143" i="4"/>
  <c r="E151" i="4"/>
  <c r="E159" i="4"/>
  <c r="E167" i="4"/>
  <c r="E175" i="4"/>
  <c r="E183" i="4"/>
  <c r="E191" i="4"/>
  <c r="E199" i="4"/>
  <c r="E207" i="4"/>
  <c r="E215" i="4"/>
  <c r="E223" i="4"/>
  <c r="E231" i="4"/>
  <c r="E239" i="4"/>
  <c r="E247" i="4"/>
  <c r="E255" i="4"/>
  <c r="E263" i="4"/>
  <c r="E271" i="4"/>
  <c r="E279" i="4"/>
  <c r="E287" i="4"/>
  <c r="E295" i="4"/>
  <c r="E303" i="4"/>
  <c r="E311" i="4"/>
  <c r="E319" i="4"/>
  <c r="E327" i="4"/>
  <c r="E335" i="4"/>
  <c r="E343" i="4"/>
  <c r="E351" i="4"/>
  <c r="E359" i="4"/>
  <c r="E367" i="4"/>
  <c r="E375" i="4"/>
  <c r="E383" i="4"/>
  <c r="E391" i="4"/>
  <c r="E399" i="4"/>
  <c r="E407" i="4"/>
  <c r="E415" i="4"/>
  <c r="E423" i="4"/>
  <c r="E431" i="4"/>
  <c r="E439" i="4"/>
  <c r="E447" i="4"/>
  <c r="E455" i="4"/>
  <c r="E463" i="4"/>
  <c r="E471" i="4"/>
  <c r="E479" i="4"/>
  <c r="E487" i="4"/>
  <c r="E495" i="4"/>
  <c r="E503" i="4"/>
  <c r="E511" i="4"/>
  <c r="E519" i="4"/>
  <c r="E527" i="4"/>
  <c r="E535" i="4"/>
  <c r="E543" i="4"/>
  <c r="E551" i="4"/>
  <c r="E559" i="4"/>
  <c r="E567" i="4"/>
  <c r="E575" i="4"/>
  <c r="E583" i="4"/>
  <c r="E591" i="4"/>
  <c r="E599" i="4"/>
  <c r="E8" i="4"/>
  <c r="E16" i="4"/>
  <c r="E24" i="4"/>
  <c r="E32" i="4"/>
  <c r="E40" i="4"/>
  <c r="E48" i="4"/>
  <c r="E56" i="4"/>
  <c r="E64" i="4"/>
  <c r="E72" i="4"/>
  <c r="E80" i="4"/>
  <c r="E88" i="4"/>
  <c r="E96" i="4"/>
  <c r="E104" i="4"/>
  <c r="E112" i="4"/>
  <c r="E120" i="4"/>
  <c r="E128" i="4"/>
  <c r="E136" i="4"/>
  <c r="E144" i="4"/>
  <c r="E152" i="4"/>
  <c r="E160" i="4"/>
  <c r="E168" i="4"/>
  <c r="E176" i="4"/>
  <c r="E184" i="4"/>
  <c r="E192" i="4"/>
  <c r="E200" i="4"/>
  <c r="E208" i="4"/>
  <c r="E216" i="4"/>
  <c r="E224" i="4"/>
  <c r="E232" i="4"/>
  <c r="E240" i="4"/>
  <c r="E248" i="4"/>
  <c r="E256" i="4"/>
  <c r="E264" i="4"/>
  <c r="E272" i="4"/>
  <c r="E280" i="4"/>
  <c r="E288" i="4"/>
  <c r="E296" i="4"/>
  <c r="E304" i="4"/>
  <c r="E312" i="4"/>
  <c r="E320" i="4"/>
  <c r="E328" i="4"/>
  <c r="E336" i="4"/>
  <c r="E344" i="4"/>
  <c r="E352" i="4"/>
  <c r="E360" i="4"/>
  <c r="E368" i="4"/>
  <c r="E376" i="4"/>
  <c r="E384" i="4"/>
  <c r="E392" i="4"/>
  <c r="E400" i="4"/>
  <c r="E408" i="4"/>
  <c r="E416" i="4"/>
  <c r="E424" i="4"/>
  <c r="E432" i="4"/>
  <c r="E440" i="4"/>
  <c r="E448" i="4"/>
  <c r="E456" i="4"/>
  <c r="E464" i="4"/>
  <c r="E472" i="4"/>
  <c r="E480" i="4"/>
  <c r="E488" i="4"/>
  <c r="E496" i="4"/>
  <c r="E504" i="4"/>
  <c r="E512" i="4"/>
  <c r="E520" i="4"/>
  <c r="E528" i="4"/>
  <c r="E536" i="4"/>
  <c r="E544" i="4"/>
  <c r="E552" i="4"/>
  <c r="E560" i="4"/>
  <c r="E568" i="4"/>
  <c r="E576" i="4"/>
  <c r="E584" i="4"/>
  <c r="E592" i="4"/>
  <c r="E600" i="4"/>
  <c r="E9" i="4"/>
  <c r="E17" i="4"/>
  <c r="E25" i="4"/>
  <c r="E33" i="4"/>
  <c r="E41" i="4"/>
  <c r="E49" i="4"/>
  <c r="E57" i="4"/>
  <c r="E65" i="4"/>
  <c r="E73" i="4"/>
  <c r="E81" i="4"/>
  <c r="E89" i="4"/>
  <c r="E97" i="4"/>
  <c r="E105" i="4"/>
  <c r="E113" i="4"/>
  <c r="E121" i="4"/>
  <c r="E129" i="4"/>
  <c r="E137" i="4"/>
  <c r="E145" i="4"/>
  <c r="E153" i="4"/>
  <c r="E161" i="4"/>
  <c r="E169" i="4"/>
  <c r="E177" i="4"/>
  <c r="E185" i="4"/>
  <c r="E193" i="4"/>
  <c r="E201" i="4"/>
  <c r="E209" i="4"/>
  <c r="E217" i="4"/>
  <c r="E225" i="4"/>
  <c r="E233" i="4"/>
  <c r="E241" i="4"/>
  <c r="E249" i="4"/>
  <c r="E257" i="4"/>
  <c r="E265" i="4"/>
  <c r="E273" i="4"/>
  <c r="E281" i="4"/>
  <c r="E289" i="4"/>
  <c r="E297" i="4"/>
  <c r="E305" i="4"/>
  <c r="E313" i="4"/>
  <c r="E321" i="4"/>
  <c r="E329" i="4"/>
  <c r="E337" i="4"/>
  <c r="E345" i="4"/>
  <c r="E353" i="4"/>
  <c r="E361" i="4"/>
  <c r="E369" i="4"/>
  <c r="E377" i="4"/>
  <c r="E385" i="4"/>
  <c r="E393" i="4"/>
  <c r="E401" i="4"/>
  <c r="E409" i="4"/>
  <c r="E417" i="4"/>
  <c r="E425" i="4"/>
  <c r="E433" i="4"/>
  <c r="E441" i="4"/>
  <c r="E449" i="4"/>
  <c r="E457" i="4"/>
  <c r="E465" i="4"/>
  <c r="E473" i="4"/>
  <c r="E481" i="4"/>
  <c r="E489" i="4"/>
  <c r="E497" i="4"/>
  <c r="E505" i="4"/>
  <c r="E513" i="4"/>
  <c r="E521" i="4"/>
  <c r="E529" i="4"/>
  <c r="E537" i="4"/>
  <c r="E545" i="4"/>
  <c r="E553" i="4"/>
  <c r="E561" i="4"/>
  <c r="E569" i="4"/>
  <c r="E577" i="4"/>
  <c r="E585" i="4"/>
  <c r="E593" i="4"/>
  <c r="E601" i="4"/>
  <c r="E10" i="4"/>
  <c r="E18" i="4"/>
  <c r="E26" i="4"/>
  <c r="E34" i="4"/>
  <c r="E42" i="4"/>
  <c r="E50" i="4"/>
  <c r="E58" i="4"/>
  <c r="E66" i="4"/>
  <c r="E74" i="4"/>
  <c r="E82" i="4"/>
  <c r="E90" i="4"/>
  <c r="E98" i="4"/>
  <c r="E106" i="4"/>
  <c r="E114" i="4"/>
  <c r="E122" i="4"/>
  <c r="E130" i="4"/>
  <c r="E138" i="4"/>
  <c r="E146" i="4"/>
  <c r="E154" i="4"/>
  <c r="E162" i="4"/>
  <c r="E170" i="4"/>
  <c r="E178" i="4"/>
  <c r="E186" i="4"/>
  <c r="E194" i="4"/>
  <c r="E202" i="4"/>
  <c r="E210" i="4"/>
  <c r="E218" i="4"/>
  <c r="E226" i="4"/>
  <c r="E234" i="4"/>
  <c r="E242" i="4"/>
  <c r="E250" i="4"/>
  <c r="E258" i="4"/>
  <c r="E266" i="4"/>
  <c r="E274" i="4"/>
  <c r="E282" i="4"/>
  <c r="E290" i="4"/>
  <c r="E298" i="4"/>
  <c r="E306" i="4"/>
  <c r="E314" i="4"/>
  <c r="E322" i="4"/>
  <c r="E330" i="4"/>
  <c r="E338" i="4"/>
  <c r="E11" i="4"/>
  <c r="E19" i="4"/>
  <c r="E27" i="4"/>
  <c r="E35" i="4"/>
  <c r="E43" i="4"/>
  <c r="E51" i="4"/>
  <c r="E59" i="4"/>
  <c r="E67" i="4"/>
  <c r="E75" i="4"/>
  <c r="E83" i="4"/>
  <c r="E91" i="4"/>
  <c r="E99" i="4"/>
  <c r="E107" i="4"/>
  <c r="E115" i="4"/>
  <c r="E123" i="4"/>
  <c r="E131" i="4"/>
  <c r="E139" i="4"/>
  <c r="E147" i="4"/>
  <c r="E155" i="4"/>
  <c r="E163" i="4"/>
  <c r="E171" i="4"/>
  <c r="E179" i="4"/>
  <c r="E187" i="4"/>
  <c r="E195" i="4"/>
  <c r="E203" i="4"/>
  <c r="E211" i="4"/>
  <c r="E219" i="4"/>
  <c r="E227" i="4"/>
  <c r="E235" i="4"/>
  <c r="E243" i="4"/>
  <c r="E251" i="4"/>
  <c r="E259" i="4"/>
  <c r="E267" i="4"/>
  <c r="E275" i="4"/>
  <c r="E283" i="4"/>
  <c r="E291" i="4"/>
  <c r="E299" i="4"/>
  <c r="E307" i="4"/>
  <c r="E315" i="4"/>
  <c r="E323" i="4"/>
  <c r="E331" i="4"/>
  <c r="E339" i="4"/>
  <c r="E347" i="4"/>
  <c r="E355" i="4"/>
  <c r="E363" i="4"/>
  <c r="E371" i="4"/>
  <c r="E379" i="4"/>
  <c r="E387" i="4"/>
  <c r="E395" i="4"/>
  <c r="E403" i="4"/>
  <c r="E411" i="4"/>
  <c r="E419" i="4"/>
  <c r="E427" i="4"/>
  <c r="E435" i="4"/>
  <c r="E443" i="4"/>
  <c r="E451" i="4"/>
  <c r="E459" i="4"/>
  <c r="E467" i="4"/>
  <c r="E475" i="4"/>
  <c r="E483" i="4"/>
  <c r="E491" i="4"/>
  <c r="E499" i="4"/>
  <c r="E507" i="4"/>
  <c r="E515" i="4"/>
  <c r="E523" i="4"/>
  <c r="E531" i="4"/>
  <c r="E539" i="4"/>
  <c r="E547" i="4"/>
  <c r="E555" i="4"/>
  <c r="E563" i="4"/>
  <c r="E12" i="4"/>
  <c r="E20" i="4"/>
  <c r="E28" i="4"/>
  <c r="E36" i="4"/>
  <c r="E44" i="4"/>
  <c r="E52" i="4"/>
  <c r="E60" i="4"/>
  <c r="E68" i="4"/>
  <c r="E76" i="4"/>
  <c r="E84" i="4"/>
  <c r="E92" i="4"/>
  <c r="E100" i="4"/>
  <c r="E108" i="4"/>
  <c r="E116" i="4"/>
  <c r="E124" i="4"/>
  <c r="E132" i="4"/>
  <c r="E140" i="4"/>
  <c r="E148" i="4"/>
  <c r="E156" i="4"/>
  <c r="E164" i="4"/>
  <c r="E172" i="4"/>
  <c r="E180" i="4"/>
  <c r="E188" i="4"/>
  <c r="E196" i="4"/>
  <c r="E204" i="4"/>
  <c r="E212" i="4"/>
  <c r="E220" i="4"/>
  <c r="E228" i="4"/>
  <c r="E236" i="4"/>
  <c r="E244" i="4"/>
  <c r="E252" i="4"/>
  <c r="E260" i="4"/>
  <c r="E268" i="4"/>
  <c r="E276" i="4"/>
  <c r="E284" i="4"/>
  <c r="E292" i="4"/>
  <c r="E300" i="4"/>
  <c r="E308" i="4"/>
  <c r="E316" i="4"/>
  <c r="E324" i="4"/>
  <c r="E332" i="4"/>
  <c r="E340" i="4"/>
  <c r="E348" i="4"/>
  <c r="E356" i="4"/>
  <c r="E364" i="4"/>
  <c r="E13" i="4"/>
  <c r="E45" i="4"/>
  <c r="E77" i="4"/>
  <c r="E109" i="4"/>
  <c r="E141" i="4"/>
  <c r="E173" i="4"/>
  <c r="E205" i="4"/>
  <c r="E237" i="4"/>
  <c r="E269" i="4"/>
  <c r="E301" i="4"/>
  <c r="E333" i="4"/>
  <c r="E357" i="4"/>
  <c r="E374" i="4"/>
  <c r="E390" i="4"/>
  <c r="E406" i="4"/>
  <c r="E422" i="4"/>
  <c r="E438" i="4"/>
  <c r="E454" i="4"/>
  <c r="E470" i="4"/>
  <c r="E486" i="4"/>
  <c r="E502" i="4"/>
  <c r="E518" i="4"/>
  <c r="E534" i="4"/>
  <c r="E550" i="4"/>
  <c r="E566" i="4"/>
  <c r="E580" i="4"/>
  <c r="E594" i="4"/>
  <c r="E605" i="4"/>
  <c r="E14" i="4"/>
  <c r="E46" i="4"/>
  <c r="E78" i="4"/>
  <c r="E110" i="4"/>
  <c r="E142" i="4"/>
  <c r="E174" i="4"/>
  <c r="E206" i="4"/>
  <c r="E238" i="4"/>
  <c r="E270" i="4"/>
  <c r="E302" i="4"/>
  <c r="E334" i="4"/>
  <c r="E358" i="4"/>
  <c r="E378" i="4"/>
  <c r="E394" i="4"/>
  <c r="E410" i="4"/>
  <c r="E426" i="4"/>
  <c r="E442" i="4"/>
  <c r="E458" i="4"/>
  <c r="E474" i="4"/>
  <c r="E490" i="4"/>
  <c r="E506" i="4"/>
  <c r="E522" i="4"/>
  <c r="E538" i="4"/>
  <c r="E554" i="4"/>
  <c r="E570" i="4"/>
  <c r="E581" i="4"/>
  <c r="E595" i="4"/>
  <c r="E21" i="4"/>
  <c r="E53" i="4"/>
  <c r="E85" i="4"/>
  <c r="E117" i="4"/>
  <c r="E149" i="4"/>
  <c r="E181" i="4"/>
  <c r="E213" i="4"/>
  <c r="E245" i="4"/>
  <c r="E277" i="4"/>
  <c r="E309" i="4"/>
  <c r="E341" i="4"/>
  <c r="E362" i="4"/>
  <c r="E380" i="4"/>
  <c r="E396" i="4"/>
  <c r="E412" i="4"/>
  <c r="E428" i="4"/>
  <c r="E444" i="4"/>
  <c r="E460" i="4"/>
  <c r="E476" i="4"/>
  <c r="E492" i="4"/>
  <c r="E508" i="4"/>
  <c r="E524" i="4"/>
  <c r="E540" i="4"/>
  <c r="E556" i="4"/>
  <c r="E571" i="4"/>
  <c r="E582" i="4"/>
  <c r="E596" i="4"/>
  <c r="E22" i="4"/>
  <c r="E54" i="4"/>
  <c r="E86" i="4"/>
  <c r="E118" i="4"/>
  <c r="E150" i="4"/>
  <c r="E182" i="4"/>
  <c r="E214" i="4"/>
  <c r="E246" i="4"/>
  <c r="E278" i="4"/>
  <c r="E310" i="4"/>
  <c r="E342" i="4"/>
  <c r="E365" i="4"/>
  <c r="E381" i="4"/>
  <c r="E397" i="4"/>
  <c r="E413" i="4"/>
  <c r="E429" i="4"/>
  <c r="E445" i="4"/>
  <c r="E461" i="4"/>
  <c r="E477" i="4"/>
  <c r="E493" i="4"/>
  <c r="E509" i="4"/>
  <c r="E525" i="4"/>
  <c r="E541" i="4"/>
  <c r="E557" i="4"/>
  <c r="E572" i="4"/>
  <c r="E586" i="4"/>
  <c r="E597" i="4"/>
  <c r="E29" i="4"/>
  <c r="E61" i="4"/>
  <c r="E93" i="4"/>
  <c r="E125" i="4"/>
  <c r="E157" i="4"/>
  <c r="E189" i="4"/>
  <c r="E221" i="4"/>
  <c r="E253" i="4"/>
  <c r="E285" i="4"/>
  <c r="E317" i="4"/>
  <c r="E346" i="4"/>
  <c r="E366" i="4"/>
  <c r="E382" i="4"/>
  <c r="E398" i="4"/>
  <c r="E414" i="4"/>
  <c r="E430" i="4"/>
  <c r="E446" i="4"/>
  <c r="E462" i="4"/>
  <c r="E478" i="4"/>
  <c r="E494" i="4"/>
  <c r="E510" i="4"/>
  <c r="E526" i="4"/>
  <c r="E542" i="4"/>
  <c r="E558" i="4"/>
  <c r="E573" i="4"/>
  <c r="E587" i="4"/>
  <c r="E598" i="4"/>
  <c r="E30" i="4"/>
  <c r="E62" i="4"/>
  <c r="E94" i="4"/>
  <c r="E126" i="4"/>
  <c r="E158" i="4"/>
  <c r="E190" i="4"/>
  <c r="E222" i="4"/>
  <c r="E254" i="4"/>
  <c r="E286" i="4"/>
  <c r="E318" i="4"/>
  <c r="E349" i="4"/>
  <c r="E370" i="4"/>
  <c r="E386" i="4"/>
  <c r="E402" i="4"/>
  <c r="E418" i="4"/>
  <c r="E434" i="4"/>
  <c r="E450" i="4"/>
  <c r="E466" i="4"/>
  <c r="E482" i="4"/>
  <c r="E498" i="4"/>
  <c r="E514" i="4"/>
  <c r="E530" i="4"/>
  <c r="E546" i="4"/>
  <c r="E562" i="4"/>
  <c r="E574" i="4"/>
  <c r="E588" i="4"/>
  <c r="E602" i="4"/>
  <c r="E38" i="4"/>
  <c r="E70" i="4"/>
  <c r="E102" i="4"/>
  <c r="E134" i="4"/>
  <c r="E166" i="4"/>
  <c r="E198" i="4"/>
  <c r="E230" i="4"/>
  <c r="E262" i="4"/>
  <c r="E294" i="4"/>
  <c r="E326" i="4"/>
  <c r="E354" i="4"/>
  <c r="E373" i="4"/>
  <c r="E389" i="4"/>
  <c r="E405" i="4"/>
  <c r="E421" i="4"/>
  <c r="E437" i="4"/>
  <c r="E453" i="4"/>
  <c r="E469" i="4"/>
  <c r="E485" i="4"/>
  <c r="E501" i="4"/>
  <c r="E517" i="4"/>
  <c r="E533" i="4"/>
  <c r="E549" i="4"/>
  <c r="E565" i="4"/>
  <c r="E579" i="4"/>
  <c r="E590" i="4"/>
  <c r="E604" i="4"/>
  <c r="E37" i="4"/>
  <c r="E293" i="4"/>
  <c r="E452" i="4"/>
  <c r="E578" i="4"/>
  <c r="E69" i="4"/>
  <c r="E325" i="4"/>
  <c r="E468" i="4"/>
  <c r="E589" i="4"/>
  <c r="E101" i="4"/>
  <c r="E350" i="4"/>
  <c r="E484" i="4"/>
  <c r="E603" i="4"/>
  <c r="E133" i="4"/>
  <c r="E372" i="4"/>
  <c r="E500" i="4"/>
  <c r="E165" i="4"/>
  <c r="E388" i="4"/>
  <c r="E516" i="4"/>
  <c r="E197" i="4"/>
  <c r="E404" i="4"/>
  <c r="E532" i="4"/>
  <c r="E261" i="4"/>
  <c r="E436" i="4"/>
  <c r="E564" i="4"/>
  <c r="E229" i="4"/>
  <c r="E420" i="4"/>
  <c r="E548" i="4"/>
  <c r="E6" i="4"/>
  <c r="D180" i="4"/>
  <c r="B38" i="4"/>
  <c r="B415" i="4"/>
  <c r="B389" i="4"/>
  <c r="B394" i="4"/>
  <c r="B480" i="4"/>
  <c r="B261" i="4"/>
  <c r="B481" i="4"/>
  <c r="C481" i="4" s="1"/>
  <c r="F481" i="4" s="1"/>
  <c r="B94" i="4"/>
  <c r="B281" i="4"/>
  <c r="B338" i="4"/>
  <c r="B318" i="4"/>
  <c r="B511" i="4"/>
  <c r="B267" i="4"/>
  <c r="B210" i="4"/>
  <c r="B370" i="4"/>
  <c r="C370" i="4" s="1"/>
  <c r="F370" i="4" s="1"/>
  <c r="B550" i="4"/>
  <c r="B456" i="4"/>
  <c r="D515" i="4"/>
  <c r="D421" i="4"/>
  <c r="D52" i="4"/>
  <c r="D437" i="4"/>
  <c r="B55" i="4"/>
  <c r="B174" i="4"/>
  <c r="C174" i="4" s="1"/>
  <c r="F174" i="4" s="1"/>
  <c r="B302" i="4"/>
  <c r="B206" i="4"/>
  <c r="B399" i="4"/>
  <c r="D81" i="4"/>
  <c r="D597" i="4"/>
  <c r="D383" i="4"/>
  <c r="D209" i="4"/>
  <c r="B373" i="4"/>
  <c r="B401" i="4"/>
  <c r="B208" i="4"/>
  <c r="B171" i="4"/>
  <c r="B413" i="4"/>
  <c r="B180" i="4"/>
  <c r="B263" i="4"/>
  <c r="D321" i="4"/>
  <c r="D134" i="4"/>
  <c r="D530" i="4"/>
  <c r="D149" i="4"/>
  <c r="B524" i="4"/>
  <c r="B355" i="4"/>
  <c r="B27" i="4"/>
  <c r="B546" i="4"/>
  <c r="B57" i="4"/>
  <c r="B221" i="4"/>
  <c r="C221" i="4" s="1"/>
  <c r="F221" i="4" s="1"/>
  <c r="D110" i="4"/>
  <c r="D264" i="4"/>
  <c r="D125" i="4"/>
  <c r="D327" i="4"/>
  <c r="B562" i="4"/>
  <c r="B455" i="4"/>
  <c r="B568" i="4"/>
  <c r="B166" i="4"/>
  <c r="C166" i="4" s="1"/>
  <c r="F166" i="4" s="1"/>
  <c r="B63" i="4"/>
  <c r="B426" i="4"/>
  <c r="B253" i="4"/>
  <c r="D454" i="4"/>
  <c r="D62" i="4"/>
  <c r="D523" i="4"/>
  <c r="D77" i="4"/>
  <c r="B505" i="4"/>
  <c r="B596" i="4"/>
  <c r="B489" i="4"/>
  <c r="B164" i="4"/>
  <c r="B443" i="4"/>
  <c r="B503" i="4"/>
  <c r="D451" i="4"/>
  <c r="D580" i="4"/>
  <c r="D223" i="4"/>
  <c r="D233" i="4"/>
  <c r="D470" i="4"/>
  <c r="B336" i="4"/>
  <c r="B360" i="4"/>
  <c r="B359" i="4"/>
  <c r="B504" i="4"/>
  <c r="B560" i="4"/>
  <c r="B468" i="4"/>
  <c r="C468" i="4" s="1"/>
  <c r="F468" i="4" s="1"/>
  <c r="D427" i="4"/>
  <c r="D279" i="4"/>
  <c r="D257" i="4"/>
  <c r="D165" i="4"/>
  <c r="B516" i="4"/>
  <c r="B129" i="4"/>
  <c r="B510" i="4"/>
  <c r="B528" i="4"/>
  <c r="B387" i="4"/>
  <c r="B170" i="4"/>
  <c r="B154" i="4"/>
  <c r="D270" i="4"/>
  <c r="D286" i="4"/>
  <c r="D41" i="4"/>
  <c r="D519" i="4"/>
  <c r="D462" i="4"/>
  <c r="D349" i="4"/>
  <c r="D395" i="4"/>
  <c r="D277" i="4"/>
  <c r="D509" i="4"/>
  <c r="D385" i="4"/>
  <c r="D24" i="4"/>
  <c r="D13" i="4"/>
  <c r="D170" i="4"/>
  <c r="D154" i="4"/>
  <c r="D595" i="4"/>
  <c r="D517" i="4"/>
  <c r="D17" i="4"/>
  <c r="D25" i="4"/>
  <c r="D556" i="4"/>
  <c r="B207" i="4"/>
  <c r="B346" i="4"/>
  <c r="B552" i="4"/>
  <c r="B182" i="4"/>
  <c r="B595" i="4"/>
  <c r="D38" i="4"/>
  <c r="D261" i="4"/>
  <c r="D94" i="4"/>
  <c r="D294" i="4"/>
  <c r="D249" i="4"/>
  <c r="B229" i="4"/>
  <c r="B33" i="4"/>
  <c r="B29" i="4"/>
  <c r="B95" i="4"/>
  <c r="B380" i="4"/>
  <c r="B555" i="4"/>
  <c r="D577" i="4"/>
  <c r="D335" i="4"/>
  <c r="D475" i="4"/>
  <c r="D371" i="4"/>
  <c r="B145" i="4"/>
  <c r="B56" i="4"/>
  <c r="B309" i="4"/>
  <c r="B142" i="4"/>
  <c r="B25" i="4"/>
  <c r="B556" i="4"/>
  <c r="D400" i="4"/>
  <c r="D215" i="4"/>
  <c r="D137" i="4"/>
  <c r="D407" i="4"/>
  <c r="D435" i="4"/>
  <c r="B351" i="4"/>
  <c r="B232" i="4"/>
  <c r="B348" i="4"/>
  <c r="C348" i="4" s="1"/>
  <c r="F348" i="4" s="1"/>
  <c r="B442" i="4"/>
  <c r="B581" i="4"/>
  <c r="B40" i="4"/>
  <c r="D240" i="4"/>
  <c r="D428" i="4"/>
  <c r="D97" i="4"/>
  <c r="D310" i="4"/>
  <c r="B202" i="4"/>
  <c r="C202" i="4" s="1"/>
  <c r="F202" i="4" s="1"/>
  <c r="B132" i="4"/>
  <c r="B377" i="4"/>
  <c r="B82" i="4"/>
  <c r="B79" i="4"/>
  <c r="B44" i="4"/>
  <c r="B408" i="4"/>
  <c r="D563" i="4"/>
  <c r="D514" i="4"/>
  <c r="D564" i="4"/>
  <c r="D502" i="4"/>
  <c r="B227" i="4"/>
  <c r="B496" i="4"/>
  <c r="B305" i="4"/>
  <c r="B296" i="4"/>
  <c r="B333" i="4"/>
  <c r="B36" i="4"/>
  <c r="C36" i="4" s="1"/>
  <c r="F36" i="4" s="1"/>
  <c r="D258" i="4"/>
  <c r="D353" i="4"/>
  <c r="D186" i="4"/>
  <c r="D43" i="4"/>
  <c r="D182" i="4"/>
  <c r="B30" i="4"/>
  <c r="B98" i="4"/>
  <c r="B162" i="4"/>
  <c r="C162" i="4" s="1"/>
  <c r="F162" i="4" s="1"/>
  <c r="B547" i="4"/>
  <c r="B487" i="4"/>
  <c r="B306" i="4"/>
  <c r="D369" i="4"/>
  <c r="D548" i="4"/>
  <c r="D184" i="4"/>
  <c r="D319" i="4"/>
  <c r="B467" i="4"/>
  <c r="C467" i="4" s="1"/>
  <c r="F467" i="4" s="1"/>
  <c r="B343" i="4"/>
  <c r="B573" i="4"/>
  <c r="B422" i="4"/>
  <c r="B334" i="4"/>
  <c r="B252" i="4"/>
  <c r="D325" i="4"/>
  <c r="D540" i="4"/>
  <c r="D168" i="4"/>
  <c r="D150" i="4"/>
  <c r="D412" i="4"/>
  <c r="D66" i="4"/>
  <c r="D138" i="4"/>
  <c r="D426" i="4"/>
  <c r="D253" i="4"/>
  <c r="D8" i="4"/>
  <c r="D118" i="4"/>
  <c r="D54" i="4"/>
  <c r="D334" i="4"/>
  <c r="D252" i="4"/>
  <c r="D452" i="4"/>
  <c r="D398" i="4"/>
  <c r="D584" i="4"/>
  <c r="D172" i="4"/>
  <c r="D420" i="4"/>
  <c r="D86" i="4"/>
  <c r="B124" i="4"/>
  <c r="B452" i="4"/>
  <c r="B398" i="4"/>
  <c r="C398" i="4" s="1"/>
  <c r="F398" i="4" s="1"/>
  <c r="D281" i="4"/>
  <c r="D511" i="4"/>
  <c r="D267" i="4"/>
  <c r="D210" i="4"/>
  <c r="D370" i="4"/>
  <c r="B61" i="4"/>
  <c r="B579" i="4"/>
  <c r="B60" i="4"/>
  <c r="C60" i="4" s="1"/>
  <c r="F60" i="4" s="1"/>
  <c r="B32" i="4"/>
  <c r="B194" i="4"/>
  <c r="B340" i="4"/>
  <c r="D55" i="4"/>
  <c r="D174" i="4"/>
  <c r="D302" i="4"/>
  <c r="B148" i="4"/>
  <c r="B51" i="4"/>
  <c r="C51" i="4" s="1"/>
  <c r="F51" i="4" s="1"/>
  <c r="B213" i="4"/>
  <c r="B203" i="4"/>
  <c r="B420" i="4"/>
  <c r="C420" i="4" s="1"/>
  <c r="F420" i="4" s="1"/>
  <c r="B86" i="4"/>
  <c r="C86" i="4" s="1"/>
  <c r="F86" i="4" s="1"/>
  <c r="D373" i="4"/>
  <c r="D401" i="4"/>
  <c r="D208" i="4"/>
  <c r="D171" i="4"/>
  <c r="D92" i="4"/>
  <c r="B463" i="4"/>
  <c r="B551" i="4"/>
  <c r="C551" i="4" s="1"/>
  <c r="F551" i="4" s="1"/>
  <c r="B485" i="4"/>
  <c r="C485" i="4" s="1"/>
  <c r="F485" i="4" s="1"/>
  <c r="B316" i="4"/>
  <c r="B113" i="4"/>
  <c r="B64" i="4"/>
  <c r="D524" i="4"/>
  <c r="D355" i="4"/>
  <c r="D27" i="4"/>
  <c r="D546" i="4"/>
  <c r="B291" i="4"/>
  <c r="C291" i="4" s="1"/>
  <c r="F291" i="4" s="1"/>
  <c r="B230" i="4"/>
  <c r="B344" i="4"/>
  <c r="B16" i="4"/>
  <c r="B53" i="4"/>
  <c r="B446" i="4"/>
  <c r="D562" i="4"/>
  <c r="D455" i="4"/>
  <c r="D568" i="4"/>
  <c r="D166" i="4"/>
  <c r="D63" i="4"/>
  <c r="B65" i="4"/>
  <c r="B116" i="4"/>
  <c r="C116" i="4" s="1"/>
  <c r="F116" i="4" s="1"/>
  <c r="B156" i="4"/>
  <c r="C156" i="4" s="1"/>
  <c r="F156" i="4" s="1"/>
  <c r="B193" i="4"/>
  <c r="B362" i="4"/>
  <c r="C362" i="4" s="1"/>
  <c r="F362" i="4" s="1"/>
  <c r="D505" i="4"/>
  <c r="D596" i="4"/>
  <c r="D489" i="4"/>
  <c r="D164" i="4"/>
  <c r="B271" i="4"/>
  <c r="B363" i="4"/>
  <c r="B450" i="4"/>
  <c r="B297" i="4"/>
  <c r="B575" i="4"/>
  <c r="C575" i="4" s="1"/>
  <c r="F575" i="4" s="1"/>
  <c r="B251" i="4"/>
  <c r="B204" i="4"/>
  <c r="D336" i="4"/>
  <c r="D360" i="4"/>
  <c r="D359" i="4"/>
  <c r="D504" i="4"/>
  <c r="B236" i="4"/>
  <c r="B300" i="4"/>
  <c r="B376" i="4"/>
  <c r="B152" i="4"/>
  <c r="B328" i="4"/>
  <c r="B298" i="4"/>
  <c r="D516" i="4"/>
  <c r="D129" i="4"/>
  <c r="D510" i="4"/>
  <c r="D528" i="4"/>
  <c r="D387" i="4"/>
  <c r="D107" i="4"/>
  <c r="D263" i="4"/>
  <c r="D44" i="4"/>
  <c r="D408" i="4"/>
  <c r="D99" i="4"/>
  <c r="D444" i="4"/>
  <c r="D201" i="4"/>
  <c r="D328" i="4"/>
  <c r="D298" i="4"/>
  <c r="D69" i="4"/>
  <c r="D357" i="4"/>
  <c r="D206" i="4"/>
  <c r="D399" i="4"/>
  <c r="D495" i="4"/>
  <c r="D529" i="4"/>
  <c r="B500" i="4"/>
  <c r="B255" i="4"/>
  <c r="B69" i="4"/>
  <c r="B357" i="4"/>
  <c r="D415" i="4"/>
  <c r="D207" i="4"/>
  <c r="D346" i="4"/>
  <c r="D552" i="4"/>
  <c r="B285" i="4"/>
  <c r="B416" i="4"/>
  <c r="B397" i="4"/>
  <c r="B151" i="4"/>
  <c r="C151" i="4" s="1"/>
  <c r="F151" i="4" s="1"/>
  <c r="B396" i="4"/>
  <c r="C396" i="4" s="1"/>
  <c r="F396" i="4" s="1"/>
  <c r="B312" i="4"/>
  <c r="B241" i="4"/>
  <c r="C241" i="4" s="1"/>
  <c r="F241" i="4" s="1"/>
  <c r="D229" i="4"/>
  <c r="D33" i="4"/>
  <c r="D29" i="4"/>
  <c r="D95" i="4"/>
  <c r="B479" i="4"/>
  <c r="C479" i="4" s="1"/>
  <c r="F479" i="4" s="1"/>
  <c r="B46" i="4"/>
  <c r="C46" i="4" s="1"/>
  <c r="F46" i="4" s="1"/>
  <c r="B361" i="4"/>
  <c r="B109" i="4"/>
  <c r="C109" i="4" s="1"/>
  <c r="F109" i="4" s="1"/>
  <c r="B495" i="4"/>
  <c r="C495" i="4" s="1"/>
  <c r="F495" i="4" s="1"/>
  <c r="B529" i="4"/>
  <c r="D145" i="4"/>
  <c r="D56" i="4"/>
  <c r="D309" i="4"/>
  <c r="D142" i="4"/>
  <c r="B332" i="4"/>
  <c r="B96" i="4"/>
  <c r="C96" i="4" s="1"/>
  <c r="F96" i="4" s="1"/>
  <c r="B561" i="4"/>
  <c r="C561" i="4" s="1"/>
  <c r="F561" i="4" s="1"/>
  <c r="B72" i="4"/>
  <c r="B405" i="4"/>
  <c r="B462" i="4"/>
  <c r="B349" i="4"/>
  <c r="C349" i="4" s="1"/>
  <c r="F349" i="4" s="1"/>
  <c r="D351" i="4"/>
  <c r="D232" i="4"/>
  <c r="D348" i="4"/>
  <c r="D442" i="4"/>
  <c r="B259" i="4"/>
  <c r="B105" i="4"/>
  <c r="B576" i="4"/>
  <c r="B476" i="4"/>
  <c r="B486" i="4"/>
  <c r="B372" i="4"/>
  <c r="D202" i="4"/>
  <c r="D132" i="4"/>
  <c r="D377" i="4"/>
  <c r="D82" i="4"/>
  <c r="D79" i="4"/>
  <c r="B157" i="4"/>
  <c r="B178" i="4"/>
  <c r="C178" i="4" s="1"/>
  <c r="F178" i="4" s="1"/>
  <c r="B366" i="4"/>
  <c r="B347" i="4"/>
  <c r="C347" i="4" s="1"/>
  <c r="F347" i="4" s="1"/>
  <c r="B19" i="4"/>
  <c r="B494" i="4"/>
  <c r="D227" i="4"/>
  <c r="D496" i="4"/>
  <c r="D305" i="4"/>
  <c r="D296" i="4"/>
  <c r="B59" i="4"/>
  <c r="B293" i="4"/>
  <c r="C293" i="4" s="1"/>
  <c r="F293" i="4" s="1"/>
  <c r="B545" i="4"/>
  <c r="C545" i="4" s="1"/>
  <c r="F545" i="4" s="1"/>
  <c r="B532" i="4"/>
  <c r="B153" i="4"/>
  <c r="B24" i="4"/>
  <c r="B13" i="4"/>
  <c r="C13" i="4" s="1"/>
  <c r="F13" i="4" s="1"/>
  <c r="D30" i="4"/>
  <c r="D98" i="4"/>
  <c r="D162" i="4"/>
  <c r="D547" i="4"/>
  <c r="B477" i="4"/>
  <c r="B602" i="4"/>
  <c r="B18" i="4"/>
  <c r="B482" i="4"/>
  <c r="C482" i="4" s="1"/>
  <c r="F482" i="4" s="1"/>
  <c r="B295" i="4"/>
  <c r="C295" i="4" s="1"/>
  <c r="F295" i="4" s="1"/>
  <c r="B23" i="4"/>
  <c r="D467" i="4"/>
  <c r="D343" i="4"/>
  <c r="D573" i="4"/>
  <c r="D422" i="4"/>
  <c r="D582" i="4"/>
  <c r="D191" i="4"/>
  <c r="D53" i="4"/>
  <c r="D446" i="4"/>
  <c r="D443" i="4"/>
  <c r="D503" i="4"/>
  <c r="D272" i="4"/>
  <c r="D211" i="4"/>
  <c r="D295" i="4"/>
  <c r="D23" i="4"/>
  <c r="D574" i="4"/>
  <c r="D280" i="4"/>
  <c r="D380" i="4"/>
  <c r="D555" i="4"/>
  <c r="D175" i="4"/>
  <c r="D345" i="4"/>
  <c r="B461" i="4"/>
  <c r="C461" i="4" s="1"/>
  <c r="F461" i="4" s="1"/>
  <c r="B231" i="4"/>
  <c r="C231" i="4" s="1"/>
  <c r="F231" i="4" s="1"/>
  <c r="B337" i="4"/>
  <c r="C337" i="4" s="1"/>
  <c r="F337" i="4" s="1"/>
  <c r="B474" i="4"/>
  <c r="C474" i="4" s="1"/>
  <c r="F474" i="4" s="1"/>
  <c r="B574" i="4"/>
  <c r="C574" i="4" s="1"/>
  <c r="F574" i="4" s="1"/>
  <c r="B280" i="4"/>
  <c r="D394" i="4"/>
  <c r="D338" i="4"/>
  <c r="D124" i="4"/>
  <c r="B388" i="4"/>
  <c r="C388" i="4" s="1"/>
  <c r="F388" i="4" s="1"/>
  <c r="B48" i="4"/>
  <c r="B131" i="4"/>
  <c r="C131" i="4" s="1"/>
  <c r="F131" i="4" s="1"/>
  <c r="B472" i="4"/>
  <c r="C472" i="4" s="1"/>
  <c r="F472" i="4" s="1"/>
  <c r="B28" i="4"/>
  <c r="B181" i="4"/>
  <c r="B42" i="4"/>
  <c r="D61" i="4"/>
  <c r="D579" i="4"/>
  <c r="D60" i="4"/>
  <c r="D32" i="4"/>
  <c r="B590" i="4"/>
  <c r="C590" i="4" s="1"/>
  <c r="F590" i="4" s="1"/>
  <c r="B115" i="4"/>
  <c r="C115" i="4" s="1"/>
  <c r="F115" i="4" s="1"/>
  <c r="B512" i="4"/>
  <c r="B601" i="4"/>
  <c r="B175" i="4"/>
  <c r="C175" i="4" s="1"/>
  <c r="F175" i="4" s="1"/>
  <c r="B345" i="4"/>
  <c r="C345" i="4" s="1"/>
  <c r="F345" i="4" s="1"/>
  <c r="D148" i="4"/>
  <c r="D51" i="4"/>
  <c r="D213" i="4"/>
  <c r="D203" i="4"/>
  <c r="B557" i="4"/>
  <c r="B159" i="4"/>
  <c r="B6" i="4"/>
  <c r="C6" i="4" s="1"/>
  <c r="F6" i="4" s="1"/>
  <c r="B217" i="4"/>
  <c r="C217" i="4" s="1"/>
  <c r="F217" i="4" s="1"/>
  <c r="B282" i="4"/>
  <c r="C282" i="4" s="1"/>
  <c r="F282" i="4" s="1"/>
  <c r="B66" i="4"/>
  <c r="C66" i="4" s="1"/>
  <c r="F66" i="4" s="1"/>
  <c r="B138" i="4"/>
  <c r="C138" i="4" s="1"/>
  <c r="F138" i="4" s="1"/>
  <c r="D463" i="4"/>
  <c r="D551" i="4"/>
  <c r="D485" i="4"/>
  <c r="D316" i="4"/>
  <c r="B378" i="4"/>
  <c r="C378" i="4" s="1"/>
  <c r="F378" i="4" s="1"/>
  <c r="B460" i="4"/>
  <c r="B410" i="4"/>
  <c r="C410" i="4" s="1"/>
  <c r="F410" i="4" s="1"/>
  <c r="B198" i="4"/>
  <c r="C198" i="4" s="1"/>
  <c r="F198" i="4" s="1"/>
  <c r="B243" i="4"/>
  <c r="C243" i="4" s="1"/>
  <c r="F243" i="4" s="1"/>
  <c r="B104" i="4"/>
  <c r="D291" i="4"/>
  <c r="D230" i="4"/>
  <c r="D344" i="4"/>
  <c r="D16" i="4"/>
  <c r="D423" i="4"/>
  <c r="B155" i="4"/>
  <c r="C155" i="4" s="1"/>
  <c r="F155" i="4" s="1"/>
  <c r="B440" i="4"/>
  <c r="C440" i="4" s="1"/>
  <c r="F440" i="4" s="1"/>
  <c r="B542" i="4"/>
  <c r="B301" i="4"/>
  <c r="C301" i="4" s="1"/>
  <c r="F301" i="4" s="1"/>
  <c r="B20" i="4"/>
  <c r="C20" i="4" s="1"/>
  <c r="F20" i="4" s="1"/>
  <c r="B497" i="4"/>
  <c r="C497" i="4" s="1"/>
  <c r="F497" i="4" s="1"/>
  <c r="D65" i="4"/>
  <c r="D116" i="4"/>
  <c r="D156" i="4"/>
  <c r="B354" i="4"/>
  <c r="C354" i="4" s="1"/>
  <c r="F354" i="4" s="1"/>
  <c r="B228" i="4"/>
  <c r="B431" i="4"/>
  <c r="C431" i="4" s="1"/>
  <c r="F431" i="4" s="1"/>
  <c r="B425" i="4"/>
  <c r="C425" i="4" s="1"/>
  <c r="F425" i="4" s="1"/>
  <c r="B423" i="4"/>
  <c r="C423" i="4" s="1"/>
  <c r="F423" i="4" s="1"/>
  <c r="B54" i="4"/>
  <c r="C54" i="4" s="1"/>
  <c r="F54" i="4" s="1"/>
  <c r="D271" i="4"/>
  <c r="D363" i="4"/>
  <c r="D450" i="4"/>
  <c r="D297" i="4"/>
  <c r="D575" i="4"/>
  <c r="B569" i="4"/>
  <c r="C569" i="4" s="1"/>
  <c r="F569" i="4" s="1"/>
  <c r="B583" i="4"/>
  <c r="C583" i="4" s="1"/>
  <c r="F583" i="4" s="1"/>
  <c r="B350" i="4"/>
  <c r="C350" i="4" s="1"/>
  <c r="F350" i="4" s="1"/>
  <c r="B234" i="4"/>
  <c r="C234" i="4" s="1"/>
  <c r="F234" i="4" s="1"/>
  <c r="B585" i="4"/>
  <c r="C585" i="4" s="1"/>
  <c r="F585" i="4" s="1"/>
  <c r="B307" i="4"/>
  <c r="D236" i="4"/>
  <c r="D300" i="4"/>
  <c r="D376" i="4"/>
  <c r="D152" i="4"/>
  <c r="D526" i="4"/>
  <c r="D588" i="4"/>
  <c r="D486" i="4"/>
  <c r="D372" i="4"/>
  <c r="D333" i="4"/>
  <c r="D36" i="4"/>
  <c r="D199" i="4"/>
  <c r="D303" i="4"/>
  <c r="D585" i="4"/>
  <c r="D307" i="4"/>
  <c r="D250" i="4"/>
  <c r="D326" i="4"/>
  <c r="D194" i="4"/>
  <c r="D340" i="4"/>
  <c r="D471" i="4"/>
  <c r="D74" i="4"/>
  <c r="B558" i="4"/>
  <c r="C558" i="4" s="1"/>
  <c r="F558" i="4" s="1"/>
  <c r="B49" i="4"/>
  <c r="C49" i="4" s="1"/>
  <c r="F49" i="4" s="1"/>
  <c r="B250" i="4"/>
  <c r="C250" i="4" s="1"/>
  <c r="F250" i="4" s="1"/>
  <c r="B326" i="4"/>
  <c r="D318" i="4"/>
  <c r="D389" i="4"/>
  <c r="D500" i="4"/>
  <c r="D255" i="4"/>
  <c r="B308" i="4"/>
  <c r="C308" i="4" s="1"/>
  <c r="F308" i="4" s="1"/>
  <c r="B161" i="4"/>
  <c r="C161" i="4" s="1"/>
  <c r="F161" i="4" s="1"/>
  <c r="B384" i="4"/>
  <c r="C384" i="4" s="1"/>
  <c r="F384" i="4" s="1"/>
  <c r="B313" i="4"/>
  <c r="C313" i="4" s="1"/>
  <c r="F313" i="4" s="1"/>
  <c r="B570" i="4"/>
  <c r="B553" i="4"/>
  <c r="C553" i="4" s="1"/>
  <c r="F553" i="4" s="1"/>
  <c r="D285" i="4"/>
  <c r="D416" i="4"/>
  <c r="D397" i="4"/>
  <c r="D151" i="4"/>
  <c r="D396" i="4"/>
  <c r="B299" i="4"/>
  <c r="B78" i="4"/>
  <c r="C78" i="4" s="1"/>
  <c r="F78" i="4" s="1"/>
  <c r="B111" i="4"/>
  <c r="C111" i="4" s="1"/>
  <c r="F111" i="4" s="1"/>
  <c r="B491" i="4"/>
  <c r="B471" i="4"/>
  <c r="C471" i="4" s="1"/>
  <c r="F471" i="4" s="1"/>
  <c r="B74" i="4"/>
  <c r="C74" i="4" s="1"/>
  <c r="F74" i="4" s="1"/>
  <c r="D479" i="4"/>
  <c r="D46" i="4"/>
  <c r="D361" i="4"/>
  <c r="D109" i="4"/>
  <c r="B538" i="4"/>
  <c r="C538" i="4" s="1"/>
  <c r="F538" i="4" s="1"/>
  <c r="B127" i="4"/>
  <c r="C127" i="4" s="1"/>
  <c r="F127" i="4" s="1"/>
  <c r="B554" i="4"/>
  <c r="C554" i="4" s="1"/>
  <c r="F554" i="4" s="1"/>
  <c r="B572" i="4"/>
  <c r="C572" i="4" s="1"/>
  <c r="F572" i="4" s="1"/>
  <c r="B92" i="4"/>
  <c r="C92" i="4" s="1"/>
  <c r="F92" i="4" s="1"/>
  <c r="B107" i="4"/>
  <c r="C107" i="4" s="1"/>
  <c r="F107" i="4" s="1"/>
  <c r="D332" i="4"/>
  <c r="D96" i="4"/>
  <c r="D561" i="4"/>
  <c r="D72" i="4"/>
  <c r="D405" i="4"/>
  <c r="B247" i="4"/>
  <c r="C247" i="4" s="1"/>
  <c r="F247" i="4" s="1"/>
  <c r="B536" i="4"/>
  <c r="C536" i="4" s="1"/>
  <c r="F536" i="4" s="1"/>
  <c r="B604" i="4"/>
  <c r="C604" i="4" s="1"/>
  <c r="F604" i="4" s="1"/>
  <c r="B323" i="4"/>
  <c r="C323" i="4" s="1"/>
  <c r="F323" i="4" s="1"/>
  <c r="B288" i="4"/>
  <c r="C288" i="4" s="1"/>
  <c r="F288" i="4" s="1"/>
  <c r="B603" i="4"/>
  <c r="C603" i="4" s="1"/>
  <c r="F603" i="4" s="1"/>
  <c r="D259" i="4"/>
  <c r="D105" i="4"/>
  <c r="D576" i="4"/>
  <c r="D476" i="4"/>
  <c r="B185" i="4"/>
  <c r="C185" i="4" s="1"/>
  <c r="F185" i="4" s="1"/>
  <c r="B235" i="4"/>
  <c r="C235" i="4" s="1"/>
  <c r="F235" i="4" s="1"/>
  <c r="B598" i="4"/>
  <c r="C598" i="4" s="1"/>
  <c r="F598" i="4" s="1"/>
  <c r="B432" i="4"/>
  <c r="C432" i="4" s="1"/>
  <c r="F432" i="4" s="1"/>
  <c r="B11" i="4"/>
  <c r="C11" i="4" s="1"/>
  <c r="F11" i="4" s="1"/>
  <c r="B509" i="4"/>
  <c r="C509" i="4" s="1"/>
  <c r="F509" i="4" s="1"/>
  <c r="B385" i="4"/>
  <c r="C385" i="4" s="1"/>
  <c r="F385" i="4" s="1"/>
  <c r="D157" i="4"/>
  <c r="D178" i="4"/>
  <c r="D366" i="4"/>
  <c r="D347" i="4"/>
  <c r="B256" i="4"/>
  <c r="C256" i="4" s="1"/>
  <c r="F256" i="4" s="1"/>
  <c r="B464" i="4"/>
  <c r="C464" i="4" s="1"/>
  <c r="F464" i="4" s="1"/>
  <c r="B466" i="4"/>
  <c r="C466" i="4" s="1"/>
  <c r="F466" i="4" s="1"/>
  <c r="B459" i="4"/>
  <c r="C459" i="4" s="1"/>
  <c r="F459" i="4" s="1"/>
  <c r="B444" i="4"/>
  <c r="C444" i="4" s="1"/>
  <c r="F444" i="4" s="1"/>
  <c r="B201" i="4"/>
  <c r="C201" i="4" s="1"/>
  <c r="F201" i="4" s="1"/>
  <c r="D59" i="4"/>
  <c r="D293" i="4"/>
  <c r="D545" i="4"/>
  <c r="D532" i="4"/>
  <c r="D153" i="4"/>
  <c r="B91" i="4"/>
  <c r="C91" i="4" s="1"/>
  <c r="F91" i="4" s="1"/>
  <c r="B317" i="4"/>
  <c r="C317" i="4" s="1"/>
  <c r="F317" i="4" s="1"/>
  <c r="B35" i="4"/>
  <c r="C35" i="4" s="1"/>
  <c r="F35" i="4" s="1"/>
  <c r="B192" i="4"/>
  <c r="C192" i="4" s="1"/>
  <c r="F192" i="4" s="1"/>
  <c r="B112" i="4"/>
  <c r="C112" i="4" s="1"/>
  <c r="F112" i="4" s="1"/>
  <c r="B549" i="4"/>
  <c r="C549" i="4" s="1"/>
  <c r="F549" i="4" s="1"/>
  <c r="D477" i="4"/>
  <c r="D602" i="4"/>
  <c r="D18" i="4"/>
  <c r="D482" i="4"/>
  <c r="D57" i="4"/>
  <c r="D221" i="4"/>
  <c r="D243" i="4"/>
  <c r="D104" i="4"/>
  <c r="D193" i="4"/>
  <c r="D362" i="4"/>
  <c r="D560" i="4"/>
  <c r="D468" i="4"/>
  <c r="D112" i="4"/>
  <c r="D549" i="4"/>
  <c r="D200" i="4"/>
  <c r="D374" i="4"/>
  <c r="D312" i="4"/>
  <c r="D241" i="4"/>
  <c r="D525" i="4"/>
  <c r="D173" i="4"/>
  <c r="B515" i="4"/>
  <c r="C515" i="4" s="1"/>
  <c r="F515" i="4" s="1"/>
  <c r="B421" i="4"/>
  <c r="C421" i="4" s="1"/>
  <c r="F421" i="4" s="1"/>
  <c r="B52" i="4"/>
  <c r="C52" i="4" s="1"/>
  <c r="F52" i="4" s="1"/>
  <c r="B437" i="4"/>
  <c r="C437" i="4" s="1"/>
  <c r="F437" i="4" s="1"/>
  <c r="B200" i="4"/>
  <c r="C200" i="4" s="1"/>
  <c r="F200" i="4" s="1"/>
  <c r="B374" i="4"/>
  <c r="C374" i="4" s="1"/>
  <c r="F374" i="4" s="1"/>
  <c r="D461" i="4"/>
  <c r="D231" i="4"/>
  <c r="D337" i="4"/>
  <c r="D474" i="4"/>
  <c r="B81" i="4"/>
  <c r="C81" i="4" s="1"/>
  <c r="F81" i="4" s="1"/>
  <c r="B597" i="4"/>
  <c r="C597" i="4" s="1"/>
  <c r="F597" i="4" s="1"/>
  <c r="B383" i="4"/>
  <c r="C383" i="4" s="1"/>
  <c r="F383" i="4" s="1"/>
  <c r="B209" i="4"/>
  <c r="C209" i="4" s="1"/>
  <c r="F209" i="4" s="1"/>
  <c r="B517" i="4"/>
  <c r="C517" i="4" s="1"/>
  <c r="F517" i="4" s="1"/>
  <c r="B17" i="4"/>
  <c r="C17" i="4" s="1"/>
  <c r="F17" i="4" s="1"/>
  <c r="D388" i="4"/>
  <c r="D48" i="4"/>
  <c r="D131" i="4"/>
  <c r="D472" i="4"/>
  <c r="D28" i="4"/>
  <c r="B321" i="4"/>
  <c r="C321" i="4" s="1"/>
  <c r="F321" i="4" s="1"/>
  <c r="B134" i="4"/>
  <c r="C134" i="4" s="1"/>
  <c r="F134" i="4" s="1"/>
  <c r="B530" i="4"/>
  <c r="C530" i="4" s="1"/>
  <c r="F530" i="4" s="1"/>
  <c r="B149" i="4"/>
  <c r="C149" i="4" s="1"/>
  <c r="F149" i="4" s="1"/>
  <c r="B525" i="4"/>
  <c r="C525" i="4" s="1"/>
  <c r="F525" i="4" s="1"/>
  <c r="B173" i="4"/>
  <c r="C173" i="4" s="1"/>
  <c r="F173" i="4" s="1"/>
  <c r="D590" i="4"/>
  <c r="D115" i="4"/>
  <c r="D512" i="4"/>
  <c r="D601" i="4"/>
  <c r="B110" i="4"/>
  <c r="C110" i="4" s="1"/>
  <c r="F110" i="4" s="1"/>
  <c r="B264" i="4"/>
  <c r="C264" i="4" s="1"/>
  <c r="F264" i="4" s="1"/>
  <c r="B125" i="4"/>
  <c r="C125" i="4" s="1"/>
  <c r="F125" i="4" s="1"/>
  <c r="B327" i="4"/>
  <c r="C327" i="4" s="1"/>
  <c r="F327" i="4" s="1"/>
  <c r="B582" i="4"/>
  <c r="C582" i="4" s="1"/>
  <c r="F582" i="4" s="1"/>
  <c r="B191" i="4"/>
  <c r="C191" i="4" s="1"/>
  <c r="F191" i="4" s="1"/>
  <c r="D557" i="4"/>
  <c r="D159" i="4"/>
  <c r="D6" i="4"/>
  <c r="D217" i="4"/>
  <c r="D282" i="4"/>
  <c r="B454" i="4"/>
  <c r="C454" i="4" s="1"/>
  <c r="F454" i="4" s="1"/>
  <c r="B62" i="4"/>
  <c r="C62" i="4" s="1"/>
  <c r="F62" i="4" s="1"/>
  <c r="B523" i="4"/>
  <c r="C523" i="4" s="1"/>
  <c r="F523" i="4" s="1"/>
  <c r="B77" i="4"/>
  <c r="C77" i="4" s="1"/>
  <c r="F77" i="4" s="1"/>
  <c r="B218" i="4"/>
  <c r="C218" i="4" s="1"/>
  <c r="F218" i="4" s="1"/>
  <c r="D378" i="4"/>
  <c r="D460" i="4"/>
  <c r="D410" i="4"/>
  <c r="D198" i="4"/>
  <c r="B451" i="4"/>
  <c r="C451" i="4" s="1"/>
  <c r="F451" i="4" s="1"/>
  <c r="B580" i="4"/>
  <c r="C580" i="4" s="1"/>
  <c r="F580" i="4" s="1"/>
  <c r="B223" i="4"/>
  <c r="C223" i="4" s="1"/>
  <c r="F223" i="4" s="1"/>
  <c r="B233" i="4"/>
  <c r="C233" i="4" s="1"/>
  <c r="F233" i="4" s="1"/>
  <c r="B470" i="4"/>
  <c r="C470" i="4" s="1"/>
  <c r="F470" i="4" s="1"/>
  <c r="B8" i="4"/>
  <c r="C8" i="4" s="1"/>
  <c r="F8" i="4" s="1"/>
  <c r="B118" i="4"/>
  <c r="C118" i="4" s="1"/>
  <c r="F118" i="4" s="1"/>
  <c r="D155" i="4"/>
  <c r="D440" i="4"/>
  <c r="D542" i="4"/>
  <c r="D301" i="4"/>
  <c r="B427" i="4"/>
  <c r="C427" i="4" s="1"/>
  <c r="F427" i="4" s="1"/>
  <c r="B279" i="4"/>
  <c r="C279" i="4" s="1"/>
  <c r="F279" i="4" s="1"/>
  <c r="B257" i="4"/>
  <c r="C257" i="4" s="1"/>
  <c r="F257" i="4" s="1"/>
  <c r="B165" i="4"/>
  <c r="C165" i="4" s="1"/>
  <c r="F165" i="4" s="1"/>
  <c r="B272" i="4"/>
  <c r="C272" i="4" s="1"/>
  <c r="F272" i="4" s="1"/>
  <c r="B211" i="4"/>
  <c r="C211" i="4" s="1"/>
  <c r="F211" i="4" s="1"/>
  <c r="D354" i="4"/>
  <c r="D228" i="4"/>
  <c r="D431" i="4"/>
  <c r="D425" i="4"/>
  <c r="D570" i="4"/>
  <c r="B270" i="4"/>
  <c r="C270" i="4" s="1"/>
  <c r="F270" i="4" s="1"/>
  <c r="B286" i="4"/>
  <c r="C286" i="4" s="1"/>
  <c r="F286" i="4" s="1"/>
  <c r="B41" i="4"/>
  <c r="C41" i="4" s="1"/>
  <c r="F41" i="4" s="1"/>
  <c r="B519" i="4"/>
  <c r="C519" i="4" s="1"/>
  <c r="F519" i="4" s="1"/>
  <c r="B262" i="4"/>
  <c r="C262" i="4" s="1"/>
  <c r="F262" i="4" s="1"/>
  <c r="B518" i="4"/>
  <c r="C518" i="4" s="1"/>
  <c r="F518" i="4" s="1"/>
  <c r="D569" i="4"/>
  <c r="D583" i="4"/>
  <c r="D350" i="4"/>
  <c r="D234" i="4"/>
  <c r="D581" i="4"/>
  <c r="D40" i="4"/>
  <c r="D288" i="4"/>
  <c r="D603" i="4"/>
  <c r="D19" i="4"/>
  <c r="D494" i="4"/>
  <c r="D487" i="4"/>
  <c r="D306" i="4"/>
  <c r="D262" i="4"/>
  <c r="D518" i="4"/>
  <c r="D67" i="4"/>
  <c r="D381" i="4"/>
  <c r="D181" i="4"/>
  <c r="D42" i="4"/>
  <c r="D292" i="4"/>
  <c r="D329" i="4"/>
  <c r="B294" i="4"/>
  <c r="C294" i="4" s="1"/>
  <c r="F294" i="4" s="1"/>
  <c r="B249" i="4"/>
  <c r="C249" i="4" s="1"/>
  <c r="F249" i="4" s="1"/>
  <c r="B67" i="4"/>
  <c r="C67" i="4" s="1"/>
  <c r="F67" i="4" s="1"/>
  <c r="B381" i="4"/>
  <c r="C381" i="4" s="1"/>
  <c r="F381" i="4" s="1"/>
  <c r="D480" i="4"/>
  <c r="D481" i="4"/>
  <c r="D558" i="4"/>
  <c r="D49" i="4"/>
  <c r="B577" i="4"/>
  <c r="C577" i="4" s="1"/>
  <c r="F577" i="4" s="1"/>
  <c r="B335" i="4"/>
  <c r="C335" i="4" s="1"/>
  <c r="F335" i="4" s="1"/>
  <c r="B475" i="4"/>
  <c r="C475" i="4" s="1"/>
  <c r="F475" i="4" s="1"/>
  <c r="B371" i="4"/>
  <c r="C371" i="4" s="1"/>
  <c r="F371" i="4" s="1"/>
  <c r="B584" i="4"/>
  <c r="C584" i="4" s="1"/>
  <c r="F584" i="4" s="1"/>
  <c r="B172" i="4"/>
  <c r="C172" i="4" s="1"/>
  <c r="F172" i="4" s="1"/>
  <c r="D308" i="4"/>
  <c r="D161" i="4"/>
  <c r="D384" i="4"/>
  <c r="D313" i="4"/>
  <c r="B400" i="4"/>
  <c r="C400" i="4" s="1"/>
  <c r="F400" i="4" s="1"/>
  <c r="B215" i="4"/>
  <c r="C215" i="4" s="1"/>
  <c r="F215" i="4" s="1"/>
  <c r="B137" i="4"/>
  <c r="C137" i="4" s="1"/>
  <c r="F137" i="4" s="1"/>
  <c r="B407" i="4"/>
  <c r="C407" i="4" s="1"/>
  <c r="F407" i="4" s="1"/>
  <c r="B435" i="4"/>
  <c r="C435" i="4" s="1"/>
  <c r="F435" i="4" s="1"/>
  <c r="B292" i="4"/>
  <c r="C292" i="4" s="1"/>
  <c r="F292" i="4" s="1"/>
  <c r="B329" i="4"/>
  <c r="C329" i="4" s="1"/>
  <c r="F329" i="4" s="1"/>
  <c r="D299" i="4"/>
  <c r="D78" i="4"/>
  <c r="D111" i="4"/>
  <c r="D491" i="4"/>
  <c r="B240" i="4"/>
  <c r="C240" i="4" s="1"/>
  <c r="F240" i="4" s="1"/>
  <c r="B428" i="4"/>
  <c r="C428" i="4" s="1"/>
  <c r="F428" i="4" s="1"/>
  <c r="B97" i="4"/>
  <c r="C97" i="4" s="1"/>
  <c r="F97" i="4" s="1"/>
  <c r="B310" i="4"/>
  <c r="C310" i="4" s="1"/>
  <c r="F310" i="4" s="1"/>
  <c r="B526" i="4"/>
  <c r="C526" i="4" s="1"/>
  <c r="F526" i="4" s="1"/>
  <c r="B588" i="4"/>
  <c r="C588" i="4" s="1"/>
  <c r="F588" i="4" s="1"/>
  <c r="D538" i="4"/>
  <c r="D127" i="4"/>
  <c r="D554" i="4"/>
  <c r="D572" i="4"/>
  <c r="D439" i="4"/>
  <c r="B563" i="4"/>
  <c r="C563" i="4" s="1"/>
  <c r="F563" i="4" s="1"/>
  <c r="B514" i="4"/>
  <c r="C514" i="4" s="1"/>
  <c r="F514" i="4" s="1"/>
  <c r="B564" i="4"/>
  <c r="C564" i="4" s="1"/>
  <c r="F564" i="4" s="1"/>
  <c r="B502" i="4"/>
  <c r="C502" i="4" s="1"/>
  <c r="F502" i="4" s="1"/>
  <c r="B395" i="4"/>
  <c r="C395" i="4" s="1"/>
  <c r="F395" i="4" s="1"/>
  <c r="B277" i="4"/>
  <c r="C277" i="4" s="1"/>
  <c r="F277" i="4" s="1"/>
  <c r="D247" i="4"/>
  <c r="D536" i="4"/>
  <c r="D604" i="4"/>
  <c r="D323" i="4"/>
  <c r="B258" i="4"/>
  <c r="C258" i="4" s="1"/>
  <c r="F258" i="4" s="1"/>
  <c r="B353" i="4"/>
  <c r="C353" i="4" s="1"/>
  <c r="F353" i="4" s="1"/>
  <c r="B186" i="4"/>
  <c r="C186" i="4" s="1"/>
  <c r="F186" i="4" s="1"/>
  <c r="B43" i="4"/>
  <c r="C43" i="4" s="1"/>
  <c r="F43" i="4" s="1"/>
  <c r="B439" i="4"/>
  <c r="C439" i="4" s="1"/>
  <c r="F439" i="4" s="1"/>
  <c r="B99" i="4"/>
  <c r="C99" i="4" s="1"/>
  <c r="F99" i="4" s="1"/>
  <c r="D185" i="4"/>
  <c r="D235" i="4"/>
  <c r="D598" i="4"/>
  <c r="D432" i="4"/>
  <c r="D11" i="4"/>
  <c r="B369" i="4"/>
  <c r="C369" i="4" s="1"/>
  <c r="F369" i="4" s="1"/>
  <c r="B548" i="4"/>
  <c r="C548" i="4" s="1"/>
  <c r="F548" i="4" s="1"/>
  <c r="B184" i="4"/>
  <c r="C184" i="4" s="1"/>
  <c r="F184" i="4" s="1"/>
  <c r="B319" i="4"/>
  <c r="C319" i="4" s="1"/>
  <c r="F319" i="4" s="1"/>
  <c r="B199" i="4"/>
  <c r="C199" i="4" s="1"/>
  <c r="F199" i="4" s="1"/>
  <c r="B303" i="4"/>
  <c r="C303" i="4" s="1"/>
  <c r="F303" i="4" s="1"/>
  <c r="D256" i="4"/>
  <c r="D464" i="4"/>
  <c r="D466" i="4"/>
  <c r="D459" i="4"/>
  <c r="B325" i="4"/>
  <c r="C325" i="4" s="1"/>
  <c r="F325" i="4" s="1"/>
  <c r="B540" i="4"/>
  <c r="C540" i="4" s="1"/>
  <c r="F540" i="4" s="1"/>
  <c r="B168" i="4"/>
  <c r="C168" i="4" s="1"/>
  <c r="F168" i="4" s="1"/>
  <c r="B150" i="4"/>
  <c r="C150" i="4" s="1"/>
  <c r="F150" i="4" s="1"/>
  <c r="B412" i="4"/>
  <c r="C412" i="4" s="1"/>
  <c r="F412" i="4" s="1"/>
  <c r="B314" i="4"/>
  <c r="C314" i="4" s="1"/>
  <c r="F314" i="4" s="1"/>
  <c r="B322" i="4"/>
  <c r="C322" i="4" s="1"/>
  <c r="F322" i="4" s="1"/>
  <c r="D91" i="4"/>
  <c r="D317" i="4"/>
  <c r="D35" i="4"/>
  <c r="D192" i="4"/>
  <c r="D113" i="4"/>
  <c r="D64" i="4"/>
  <c r="D218" i="4"/>
  <c r="D20" i="4"/>
  <c r="D497" i="4"/>
  <c r="D251" i="4"/>
  <c r="D204" i="4"/>
  <c r="D314" i="4"/>
  <c r="D322" i="4"/>
  <c r="D550" i="4"/>
  <c r="D456" i="4"/>
  <c r="D553" i="4"/>
  <c r="D413" i="4"/>
  <c r="C456" i="4"/>
  <c r="F456" i="4" s="1"/>
  <c r="C351" i="4"/>
  <c r="F351" i="4" s="1"/>
  <c r="C204" i="4"/>
  <c r="F204" i="4" s="1"/>
  <c r="C281" i="4"/>
  <c r="F281" i="4" s="1"/>
  <c r="C333" i="4"/>
  <c r="F333" i="4" s="1"/>
  <c r="C376" i="4"/>
  <c r="F376" i="4" s="1"/>
  <c r="C494" i="4"/>
  <c r="F494" i="4" s="1"/>
  <c r="C510" i="4"/>
  <c r="F510" i="4" s="1"/>
  <c r="C253" i="4"/>
  <c r="F253" i="4" s="1"/>
  <c r="C500" i="4"/>
  <c r="F500" i="4" s="1"/>
  <c r="C145" i="4"/>
  <c r="F145" i="4" s="1"/>
  <c r="C105" i="4"/>
  <c r="F105" i="4" s="1"/>
  <c r="C555" i="4"/>
  <c r="F555" i="4" s="1"/>
  <c r="C297" i="4"/>
  <c r="F297" i="4" s="1"/>
  <c r="C344" i="4"/>
  <c r="F344" i="4" s="1"/>
  <c r="C503" i="4"/>
  <c r="F503" i="4" s="1"/>
  <c r="C164" i="4"/>
  <c r="F164" i="4" s="1"/>
  <c r="C405" i="4"/>
  <c r="F405" i="4" s="1"/>
  <c r="C44" i="4"/>
  <c r="F44" i="4" s="1"/>
  <c r="C210" i="4"/>
  <c r="F210" i="4" s="1"/>
  <c r="C443" i="4"/>
  <c r="F443" i="4" s="1"/>
  <c r="C489" i="4"/>
  <c r="F489" i="4" s="1"/>
  <c r="C579" i="4"/>
  <c r="F579" i="4" s="1"/>
  <c r="C229" i="4"/>
  <c r="F229" i="4" s="1"/>
  <c r="C159" i="4"/>
  <c r="F159" i="4" s="1"/>
  <c r="C157" i="4"/>
  <c r="F157" i="4" s="1"/>
  <c r="C422" i="4"/>
  <c r="F422" i="4" s="1"/>
  <c r="C28" i="4"/>
  <c r="F28" i="4" s="1"/>
  <c r="C230" i="4"/>
  <c r="F230" i="4" s="1"/>
  <c r="C251" i="4"/>
  <c r="F251" i="4" s="1"/>
  <c r="C366" i="4"/>
  <c r="F366" i="4" s="1"/>
  <c r="C193" i="4"/>
  <c r="F193" i="4" s="1"/>
  <c r="C413" i="4"/>
  <c r="F413" i="4" s="1"/>
  <c r="C529" i="4"/>
  <c r="F529" i="4" s="1"/>
  <c r="C415" i="4"/>
  <c r="F415" i="4" s="1"/>
  <c r="C595" i="4"/>
  <c r="F595" i="4" s="1"/>
  <c r="C491" i="4"/>
  <c r="F491" i="4" s="1"/>
  <c r="C307" i="4"/>
  <c r="F307" i="4" s="1"/>
  <c r="C355" i="4"/>
  <c r="F355" i="4" s="1"/>
  <c r="C171" i="4"/>
  <c r="F171" i="4" s="1"/>
  <c r="C455" i="4"/>
  <c r="F455" i="4" s="1"/>
  <c r="C152" i="4"/>
  <c r="F152" i="4" s="1"/>
  <c r="C346" i="4"/>
  <c r="F346" i="4" s="1"/>
  <c r="C40" i="4"/>
  <c r="F40" i="4" s="1"/>
  <c r="C340" i="4"/>
  <c r="F340" i="4" s="1"/>
  <c r="C299" i="4"/>
  <c r="F299" i="4" s="1"/>
  <c r="C33" i="4"/>
  <c r="F33" i="4" s="1"/>
  <c r="C318" i="4"/>
  <c r="F318" i="4" s="1"/>
  <c r="C25" i="4"/>
  <c r="F25" i="4" s="1"/>
  <c r="C79" i="4"/>
  <c r="F79" i="4" s="1"/>
  <c r="C480" i="4"/>
  <c r="F480" i="4" s="1"/>
  <c r="C568" i="4"/>
  <c r="F568" i="4" s="1"/>
  <c r="C512" i="4"/>
  <c r="F512" i="4" s="1"/>
  <c r="C124" i="4"/>
  <c r="F124" i="4" s="1"/>
  <c r="C570" i="4"/>
  <c r="F570" i="4" s="1"/>
  <c r="C182" i="4"/>
  <c r="F182" i="4" s="1"/>
  <c r="C129" i="4"/>
  <c r="F129" i="4" s="1"/>
  <c r="C302" i="4"/>
  <c r="F302" i="4" s="1"/>
  <c r="C581" i="4"/>
  <c r="F581" i="4" s="1"/>
  <c r="C38" i="4"/>
  <c r="F38" i="4" s="1"/>
  <c r="C69" i="4"/>
  <c r="F69" i="4" s="1"/>
  <c r="C306" i="4"/>
  <c r="F306" i="4" s="1"/>
  <c r="C267" i="4"/>
  <c r="F267" i="4" s="1"/>
  <c r="C23" i="4"/>
  <c r="F23" i="4" s="1"/>
  <c r="C361" i="4"/>
  <c r="F361" i="4" s="1"/>
  <c r="C53" i="4"/>
  <c r="F53" i="4" s="1"/>
  <c r="C380" i="4"/>
  <c r="F380" i="4" s="1"/>
  <c r="C387" i="4"/>
  <c r="F387" i="4" s="1"/>
  <c r="C338" i="4"/>
  <c r="F338" i="4" s="1"/>
  <c r="C104" i="4"/>
  <c r="F104" i="4" s="1"/>
  <c r="C528" i="4"/>
  <c r="F528" i="4" s="1"/>
  <c r="C57" i="4"/>
  <c r="F57" i="4" s="1"/>
  <c r="C532" i="4"/>
  <c r="F532" i="4" s="1"/>
  <c r="C360" i="4"/>
  <c r="F360" i="4" s="1"/>
  <c r="C399" i="4"/>
  <c r="F399" i="4" s="1"/>
  <c r="C389" i="4"/>
  <c r="F389" i="4" s="1"/>
  <c r="C94" i="4"/>
  <c r="F94" i="4" s="1"/>
  <c r="C336" i="4"/>
  <c r="F336" i="4" s="1"/>
  <c r="C180" i="4"/>
  <c r="F180" i="4" s="1"/>
  <c r="C373" i="4"/>
  <c r="F373" i="4" s="1"/>
  <c r="C252" i="4"/>
  <c r="F252" i="4" s="1"/>
  <c r="C416" i="4"/>
  <c r="F416" i="4" s="1"/>
  <c r="C477" i="4"/>
  <c r="F477" i="4" s="1"/>
  <c r="C153" i="4"/>
  <c r="F153" i="4" s="1"/>
  <c r="C29" i="4"/>
  <c r="F29" i="4" s="1"/>
  <c r="C296" i="4"/>
  <c r="F296" i="4" s="1"/>
  <c r="C557" i="4"/>
  <c r="F557" i="4" s="1"/>
  <c r="C61" i="4"/>
  <c r="F61" i="4" s="1"/>
  <c r="C556" i="4"/>
  <c r="F556" i="4" s="1"/>
  <c r="C203" i="4"/>
  <c r="F203" i="4" s="1"/>
  <c r="C552" i="4"/>
  <c r="F552" i="4" s="1"/>
  <c r="C48" i="4"/>
  <c r="F48" i="4" s="1"/>
  <c r="C30" i="4"/>
  <c r="F30" i="4" s="1"/>
  <c r="C280" i="4"/>
  <c r="F280" i="4" s="1"/>
  <c r="C285" i="4"/>
  <c r="F285" i="4" s="1"/>
  <c r="C316" i="4"/>
  <c r="F316" i="4" s="1"/>
  <c r="C442" i="4"/>
  <c r="F442" i="4" s="1"/>
  <c r="C546" i="4"/>
  <c r="F546" i="4" s="1"/>
  <c r="C505" i="4"/>
  <c r="F505" i="4" s="1"/>
  <c r="C476" i="4"/>
  <c r="F476" i="4" s="1"/>
  <c r="C63" i="4"/>
  <c r="F63" i="4" s="1"/>
  <c r="C170" i="4"/>
  <c r="F170" i="4" s="1"/>
  <c r="C255" i="4"/>
  <c r="F255" i="4" s="1"/>
  <c r="C113" i="4"/>
  <c r="F113" i="4" s="1"/>
  <c r="C372" i="4"/>
  <c r="F372" i="4" s="1"/>
  <c r="C462" i="4"/>
  <c r="F462" i="4" s="1"/>
  <c r="C504" i="4"/>
  <c r="F504" i="4" s="1"/>
  <c r="C72" i="4"/>
  <c r="F72" i="4" s="1"/>
  <c r="C562" i="4"/>
  <c r="F562" i="4" s="1"/>
  <c r="C312" i="4"/>
  <c r="F312" i="4" s="1"/>
  <c r="C232" i="4"/>
  <c r="F232" i="4" s="1"/>
  <c r="C300" i="4"/>
  <c r="F300" i="4" s="1"/>
  <c r="C154" i="4"/>
  <c r="F154" i="4" s="1"/>
  <c r="C487" i="4"/>
  <c r="F487" i="4" s="1"/>
  <c r="C206" i="4"/>
  <c r="F206" i="4" s="1"/>
  <c r="C42" i="4"/>
  <c r="F42" i="4" s="1"/>
  <c r="C82" i="4"/>
  <c r="F82" i="4" s="1"/>
  <c r="C64" i="4"/>
  <c r="F64" i="4" s="1"/>
  <c r="C132" i="4"/>
  <c r="F132" i="4" s="1"/>
  <c r="C18" i="4"/>
  <c r="F18" i="4" s="1"/>
  <c r="C298" i="4"/>
  <c r="F298" i="4" s="1"/>
  <c r="C460" i="4"/>
  <c r="F460" i="4" s="1"/>
  <c r="C496" i="4"/>
  <c r="F496" i="4" s="1"/>
  <c r="C263" i="4"/>
  <c r="F263" i="4" s="1"/>
  <c r="C27" i="4"/>
  <c r="F27" i="4" s="1"/>
  <c r="C194" i="4"/>
  <c r="F194" i="4" s="1"/>
  <c r="C148" i="4"/>
  <c r="F148" i="4" s="1"/>
  <c r="C542" i="4"/>
  <c r="F542" i="4" s="1"/>
  <c r="C16" i="4"/>
  <c r="F16" i="4" s="1"/>
  <c r="C56" i="4"/>
  <c r="F56" i="4" s="1"/>
  <c r="C426" i="4"/>
  <c r="F426" i="4" s="1"/>
  <c r="C305" i="4"/>
  <c r="F305" i="4" s="1"/>
  <c r="C55" i="4"/>
  <c r="F55" i="4" s="1"/>
  <c r="C397" i="4"/>
  <c r="F397" i="4" s="1"/>
  <c r="C602" i="4"/>
  <c r="F602" i="4" s="1"/>
  <c r="C516" i="4"/>
  <c r="F516" i="4" s="1"/>
  <c r="C550" i="4"/>
  <c r="F550" i="4" s="1"/>
  <c r="C332" i="4"/>
  <c r="F332" i="4" s="1"/>
  <c r="C450" i="4"/>
  <c r="F450" i="4" s="1"/>
  <c r="C446" i="4"/>
  <c r="F446" i="4" s="1"/>
  <c r="C65" i="4"/>
  <c r="F65" i="4" s="1"/>
  <c r="C142" i="4"/>
  <c r="F142" i="4" s="1"/>
  <c r="C486" i="4"/>
  <c r="F486" i="4" s="1"/>
  <c r="C98" i="4"/>
  <c r="F98" i="4" s="1"/>
  <c r="C463" i="4"/>
  <c r="F463" i="4" s="1"/>
  <c r="C271" i="4"/>
  <c r="F271" i="4" s="1"/>
  <c r="C524" i="4"/>
  <c r="F524" i="4" s="1"/>
  <c r="C576" i="4"/>
  <c r="F576" i="4" s="1"/>
  <c r="C560" i="4"/>
  <c r="F560" i="4" s="1"/>
  <c r="C596" i="4"/>
  <c r="F596" i="4" s="1"/>
  <c r="C573" i="4"/>
  <c r="F573" i="4" s="1"/>
  <c r="C95" i="4"/>
  <c r="F95" i="4" s="1"/>
  <c r="C24" i="4"/>
  <c r="F24" i="4" s="1"/>
  <c r="C394" i="4"/>
  <c r="F394" i="4" s="1"/>
  <c r="C408" i="4"/>
  <c r="F408" i="4" s="1"/>
  <c r="C328" i="4"/>
  <c r="F328" i="4" s="1"/>
  <c r="C363" i="4"/>
  <c r="F363" i="4" s="1"/>
  <c r="C357" i="4"/>
  <c r="F357" i="4" s="1"/>
  <c r="C236" i="4"/>
  <c r="F236" i="4" s="1"/>
  <c r="C59" i="4"/>
  <c r="F59" i="4" s="1"/>
  <c r="C309" i="4"/>
  <c r="F309" i="4" s="1"/>
  <c r="C207" i="4"/>
  <c r="F207" i="4" s="1"/>
  <c r="C208" i="4"/>
  <c r="F208" i="4" s="1"/>
  <c r="C261" i="4"/>
  <c r="F261" i="4" s="1"/>
  <c r="C227" i="4"/>
  <c r="F227" i="4" s="1"/>
  <c r="C334" i="4"/>
  <c r="F334" i="4" s="1"/>
  <c r="C213" i="4"/>
  <c r="F213" i="4" s="1"/>
  <c r="C511" i="4"/>
  <c r="F511" i="4" s="1"/>
  <c r="C228" i="4"/>
  <c r="F228" i="4" s="1"/>
  <c r="C19" i="4"/>
  <c r="F19" i="4" s="1"/>
  <c r="C259" i="4"/>
  <c r="F259" i="4" s="1"/>
  <c r="C32" i="4"/>
  <c r="F32" i="4" s="1"/>
  <c r="C326" i="4"/>
  <c r="F326" i="4" s="1"/>
  <c r="C601" i="4"/>
  <c r="F601" i="4" s="1"/>
  <c r="C181" i="4"/>
  <c r="F181" i="4" s="1"/>
  <c r="C452" i="4"/>
  <c r="F452" i="4" s="1"/>
  <c r="C547" i="4"/>
  <c r="F547" i="4" s="1"/>
  <c r="C343" i="4"/>
  <c r="F343" i="4" s="1"/>
  <c r="C359" i="4"/>
  <c r="F359" i="4" s="1"/>
  <c r="C377" i="4"/>
  <c r="F377" i="4" s="1"/>
  <c r="C401" i="4"/>
  <c r="F401" i="4" s="1"/>
  <c r="M6" i="4" l="1"/>
  <c r="G257" i="4" s="1"/>
  <c r="M8" i="4"/>
  <c r="G137" i="4" l="1"/>
  <c r="G186" i="4"/>
  <c r="G180" i="4"/>
  <c r="G149" i="4"/>
  <c r="G597" i="4"/>
  <c r="G530" i="4"/>
  <c r="G264" i="4"/>
  <c r="G515" i="4"/>
  <c r="G421" i="4"/>
  <c r="G62" i="4"/>
  <c r="G110" i="4"/>
  <c r="G470" i="4"/>
  <c r="G125" i="4"/>
  <c r="G81" i="4"/>
  <c r="G385" i="4"/>
  <c r="G233" i="4"/>
  <c r="G279" i="4"/>
  <c r="G434" i="4"/>
  <c r="G238" i="4"/>
  <c r="G453" i="4"/>
  <c r="G522" i="4"/>
  <c r="G483" i="4"/>
  <c r="G449" i="4"/>
  <c r="G594" i="4"/>
  <c r="G424" i="4"/>
  <c r="G567" i="4"/>
  <c r="G121" i="4"/>
  <c r="G128" i="4"/>
  <c r="G89" i="4"/>
  <c r="G190" i="4"/>
  <c r="G242" i="4"/>
  <c r="G179" i="4"/>
  <c r="G139" i="4"/>
  <c r="G600" i="4"/>
  <c r="G418" i="4"/>
  <c r="G591" i="4"/>
  <c r="G287" i="4"/>
  <c r="G130" i="4"/>
  <c r="G245" i="4"/>
  <c r="G102" i="4"/>
  <c r="G508" i="4"/>
  <c r="G498" i="4"/>
  <c r="G21" i="4"/>
  <c r="G311" i="4"/>
  <c r="G216" i="4"/>
  <c r="G392" i="4"/>
  <c r="G76" i="4"/>
  <c r="G533" i="4"/>
  <c r="G70" i="4"/>
  <c r="G248" i="4"/>
  <c r="G254" i="4"/>
  <c r="G404" i="4"/>
  <c r="G244" i="4"/>
  <c r="G176" i="4"/>
  <c r="G527" i="4"/>
  <c r="G488" i="4"/>
  <c r="G45" i="4"/>
  <c r="G342" i="4"/>
  <c r="G144" i="4"/>
  <c r="G599" i="4"/>
  <c r="G103" i="4"/>
  <c r="G188" i="4"/>
  <c r="G379" i="4"/>
  <c r="G90" i="4"/>
  <c r="G197" i="4"/>
  <c r="G283" i="4"/>
  <c r="G136" i="4"/>
  <c r="G177" i="4"/>
  <c r="G226" i="4"/>
  <c r="G448" i="4"/>
  <c r="G593" i="4"/>
  <c r="G411" i="4"/>
  <c r="G566" i="4"/>
  <c r="G433" i="4"/>
  <c r="G513" i="4"/>
  <c r="G135" i="4"/>
  <c r="G356" i="4"/>
  <c r="G592" i="4"/>
  <c r="G417" i="4"/>
  <c r="G266" i="4"/>
  <c r="G531" i="4"/>
  <c r="G133" i="4"/>
  <c r="G445" i="4"/>
  <c r="G10" i="4"/>
  <c r="M17" i="4" s="1"/>
  <c r="N17" i="4" s="1"/>
  <c r="G506" i="4"/>
  <c r="G403" i="4"/>
  <c r="G521" i="4"/>
  <c r="G406" i="4"/>
  <c r="G37" i="4"/>
  <c r="G330" i="4"/>
  <c r="G73" i="4"/>
  <c r="G544" i="4"/>
  <c r="G315" i="4"/>
  <c r="G276" i="4"/>
  <c r="G304" i="4"/>
  <c r="G214" i="4"/>
  <c r="G88" i="4"/>
  <c r="G368" i="4"/>
  <c r="G364" i="4"/>
  <c r="G367" i="4"/>
  <c r="G419" i="4"/>
  <c r="G158" i="4"/>
  <c r="G365" i="4"/>
  <c r="G14" i="4"/>
  <c r="G169" i="4"/>
  <c r="G26" i="4"/>
  <c r="G436" i="4"/>
  <c r="G409" i="4"/>
  <c r="G246" i="4"/>
  <c r="G429" i="4"/>
  <c r="G341" i="4"/>
  <c r="G541" i="4"/>
  <c r="G375" i="4"/>
  <c r="G473" i="4"/>
  <c r="G31" i="4"/>
  <c r="G331" i="4"/>
  <c r="G163" i="4"/>
  <c r="G120" i="4"/>
  <c r="G289" i="4"/>
  <c r="G605" i="4"/>
  <c r="G490" i="4"/>
  <c r="G122" i="4"/>
  <c r="G123" i="4"/>
  <c r="G239" i="4"/>
  <c r="G457" i="4"/>
  <c r="G87" i="4"/>
  <c r="G205" i="4"/>
  <c r="G386" i="4"/>
  <c r="G12" i="4"/>
  <c r="G84" i="4"/>
  <c r="G493" i="4"/>
  <c r="G146" i="4"/>
  <c r="G140" i="4"/>
  <c r="G273" i="4"/>
  <c r="G571" i="4"/>
  <c r="G534" i="4"/>
  <c r="G274" i="4"/>
  <c r="G478" i="4"/>
  <c r="G80" i="4"/>
  <c r="G414" i="4"/>
  <c r="G224" i="4"/>
  <c r="G393" i="4"/>
  <c r="G324" i="4"/>
  <c r="G438" i="4"/>
  <c r="G22" i="4"/>
  <c r="G587" i="4"/>
  <c r="G430" i="4"/>
  <c r="G47" i="4"/>
  <c r="G195" i="4"/>
  <c r="G465" i="4"/>
  <c r="G358" i="4"/>
  <c r="G578" i="4"/>
  <c r="G520" i="4"/>
  <c r="G492" i="4"/>
  <c r="G114" i="4"/>
  <c r="G100" i="4"/>
  <c r="G265" i="4"/>
  <c r="G219" i="4"/>
  <c r="G50" i="4"/>
  <c r="G160" i="4"/>
  <c r="G268" i="4"/>
  <c r="G85" i="4"/>
  <c r="G187" i="4"/>
  <c r="G499" i="4"/>
  <c r="G143" i="4"/>
  <c r="G225" i="4"/>
  <c r="G220" i="4"/>
  <c r="G7" i="4"/>
  <c r="G537" i="4"/>
  <c r="G535" i="4"/>
  <c r="G222" i="4"/>
  <c r="G93" i="4"/>
  <c r="G189" i="4"/>
  <c r="G589" i="4"/>
  <c r="G586" i="4"/>
  <c r="G290" i="4"/>
  <c r="G196" i="4"/>
  <c r="G15" i="4"/>
  <c r="G9" i="4"/>
  <c r="G284" i="4"/>
  <c r="G458" i="4"/>
  <c r="G501" i="4"/>
  <c r="G382" i="4"/>
  <c r="G447" i="4"/>
  <c r="G260" i="4"/>
  <c r="G106" i="4"/>
  <c r="G141" i="4"/>
  <c r="G543" i="4"/>
  <c r="G83" i="4"/>
  <c r="G278" i="4"/>
  <c r="G339" i="4"/>
  <c r="G391" i="4"/>
  <c r="G269" i="4"/>
  <c r="G539" i="4"/>
  <c r="G108" i="4"/>
  <c r="G441" i="4"/>
  <c r="G126" i="4"/>
  <c r="G352" i="4"/>
  <c r="G117" i="4"/>
  <c r="G68" i="4"/>
  <c r="G469" i="4"/>
  <c r="G559" i="4"/>
  <c r="G183" i="4"/>
  <c r="G320" i="4"/>
  <c r="G39" i="4"/>
  <c r="G390" i="4"/>
  <c r="G402" i="4"/>
  <c r="G119" i="4"/>
  <c r="G167" i="4"/>
  <c r="G147" i="4"/>
  <c r="G58" i="4"/>
  <c r="G237" i="4"/>
  <c r="G484" i="4"/>
  <c r="G34" i="4"/>
  <c r="G71" i="4"/>
  <c r="G75" i="4"/>
  <c r="G275" i="4"/>
  <c r="G212" i="4"/>
  <c r="G565" i="4"/>
  <c r="G101" i="4"/>
  <c r="G507" i="4"/>
  <c r="G251" i="4"/>
  <c r="G572" i="4"/>
  <c r="G48" i="4"/>
  <c r="G326" i="4"/>
  <c r="G547" i="4"/>
  <c r="G505" i="4"/>
  <c r="G317" i="4"/>
  <c r="G494" i="4"/>
  <c r="G57" i="4"/>
  <c r="G213" i="4"/>
  <c r="G495" i="4"/>
  <c r="G540" i="4"/>
  <c r="G480" i="4"/>
  <c r="G173" i="4"/>
  <c r="G588" i="4"/>
  <c r="G98" i="4"/>
  <c r="G27" i="4"/>
  <c r="G550" i="4"/>
  <c r="G431" i="4"/>
  <c r="G397" i="4"/>
  <c r="G53" i="4"/>
  <c r="G516" i="4"/>
  <c r="G182" i="4"/>
  <c r="G241" i="4"/>
  <c r="G74" i="4"/>
  <c r="G309" i="4"/>
  <c r="G369" i="4"/>
  <c r="G165" i="4"/>
  <c r="G323" i="4"/>
  <c r="G28" i="4"/>
  <c r="G500" i="4"/>
  <c r="G295" i="4"/>
  <c r="G336" i="4"/>
  <c r="G35" i="4"/>
  <c r="G472" i="4"/>
  <c r="G300" i="4"/>
  <c r="G227" i="4"/>
  <c r="G401" i="4"/>
  <c r="G49" i="4"/>
  <c r="G243" i="4"/>
  <c r="G236" i="4"/>
  <c r="G33" i="4"/>
  <c r="G86" i="4"/>
  <c r="G349" i="4"/>
  <c r="G580" i="4"/>
  <c r="G556" i="4"/>
  <c r="G52" i="4"/>
  <c r="G536" i="4"/>
  <c r="G308" i="4"/>
  <c r="G474" i="4"/>
  <c r="G372" i="4"/>
  <c r="G132" i="4"/>
  <c r="G568" i="4"/>
  <c r="G439" i="4"/>
  <c r="G583" i="4"/>
  <c r="G178" i="4"/>
  <c r="G380" i="4"/>
  <c r="G444" i="4"/>
  <c r="G319" i="4"/>
  <c r="G181" i="4"/>
  <c r="G468" i="4"/>
  <c r="G271" i="4"/>
  <c r="G232" i="4"/>
  <c r="G511" i="4"/>
  <c r="G64" i="4"/>
  <c r="G159" i="4"/>
  <c r="G585" i="4"/>
  <c r="G30" i="4"/>
  <c r="G359" i="4"/>
  <c r="G428" i="4"/>
  <c r="G362" i="4"/>
  <c r="G303" i="4"/>
  <c r="G357" i="4"/>
  <c r="G43" i="4"/>
  <c r="G454" i="4"/>
  <c r="G299" i="4"/>
  <c r="G312" i="4"/>
  <c r="G471" i="4"/>
  <c r="G582" i="4"/>
  <c r="G164" i="4"/>
  <c r="G185" i="4"/>
  <c r="G374" i="4"/>
  <c r="G575" i="4"/>
  <c r="G82" i="4"/>
  <c r="G302" i="4"/>
  <c r="G329" i="4"/>
  <c r="G293" i="4"/>
  <c r="G297" i="4"/>
  <c r="G328" i="4"/>
  <c r="G54" i="4"/>
  <c r="G335" i="4"/>
  <c r="G77" i="4"/>
  <c r="G24" i="4"/>
  <c r="G161" i="4"/>
  <c r="G558" i="4"/>
  <c r="G549" i="4"/>
  <c r="G450" i="4"/>
  <c r="G442" i="4"/>
  <c r="G55" i="4"/>
  <c r="G553" i="4"/>
  <c r="G570" i="4"/>
  <c r="G46" i="4"/>
  <c r="G443" i="4"/>
  <c r="G510" i="4"/>
  <c r="G456" i="4"/>
  <c r="G19" i="4"/>
  <c r="G482" i="4"/>
  <c r="G116" i="4"/>
  <c r="G207" i="4"/>
  <c r="G584" i="4"/>
  <c r="G256" i="4"/>
  <c r="G601" i="4"/>
  <c r="G526" i="4"/>
  <c r="G296" i="4"/>
  <c r="G355" i="4"/>
  <c r="G435" i="4"/>
  <c r="G602" i="4"/>
  <c r="G152" i="4"/>
  <c r="G44" i="4"/>
  <c r="G240" i="4"/>
  <c r="G327" i="4"/>
  <c r="G313" i="4"/>
  <c r="G193" i="4"/>
  <c r="G199" i="4"/>
  <c r="G496" i="4"/>
  <c r="G208" i="4"/>
  <c r="G604" i="4"/>
  <c r="G104" i="4"/>
  <c r="G291" i="4"/>
  <c r="G145" i="4"/>
  <c r="G334" i="4"/>
  <c r="G306" i="4"/>
  <c r="G347" i="4"/>
  <c r="G551" i="4"/>
  <c r="G387" i="4"/>
  <c r="G150" i="4"/>
  <c r="G249" i="4"/>
  <c r="G563" i="4"/>
  <c r="G321" i="4"/>
  <c r="G41" i="4"/>
  <c r="G261" i="4"/>
  <c r="G413" i="4"/>
  <c r="G292" i="4"/>
  <c r="G221" i="4"/>
  <c r="G463" i="4"/>
  <c r="G229" i="4"/>
  <c r="G210" i="4"/>
  <c r="G20" i="4"/>
  <c r="G460" i="4"/>
  <c r="G396" i="4"/>
  <c r="G467" i="4"/>
  <c r="G455" i="4"/>
  <c r="G218" i="4"/>
  <c r="G569" i="4"/>
  <c r="G157" i="4"/>
  <c r="G423" i="4"/>
  <c r="G399" i="4"/>
  <c r="G253" i="4"/>
  <c r="G432" i="4"/>
  <c r="G461" i="4"/>
  <c r="G65" i="4"/>
  <c r="G351" i="4"/>
  <c r="G92" i="4"/>
  <c r="G322" i="4"/>
  <c r="G153" i="4"/>
  <c r="G344" i="4"/>
  <c r="G360" i="4"/>
  <c r="G407" i="4"/>
  <c r="G288" i="4"/>
  <c r="G518" i="4"/>
  <c r="G477" i="4"/>
  <c r="G376" i="4"/>
  <c r="G79" i="4"/>
  <c r="G252" i="4"/>
  <c r="G384" i="4"/>
  <c r="G545" i="4"/>
  <c r="G485" i="4"/>
  <c r="G29" i="4"/>
  <c r="G412" i="4"/>
  <c r="G234" i="4"/>
  <c r="G96" i="4"/>
  <c r="G394" i="4"/>
  <c r="G596" i="4"/>
  <c r="G258" i="4"/>
  <c r="G170" i="4"/>
  <c r="G310" i="4"/>
  <c r="G209" i="4"/>
  <c r="G451" i="4"/>
  <c r="G25" i="4"/>
  <c r="G497" i="4"/>
  <c r="G487" i="4"/>
  <c r="G59" i="4"/>
  <c r="G203" i="4"/>
  <c r="G552" i="4"/>
  <c r="G420" i="4"/>
  <c r="G466" i="4"/>
  <c r="G217" i="4"/>
  <c r="G250" i="4"/>
  <c r="G162" i="4"/>
  <c r="G546" i="4"/>
  <c r="G464" i="4"/>
  <c r="G425" i="4"/>
  <c r="G476" i="4"/>
  <c r="G51" i="4"/>
  <c r="G99" i="4"/>
  <c r="G325" i="4"/>
  <c r="G538" i="4"/>
  <c r="G525" i="4"/>
  <c r="G16" i="4"/>
  <c r="G142" i="4"/>
  <c r="G281" i="4"/>
  <c r="G67" i="4"/>
  <c r="G105" i="4"/>
  <c r="G579" i="4"/>
  <c r="G524" i="4"/>
  <c r="G38" i="4"/>
  <c r="G228" i="4"/>
  <c r="G40" i="4"/>
  <c r="G532" i="4"/>
  <c r="G230" i="4"/>
  <c r="G56" i="4"/>
  <c r="G66" i="4"/>
  <c r="G262" i="4"/>
  <c r="G561" i="4"/>
  <c r="G338" i="4"/>
  <c r="G298" i="4"/>
  <c r="G353" i="4"/>
  <c r="G155" i="4"/>
  <c r="G109" i="4"/>
  <c r="G175" i="4"/>
  <c r="G166" i="4"/>
  <c r="G564" i="4"/>
  <c r="G462" i="4"/>
  <c r="G577" i="4"/>
  <c r="G523" i="4"/>
  <c r="G91" i="4"/>
  <c r="G350" i="4"/>
  <c r="G366" i="4"/>
  <c r="G555" i="4"/>
  <c r="G529" i="4"/>
  <c r="G118" i="4"/>
  <c r="G554" i="4"/>
  <c r="G388" i="4"/>
  <c r="G486" i="4"/>
  <c r="G202" i="4"/>
  <c r="G267" i="4"/>
  <c r="G11" i="4"/>
  <c r="G378" i="4"/>
  <c r="G479" i="4"/>
  <c r="G32" i="4"/>
  <c r="G129" i="4"/>
  <c r="G184" i="4"/>
  <c r="G111" i="4"/>
  <c r="G560" i="4"/>
  <c r="G148" i="4"/>
  <c r="G415" i="4"/>
  <c r="G398" i="4"/>
  <c r="G301" i="4"/>
  <c r="G405" i="4"/>
  <c r="G23" i="4"/>
  <c r="G171" i="4"/>
  <c r="G17" i="4"/>
  <c r="G314" i="4"/>
  <c r="G354" i="4"/>
  <c r="G259" i="4"/>
  <c r="G316" i="4"/>
  <c r="G95" i="4"/>
  <c r="G598" i="4"/>
  <c r="G581" i="4"/>
  <c r="G389" i="4"/>
  <c r="G345" i="4"/>
  <c r="G107" i="4"/>
  <c r="G502" i="4"/>
  <c r="G198" i="4"/>
  <c r="G318" i="4"/>
  <c r="G272" i="4"/>
  <c r="G373" i="4"/>
  <c r="G400" i="4"/>
  <c r="G223" i="4"/>
  <c r="G294" i="4"/>
  <c r="G383" i="4"/>
  <c r="G286" i="4"/>
  <c r="G459" i="4"/>
  <c r="G410" i="4"/>
  <c r="G332" i="4"/>
  <c r="G503" i="4"/>
  <c r="G201" i="4"/>
  <c r="G168" i="4"/>
  <c r="G481" i="4"/>
  <c r="G337" i="4"/>
  <c r="G363" i="4"/>
  <c r="G348" i="4"/>
  <c r="G172" i="4"/>
  <c r="G127" i="4"/>
  <c r="G6" i="4"/>
  <c r="G151" i="4"/>
  <c r="G280" i="4"/>
  <c r="G504" i="4"/>
  <c r="G97" i="4"/>
  <c r="G381" i="4"/>
  <c r="G18" i="4"/>
  <c r="G60" i="4"/>
  <c r="G206" i="4"/>
  <c r="G426" i="4"/>
  <c r="G557" i="4"/>
  <c r="G416" i="4"/>
  <c r="G191" i="4"/>
  <c r="G452" i="4"/>
  <c r="G509" i="4"/>
  <c r="G192" i="4"/>
  <c r="G542" i="4"/>
  <c r="G72" i="4"/>
  <c r="G61" i="4"/>
  <c r="G69" i="4"/>
  <c r="G78" i="4"/>
  <c r="G440" i="4"/>
  <c r="G340" i="4"/>
  <c r="G211" i="4"/>
  <c r="G489" i="4"/>
  <c r="G215" i="4"/>
  <c r="G131" i="4"/>
  <c r="G194" i="4"/>
  <c r="G573" i="4"/>
  <c r="G174" i="4"/>
  <c r="G475" i="4"/>
  <c r="G134" i="4"/>
  <c r="G13" i="4"/>
  <c r="G437" i="4"/>
  <c r="G247" i="4"/>
  <c r="G282" i="4"/>
  <c r="G361" i="4"/>
  <c r="G343" i="4"/>
  <c r="G528" i="4"/>
  <c r="G514" i="4"/>
  <c r="G42" i="4"/>
  <c r="G112" i="4"/>
  <c r="G156" i="4"/>
  <c r="G346" i="4"/>
  <c r="G8" i="4"/>
  <c r="G491" i="4"/>
  <c r="G231" i="4"/>
  <c r="G307" i="4"/>
  <c r="G446" i="4"/>
  <c r="G562" i="4"/>
  <c r="G113" i="4"/>
  <c r="G603" i="4"/>
  <c r="G576" i="4"/>
  <c r="G574" i="4"/>
  <c r="G408" i="4"/>
  <c r="G548" i="4"/>
  <c r="G512" i="4"/>
  <c r="G255" i="4"/>
  <c r="G305" i="4"/>
  <c r="G138" i="4"/>
  <c r="G270" i="4"/>
  <c r="G235" i="4"/>
  <c r="G115" i="4"/>
  <c r="G285" i="4"/>
  <c r="G124" i="4"/>
  <c r="G263" i="4"/>
  <c r="G204" i="4"/>
  <c r="G590" i="4"/>
  <c r="G36" i="4"/>
  <c r="G422" i="4"/>
  <c r="G63" i="4"/>
  <c r="G371" i="4"/>
  <c r="G200" i="4"/>
  <c r="G333" i="4"/>
  <c r="G377" i="4"/>
  <c r="G370" i="4"/>
  <c r="G154" i="4"/>
  <c r="G519" i="4"/>
  <c r="G94" i="4"/>
  <c r="G427" i="4"/>
  <c r="G395" i="4"/>
  <c r="G277" i="4"/>
  <c r="G595" i="4"/>
  <c r="G517" i="4"/>
  <c r="M15" i="4" l="1"/>
  <c r="N15" i="4" s="1"/>
  <c r="M16" i="4"/>
  <c r="N16" i="4" s="1"/>
  <c r="M14" i="4"/>
  <c r="N1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wrobe</author>
  </authors>
  <commentList>
    <comment ref="C1" authorId="0" shapeId="0" xr:uid="{8C3F5BB8-A6A6-45AF-A869-E39F4B7FEED9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Old CustomerID included to see probability distribution</t>
        </r>
      </text>
    </comment>
    <comment ref="D1" authorId="0" shapeId="0" xr:uid="{61C50B11-67FC-4C8D-AABE-B30F4EB169F0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 CustomerID is used to randomize order of Old CustomerID so that first few numbers after 600 aren't always the customers with highest value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wrobe</author>
  </authors>
  <commentList>
    <comment ref="K6" authorId="0" shapeId="0" xr:uid="{0921B528-F126-4109-B0C9-F7A4F09584A8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This weight should be negative since a high value would mean less customer value</t>
        </r>
      </text>
    </comment>
  </commentList>
</comments>
</file>

<file path=xl/sharedStrings.xml><?xml version="1.0" encoding="utf-8"?>
<sst xmlns="http://schemas.openxmlformats.org/spreadsheetml/2006/main" count="47" uniqueCount="41">
  <si>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</si>
  <si>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</si>
  <si>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</si>
  <si>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</si>
  <si>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</si>
  <si>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</si>
  <si>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</si>
  <si>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</si>
  <si>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</si>
  <si>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</si>
  <si>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</si>
  <si>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</si>
  <si>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</si>
  <si>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</si>
  <si>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</si>
  <si>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</si>
  <si>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</si>
  <si>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</si>
  <si>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</si>
  <si>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</si>
  <si>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</si>
  <si>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</si>
  <si>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</si>
  <si>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</si>
  <si>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</si>
  <si>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</si>
  <si>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</si>
  <si>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</si>
  <si>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</si>
  <si>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</si>
  <si>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</si>
  <si>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</si>
  <si>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</si>
  <si>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Random Numbers</t>
  </si>
  <si>
    <t>Number of Customers</t>
  </si>
  <si>
    <t>Customer segmentation into valued, more valued, and most valued customers using a slight variation of the RFM method</t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</si>
  <si>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  (max of 10)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</si>
  <si>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 divided by the average number of times a transaction was placed (max of 10)</t>
    </r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</si>
  <si>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 (max of 10)</t>
    </r>
  </si>
  <si>
    <t>Simulated Transactions Data with 600 customers and at most 4000 transactions</t>
  </si>
  <si>
    <t>Enter Number of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</si>
</sst>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22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_xlchart.v1.0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_xlchart.v1.2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167640</xdr:rowOff>
    </xdr:from>
    <xdr:to>
      <xdr:col>10</xdr:col>
      <xdr:colOff>464820</xdr:colOff>
      <xdr:row>25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7080" y="243078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12</xdr:row>
      <xdr:rowOff>175260</xdr:rowOff>
    </xdr:from>
    <xdr:to>
      <xdr:col>14</xdr:col>
      <xdr:colOff>160020</xdr:colOff>
      <xdr:row>25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62260" y="2438400"/>
              <a:ext cx="3291840" cy="2217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99060</xdr:rowOff>
        </xdr:from>
        <xdr:to>
          <xdr:col>11</xdr:col>
          <xdr:colOff>1653540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Simulated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152400</xdr:rowOff>
        </xdr:from>
        <xdr:to>
          <xdr:col>11</xdr:col>
          <xdr:colOff>1661160</xdr:colOff>
          <xdr:row>11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Simulated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3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/>
    <tableColumn id="1" xr3:uid="{2B6B7DD7-EE2B-4A67-A199-D99E5A24EE3D}" name="Old CustomerID" dataDxfId="20" totalsRowDxfId="19"/>
    <tableColumn id="6" xr3:uid="{AB78FFC9-1AB3-4148-89DA-406A8BD309CD}" name="CustomerID" dataDxfId="18" totalsRowDxfId="17"/>
    <tableColumn id="2" xr3:uid="{049DFE00-203B-4ACF-BD32-BE89B7D13493}" name="Transaction Date" dataDxfId="16" totalsRowDxfId="15"/>
    <tableColumn id="3" xr3:uid="{9B3FBA3C-390E-41DE-BB54-EF10FAF31FB2}" name="Transaction Amount" dataDxfId="14" totalsRow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9" dataDxfId="8">
  <sortState xmlns:xlrd2="http://schemas.microsoft.com/office/spreadsheetml/2017/richdata2" ref="A6:H605">
    <sortCondition descending="1" ref="H5:H605"/>
  </sortState>
  <tableColumns count="8">
    <tableColumn id="1" xr3:uid="{060FFEFE-BE72-46F8-8155-93B39D9F2788}" name="CustomerID" dataDxfId="7"/>
    <tableColumn id="2" xr3:uid="{0F5F91E0-A522-4EB7-82F9-1EB2EB727035}" name="Date of Last Transaction" dataDxfId="6">
      <calculatedColumnFormula>_xlfn.MAXIFS(Transactions[Transaction Date], Transactions[CustomerID],A6)</calculatedColumnFormula>
    </tableColumn>
    <tableColumn id="3" xr3:uid="{151FB733-8A16-4313-BDF4-884D14BFF93D}" name="Recency (months)" dataDxfId="5">
      <calculatedColumnFormula>(MAX(DATEDIF(B6,"03/01/2019","ym"),1))</calculatedColumnFormula>
    </tableColumn>
    <tableColumn id="4" xr3:uid="{4D3D9DC3-FF8E-4812-97FF-3179BAD3D8BD}" name="Frequency (#transactions)" dataDxfId="4">
      <calculatedColumnFormula>COUNTIF(Transactions[CustomerID],"="&amp;A6)</calculatedColumnFormula>
    </tableColumn>
    <tableColumn id="5" xr3:uid="{34BF0EC2-705F-4242-9BCB-DC0953DBB8A2}" name="Monetary" dataDxfId="3">
      <calculatedColumnFormula>IF(_xlfn.MAXIFS(Transactions[Transaction Amount], Transactions[CustomerID],A6)/'Customer Profiles'!$M$10&lt;=10,_xlfn.MAXIFS(Transactions[Transaction Amount], Transactions[CustomerID],A6)/'Customer Profiles'!$M$10,10)</calculatedColumnFormula>
    </tableColumn>
    <tableColumn id="6" xr3:uid="{1942F193-806F-447E-AF10-C4EB59781363}" name="Recency" dataDxfId="2">
      <calculatedColumnFormula>IF(ROUND(C6,2)&lt;=10,ROUND(C6,2),10)</calculatedColumnFormula>
    </tableColumn>
    <tableColumn id="7" xr3:uid="{36FA8477-BC27-4F47-B1C4-7601056DA980}" name="Frequency" dataDxfId="1">
      <calculatedColumnFormula>IF(ROUND(D6/$M$6,2)&lt;=10,ROUND(D6/$M$6,2),10)</calculatedColumnFormula>
    </tableColumn>
    <tableColumn id="8" xr3:uid="{0033F463-9AF5-4788-9D3D-9567522E2462}" name="Customer Value" dataDxfId="0">
      <calculatedColumnFormula>IF(ROUND(E6*$K$8+F6*$K$6+G6*$K$7,2)&lt;1,1,ROUND(E6*$K$8+F6*$K$6+G6*$K$7,2))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3000"/>
  <sheetViews>
    <sheetView workbookViewId="0">
      <selection activeCell="H10" sqref="H10"/>
    </sheetView>
  </sheetViews>
  <sheetFormatPr defaultRowHeight="14.4"/>
  <cols>
    <col min="1" max="1" width="15.5546875" customWidth="1"/>
    <col min="2" max="2" width="16.88671875" customWidth="1"/>
    <col min="3" max="3" width="15.33203125" style="1" customWidth="1"/>
    <col min="4" max="4" width="12.44140625" style="1" customWidth="1"/>
    <col min="5" max="5" width="16.77734375" style="2" customWidth="1"/>
    <col min="6" max="6" width="17.88671875" style="6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10.33203125" customWidth="1"/>
  </cols>
  <sheetData>
    <row r="1" spans="1:16" ht="17.399999999999999" customHeight="1">
      <c r="A1" s="3" t="s">
        <v>3</v>
      </c>
      <c r="B1" s="3" t="s">
        <v>33</v>
      </c>
      <c r="C1" s="3" t="s">
        <v>31</v>
      </c>
      <c r="D1" s="3" t="s">
        <v>0</v>
      </c>
      <c r="E1" s="4" t="s">
        <v>1</v>
      </c>
      <c r="F1" s="5" t="s">
        <v>7</v>
      </c>
      <c r="H1" s="38" t="s">
        <v>39</v>
      </c>
      <c r="I1" s="38"/>
      <c r="J1" s="38"/>
      <c r="K1" s="38"/>
      <c r="L1" s="38"/>
      <c r="M1" s="38"/>
    </row>
    <row r="2" spans="1:16" ht="14.4" customHeight="1">
      <c r="A2" s="1">
        <v>9121300</v>
      </c>
      <c r="B2" s="1">
        <v>0.21538655862608647</v>
      </c>
      <c r="C2" s="1">
        <v>1</v>
      </c>
      <c r="D2" s="1">
        <v>176</v>
      </c>
      <c r="E2" s="2">
        <v>43216</v>
      </c>
      <c r="F2" s="6">
        <v>29.675459356066845</v>
      </c>
      <c r="H2" s="38"/>
      <c r="I2" s="38"/>
      <c r="J2" s="38"/>
      <c r="K2" s="38"/>
      <c r="L2" s="38"/>
      <c r="M2" s="38"/>
      <c r="N2" s="26"/>
      <c r="O2" s="26"/>
      <c r="P2" s="26"/>
    </row>
    <row r="3" spans="1:16">
      <c r="A3" s="1">
        <v>9121303</v>
      </c>
      <c r="B3" s="1">
        <v>0.90025069005462677</v>
      </c>
      <c r="C3" s="1">
        <v>2</v>
      </c>
      <c r="D3" s="1">
        <v>510</v>
      </c>
      <c r="E3" s="2">
        <v>43087</v>
      </c>
      <c r="F3" s="6">
        <v>69.002253792743502</v>
      </c>
      <c r="H3" s="26"/>
      <c r="I3" s="26"/>
      <c r="J3" s="26"/>
      <c r="K3" s="26"/>
      <c r="L3" s="27"/>
      <c r="M3" s="26"/>
      <c r="N3" s="26"/>
      <c r="O3" s="26"/>
      <c r="P3" s="26"/>
    </row>
    <row r="4" spans="1:16" ht="15.6">
      <c r="A4" s="1">
        <v>9121306</v>
      </c>
      <c r="B4" s="1">
        <v>0.93284031504736853</v>
      </c>
      <c r="C4" s="1">
        <v>3</v>
      </c>
      <c r="D4" s="1">
        <v>258</v>
      </c>
      <c r="E4" s="2">
        <v>42803</v>
      </c>
      <c r="F4" s="6">
        <v>4.1713999749197956</v>
      </c>
      <c r="I4" s="36" t="s">
        <v>30</v>
      </c>
      <c r="J4" s="37"/>
      <c r="L4" s="30" t="s">
        <v>40</v>
      </c>
      <c r="M4" s="31">
        <v>4000</v>
      </c>
    </row>
    <row r="5" spans="1:16">
      <c r="A5" s="1">
        <v>9121309</v>
      </c>
      <c r="B5" s="1">
        <v>1.9002506900546301</v>
      </c>
      <c r="C5" s="1">
        <v>4</v>
      </c>
      <c r="D5" s="1">
        <v>564</v>
      </c>
      <c r="E5" s="2">
        <v>43452</v>
      </c>
      <c r="F5" s="6">
        <v>52.944291685427658</v>
      </c>
      <c r="I5" s="34" t="s">
        <v>23</v>
      </c>
      <c r="J5" s="35"/>
      <c r="L5" s="32" t="s">
        <v>34</v>
      </c>
      <c r="M5" s="33">
        <v>600</v>
      </c>
    </row>
    <row r="6" spans="1:16">
      <c r="A6" s="1">
        <v>9121312</v>
      </c>
      <c r="B6" s="1">
        <v>0.88821459686872251</v>
      </c>
      <c r="C6" s="1">
        <v>5</v>
      </c>
      <c r="D6" s="1">
        <v>592</v>
      </c>
      <c r="E6" s="2">
        <v>43482</v>
      </c>
      <c r="F6" s="6">
        <v>315.01002897452224</v>
      </c>
      <c r="I6" s="28" t="s">
        <v>24</v>
      </c>
      <c r="J6" s="14">
        <v>0.7</v>
      </c>
    </row>
    <row r="7" spans="1:16">
      <c r="A7" s="1">
        <v>9121315</v>
      </c>
      <c r="B7" s="1">
        <v>2.9002506900546301</v>
      </c>
      <c r="C7" s="1">
        <v>6</v>
      </c>
      <c r="D7" s="1">
        <v>182</v>
      </c>
      <c r="E7" s="2">
        <v>43165</v>
      </c>
      <c r="F7" s="6">
        <v>45.684076161959325</v>
      </c>
      <c r="I7" s="29" t="s">
        <v>25</v>
      </c>
      <c r="J7" s="19">
        <v>1</v>
      </c>
    </row>
    <row r="8" spans="1:16">
      <c r="A8" s="1">
        <v>9121318</v>
      </c>
      <c r="B8" s="1">
        <v>0.57888610780121719</v>
      </c>
      <c r="C8" s="1">
        <v>7</v>
      </c>
      <c r="D8" s="1">
        <v>146</v>
      </c>
      <c r="E8" s="2">
        <v>42748</v>
      </c>
      <c r="F8" s="6">
        <v>5.7987506026108884</v>
      </c>
    </row>
    <row r="9" spans="1:16" ht="15.6">
      <c r="A9" s="1">
        <v>9121321</v>
      </c>
      <c r="B9" s="1">
        <v>3.9002506900546301</v>
      </c>
      <c r="C9" s="1">
        <v>8</v>
      </c>
      <c r="D9" s="1">
        <v>149</v>
      </c>
      <c r="E9" s="2">
        <v>42785</v>
      </c>
      <c r="F9" s="6">
        <v>19.387998065514576</v>
      </c>
      <c r="I9" s="36" t="s">
        <v>28</v>
      </c>
      <c r="J9" s="37"/>
    </row>
    <row r="10" spans="1:16">
      <c r="A10" s="1">
        <v>9121324</v>
      </c>
      <c r="B10" s="1">
        <v>0.50035789726438384</v>
      </c>
      <c r="C10" s="1">
        <v>9</v>
      </c>
      <c r="D10" s="1">
        <v>458</v>
      </c>
      <c r="E10" s="2">
        <v>42940</v>
      </c>
      <c r="F10" s="6">
        <v>51.038255607807649</v>
      </c>
      <c r="I10" s="34" t="s">
        <v>29</v>
      </c>
      <c r="J10" s="35"/>
    </row>
    <row r="11" spans="1:16">
      <c r="A11" s="1">
        <v>9121327</v>
      </c>
      <c r="B11" s="1">
        <v>4.9002506900546301</v>
      </c>
      <c r="C11" s="1">
        <v>10</v>
      </c>
      <c r="D11" s="1">
        <v>22</v>
      </c>
      <c r="E11" s="2">
        <v>43023</v>
      </c>
      <c r="F11" s="6">
        <v>248.14530670174076</v>
      </c>
      <c r="I11" s="28" t="s">
        <v>24</v>
      </c>
      <c r="J11" s="14">
        <v>0.5</v>
      </c>
    </row>
    <row r="12" spans="1:16">
      <c r="A12" s="1">
        <v>9121330</v>
      </c>
      <c r="B12" s="1">
        <v>8.8076770554762485E-2</v>
      </c>
      <c r="C12" s="1">
        <v>11</v>
      </c>
      <c r="D12" s="1">
        <v>597</v>
      </c>
      <c r="E12" s="2">
        <v>43442</v>
      </c>
      <c r="F12" s="6">
        <v>59.755910539740462</v>
      </c>
      <c r="I12" s="29" t="s">
        <v>25</v>
      </c>
      <c r="J12" s="19">
        <v>1</v>
      </c>
    </row>
    <row r="13" spans="1:16">
      <c r="A13" s="1">
        <v>9121333</v>
      </c>
      <c r="B13" s="1">
        <v>5.9002506900546301</v>
      </c>
      <c r="C13" s="1">
        <v>12</v>
      </c>
      <c r="D13" s="1">
        <v>358</v>
      </c>
      <c r="E13" s="2">
        <v>43160</v>
      </c>
      <c r="F13" s="6">
        <v>28.894742172379225</v>
      </c>
    </row>
    <row r="14" spans="1:16">
      <c r="A14" s="1">
        <v>9121336</v>
      </c>
      <c r="B14" s="1">
        <v>9.2450216331543267E-3</v>
      </c>
      <c r="C14" s="1">
        <v>13</v>
      </c>
      <c r="D14" s="1">
        <v>541</v>
      </c>
      <c r="E14" s="2">
        <v>43460</v>
      </c>
      <c r="F14" s="6">
        <v>353.48711087755419</v>
      </c>
    </row>
    <row r="15" spans="1:16">
      <c r="A15" s="1">
        <v>9121339</v>
      </c>
      <c r="B15" s="1">
        <v>6.9002506900546301</v>
      </c>
      <c r="C15" s="1">
        <v>14</v>
      </c>
      <c r="D15" s="1">
        <v>359</v>
      </c>
      <c r="E15" s="2">
        <v>43255</v>
      </c>
      <c r="F15" s="6">
        <v>23.108600864006053</v>
      </c>
    </row>
    <row r="16" spans="1:16">
      <c r="A16" s="1">
        <v>9121342</v>
      </c>
      <c r="B16" s="1">
        <v>0.70252261631353796</v>
      </c>
      <c r="C16" s="1">
        <v>15</v>
      </c>
      <c r="D16" s="1">
        <v>495</v>
      </c>
      <c r="E16" s="2">
        <v>43450</v>
      </c>
      <c r="F16" s="6">
        <v>39.234757822957739</v>
      </c>
    </row>
    <row r="17" spans="1:6">
      <c r="A17" s="1">
        <v>9121345</v>
      </c>
      <c r="B17" s="1">
        <v>7.9002506900546301</v>
      </c>
      <c r="C17" s="1">
        <v>16</v>
      </c>
      <c r="D17" s="1">
        <v>88</v>
      </c>
      <c r="E17" s="2">
        <v>42894</v>
      </c>
      <c r="F17" s="6">
        <v>26.364525024263557</v>
      </c>
    </row>
    <row r="18" spans="1:6">
      <c r="A18" s="1">
        <v>9121348</v>
      </c>
      <c r="B18" s="1">
        <v>0.13003860878506246</v>
      </c>
      <c r="C18" s="1">
        <v>17</v>
      </c>
      <c r="D18" s="1">
        <v>451</v>
      </c>
      <c r="E18" s="2">
        <v>42860</v>
      </c>
      <c r="F18" s="6">
        <v>11.689603952208499</v>
      </c>
    </row>
    <row r="19" spans="1:6">
      <c r="A19" s="1">
        <v>9121351</v>
      </c>
      <c r="B19" s="1">
        <v>8.9002506900546301</v>
      </c>
      <c r="C19" s="1">
        <v>18</v>
      </c>
      <c r="D19" s="1">
        <v>38</v>
      </c>
      <c r="E19" s="2">
        <v>43147</v>
      </c>
      <c r="F19" s="6">
        <v>58.719168806401377</v>
      </c>
    </row>
    <row r="20" spans="1:6">
      <c r="A20" s="1">
        <v>9121354</v>
      </c>
      <c r="B20" s="1">
        <v>0.7345775325833187</v>
      </c>
      <c r="C20" s="1">
        <v>19</v>
      </c>
      <c r="D20" s="1">
        <v>139</v>
      </c>
      <c r="E20" s="2">
        <v>42740</v>
      </c>
      <c r="F20" s="6">
        <v>10.216133408475969</v>
      </c>
    </row>
    <row r="21" spans="1:6">
      <c r="A21" s="1">
        <v>9121357</v>
      </c>
      <c r="B21" s="1">
        <v>9.9002506900546301</v>
      </c>
      <c r="C21" s="1">
        <v>20</v>
      </c>
      <c r="D21" s="1">
        <v>348</v>
      </c>
      <c r="E21" s="2">
        <v>43250</v>
      </c>
      <c r="F21" s="6">
        <v>55.764298871467496</v>
      </c>
    </row>
    <row r="22" spans="1:6">
      <c r="A22" s="1">
        <v>9121360</v>
      </c>
      <c r="B22" s="1">
        <v>0.67747521309812719</v>
      </c>
      <c r="C22" s="1">
        <v>21</v>
      </c>
      <c r="D22" s="1">
        <v>90</v>
      </c>
      <c r="E22" s="2">
        <v>43295</v>
      </c>
      <c r="F22" s="6">
        <v>146.5153917095528</v>
      </c>
    </row>
    <row r="23" spans="1:6">
      <c r="A23" s="1">
        <v>9121363</v>
      </c>
      <c r="B23" s="1">
        <v>10.9002506900546</v>
      </c>
      <c r="C23" s="1">
        <v>22</v>
      </c>
      <c r="D23" s="1">
        <v>492</v>
      </c>
      <c r="E23" s="2">
        <v>43197</v>
      </c>
      <c r="F23" s="6">
        <v>31.123021547879812</v>
      </c>
    </row>
    <row r="24" spans="1:6">
      <c r="A24" s="1">
        <v>9121366</v>
      </c>
      <c r="B24" s="1">
        <v>0.48043677987671218</v>
      </c>
      <c r="C24" s="1">
        <v>23</v>
      </c>
      <c r="D24" s="1">
        <v>599</v>
      </c>
      <c r="E24" s="2">
        <v>43385</v>
      </c>
      <c r="F24" s="6">
        <v>78.564968436113531</v>
      </c>
    </row>
    <row r="25" spans="1:6">
      <c r="A25" s="1">
        <v>9121369</v>
      </c>
      <c r="B25" s="1">
        <v>11.9002506900546</v>
      </c>
      <c r="C25" s="1">
        <v>24</v>
      </c>
      <c r="D25" s="1">
        <v>551</v>
      </c>
      <c r="E25" s="2">
        <v>43431</v>
      </c>
      <c r="F25" s="6">
        <v>206.8678455107279</v>
      </c>
    </row>
    <row r="26" spans="1:6">
      <c r="A26" s="1">
        <v>9121372</v>
      </c>
      <c r="B26" s="1">
        <v>0.58124278878252733</v>
      </c>
      <c r="C26" s="1">
        <v>25</v>
      </c>
      <c r="D26" s="1">
        <v>197</v>
      </c>
      <c r="E26" s="2">
        <v>43467</v>
      </c>
      <c r="F26" s="6">
        <v>20.281331604429194</v>
      </c>
    </row>
    <row r="27" spans="1:6">
      <c r="A27" s="1">
        <v>9121375</v>
      </c>
      <c r="B27" s="1">
        <v>12.9002506900546</v>
      </c>
      <c r="C27" s="1">
        <v>26</v>
      </c>
      <c r="D27" s="1">
        <v>548</v>
      </c>
      <c r="E27" s="2">
        <v>42979</v>
      </c>
      <c r="F27" s="6">
        <v>100.4224162210038</v>
      </c>
    </row>
    <row r="28" spans="1:6">
      <c r="A28" s="1">
        <v>9121378</v>
      </c>
      <c r="B28" s="1">
        <v>0.1932384275393686</v>
      </c>
      <c r="C28" s="1">
        <v>27</v>
      </c>
      <c r="D28" s="1">
        <v>575</v>
      </c>
      <c r="E28" s="2">
        <v>43408</v>
      </c>
      <c r="F28" s="6">
        <v>64.888771076486705</v>
      </c>
    </row>
    <row r="29" spans="1:6">
      <c r="A29" s="1">
        <v>9121381</v>
      </c>
      <c r="B29" s="1">
        <v>13.9002506900546</v>
      </c>
      <c r="C29" s="1">
        <v>28</v>
      </c>
      <c r="D29" s="1">
        <v>169</v>
      </c>
      <c r="E29" s="2">
        <v>43378</v>
      </c>
      <c r="F29" s="6">
        <v>4.1619605602256158</v>
      </c>
    </row>
    <row r="30" spans="1:6">
      <c r="A30" s="1">
        <v>9121384</v>
      </c>
      <c r="B30" s="1">
        <v>0.39124034592030399</v>
      </c>
      <c r="C30" s="1">
        <v>29</v>
      </c>
      <c r="D30" s="1">
        <v>431</v>
      </c>
      <c r="E30" s="2">
        <v>43330</v>
      </c>
      <c r="F30" s="6">
        <v>4.6776663514675123</v>
      </c>
    </row>
    <row r="31" spans="1:6">
      <c r="A31" s="1">
        <v>9121387</v>
      </c>
      <c r="B31" s="1">
        <v>14.9002506900546</v>
      </c>
      <c r="C31" s="1">
        <v>30</v>
      </c>
      <c r="D31" s="1">
        <v>263</v>
      </c>
      <c r="E31" s="2">
        <v>43182</v>
      </c>
      <c r="F31" s="6">
        <v>52.107474496064789</v>
      </c>
    </row>
    <row r="32" spans="1:6">
      <c r="A32" s="1">
        <v>9121390</v>
      </c>
      <c r="B32" s="1">
        <v>0.19255950814726608</v>
      </c>
      <c r="C32" s="1">
        <v>31</v>
      </c>
      <c r="D32" s="1">
        <v>145</v>
      </c>
      <c r="E32" s="2">
        <v>42836</v>
      </c>
      <c r="F32" s="6">
        <v>107.50523631444155</v>
      </c>
    </row>
    <row r="33" spans="1:6">
      <c r="A33" s="1">
        <v>9121393</v>
      </c>
      <c r="B33" s="1">
        <v>15.9002506900546</v>
      </c>
      <c r="C33" s="1">
        <v>32</v>
      </c>
      <c r="D33" s="1">
        <v>509</v>
      </c>
      <c r="E33" s="2">
        <v>43121</v>
      </c>
      <c r="F33" s="6">
        <v>11.073604186676148</v>
      </c>
    </row>
    <row r="34" spans="1:6">
      <c r="A34" s="1">
        <v>9121396</v>
      </c>
      <c r="B34" s="1">
        <v>0.35100646326523344</v>
      </c>
      <c r="C34" s="1">
        <v>33</v>
      </c>
      <c r="D34" s="1">
        <v>393</v>
      </c>
      <c r="E34" s="2">
        <v>43374</v>
      </c>
      <c r="F34" s="6">
        <v>108.53498176370756</v>
      </c>
    </row>
    <row r="35" spans="1:6">
      <c r="A35" s="1">
        <v>9121399</v>
      </c>
      <c r="B35" s="1">
        <v>16.900250690054602</v>
      </c>
      <c r="C35" s="1">
        <v>34</v>
      </c>
      <c r="D35" s="1">
        <v>12</v>
      </c>
      <c r="E35" s="2">
        <v>43430</v>
      </c>
      <c r="F35" s="6">
        <v>361.99459962645057</v>
      </c>
    </row>
    <row r="36" spans="1:6">
      <c r="A36" s="1">
        <v>9121402</v>
      </c>
      <c r="B36" s="1">
        <v>0.1775725013123115</v>
      </c>
      <c r="C36" s="1">
        <v>35</v>
      </c>
      <c r="D36" s="1">
        <v>329</v>
      </c>
      <c r="E36" s="2">
        <v>43376</v>
      </c>
      <c r="F36" s="6">
        <v>36.948440958307764</v>
      </c>
    </row>
    <row r="37" spans="1:6">
      <c r="A37" s="1">
        <v>9121405</v>
      </c>
      <c r="B37" s="1">
        <v>17.900250690054602</v>
      </c>
      <c r="C37" s="1">
        <v>36</v>
      </c>
      <c r="D37" s="1">
        <v>221</v>
      </c>
      <c r="E37" s="2">
        <v>43315</v>
      </c>
      <c r="F37" s="6">
        <v>346.68155780700317</v>
      </c>
    </row>
    <row r="38" spans="1:6">
      <c r="A38" s="1">
        <v>9121408</v>
      </c>
      <c r="B38" s="1">
        <v>0.24942341203636831</v>
      </c>
      <c r="C38" s="1">
        <v>37</v>
      </c>
      <c r="D38" s="1">
        <v>546</v>
      </c>
      <c r="E38" s="2">
        <v>42933</v>
      </c>
      <c r="F38" s="6">
        <v>36.880854655524537</v>
      </c>
    </row>
    <row r="39" spans="1:6">
      <c r="A39" s="1">
        <v>9121411</v>
      </c>
      <c r="B39" s="1">
        <v>18.900250690054602</v>
      </c>
      <c r="C39" s="1">
        <v>38</v>
      </c>
      <c r="D39" s="1">
        <v>334</v>
      </c>
      <c r="E39" s="2">
        <v>42828</v>
      </c>
      <c r="F39" s="6">
        <v>37.06957589548837</v>
      </c>
    </row>
    <row r="40" spans="1:6">
      <c r="A40" s="1">
        <v>9121414</v>
      </c>
      <c r="B40" s="1">
        <v>1.7511981167356527E-2</v>
      </c>
      <c r="C40" s="1">
        <v>39</v>
      </c>
      <c r="D40" s="1">
        <v>40</v>
      </c>
      <c r="E40" s="2">
        <v>43086</v>
      </c>
      <c r="F40" s="6">
        <v>140.16450197875471</v>
      </c>
    </row>
    <row r="41" spans="1:6">
      <c r="A41" s="1">
        <v>9121417</v>
      </c>
      <c r="B41" s="1">
        <v>19.900250690054602</v>
      </c>
      <c r="C41" s="1">
        <v>40</v>
      </c>
      <c r="D41" s="1">
        <v>248</v>
      </c>
      <c r="E41" s="2">
        <v>42962</v>
      </c>
      <c r="F41" s="6">
        <v>17.576731923125926</v>
      </c>
    </row>
    <row r="42" spans="1:6">
      <c r="A42" s="1">
        <v>9121420</v>
      </c>
      <c r="B42" s="1">
        <v>0.27806918910473888</v>
      </c>
      <c r="C42" s="1">
        <v>41</v>
      </c>
      <c r="D42" s="1">
        <v>514</v>
      </c>
      <c r="E42" s="2">
        <v>43162</v>
      </c>
      <c r="F42" s="6">
        <v>82.383414167144636</v>
      </c>
    </row>
    <row r="43" spans="1:6">
      <c r="A43" s="1">
        <v>9121423</v>
      </c>
      <c r="B43" s="1">
        <v>20.900250690054602</v>
      </c>
      <c r="C43" s="1">
        <v>42</v>
      </c>
      <c r="D43" s="1">
        <v>573</v>
      </c>
      <c r="E43" s="2">
        <v>43281</v>
      </c>
      <c r="F43" s="6">
        <v>52.531928904010776</v>
      </c>
    </row>
    <row r="44" spans="1:6">
      <c r="A44" s="1">
        <v>9121426</v>
      </c>
      <c r="B44" s="1">
        <v>0.336478341967963</v>
      </c>
      <c r="C44" s="1">
        <v>43</v>
      </c>
      <c r="D44" s="1">
        <v>420</v>
      </c>
      <c r="E44" s="2">
        <v>42874</v>
      </c>
      <c r="F44" s="6">
        <v>7.487040343664324</v>
      </c>
    </row>
    <row r="45" spans="1:6">
      <c r="A45" s="1">
        <v>9121429</v>
      </c>
      <c r="B45" s="1">
        <v>21.900250690054602</v>
      </c>
      <c r="C45" s="1">
        <v>44</v>
      </c>
      <c r="D45" s="1">
        <v>485</v>
      </c>
      <c r="E45" s="2">
        <v>43023</v>
      </c>
      <c r="F45" s="6">
        <v>21.443872307270802</v>
      </c>
    </row>
    <row r="46" spans="1:6">
      <c r="A46" s="1">
        <v>9121432</v>
      </c>
      <c r="B46" s="1">
        <v>0.88665510174941298</v>
      </c>
      <c r="C46" s="1">
        <v>45</v>
      </c>
      <c r="D46" s="1">
        <v>115</v>
      </c>
      <c r="E46" s="2">
        <v>43377</v>
      </c>
      <c r="F46" s="6">
        <v>38.239971835483281</v>
      </c>
    </row>
    <row r="47" spans="1:6">
      <c r="A47" s="1">
        <v>9121435</v>
      </c>
      <c r="B47" s="1">
        <v>22.900250690054602</v>
      </c>
      <c r="C47" s="1">
        <v>46</v>
      </c>
      <c r="D47" s="1">
        <v>366</v>
      </c>
      <c r="E47" s="2">
        <v>42795</v>
      </c>
      <c r="F47" s="6">
        <v>10.738549921993267</v>
      </c>
    </row>
    <row r="48" spans="1:6">
      <c r="A48" s="1">
        <v>9121438</v>
      </c>
      <c r="B48" s="1">
        <v>0.78457693784130877</v>
      </c>
      <c r="C48" s="1">
        <v>47</v>
      </c>
      <c r="D48" s="1">
        <v>326</v>
      </c>
      <c r="E48" s="2">
        <v>43436</v>
      </c>
      <c r="F48" s="6">
        <v>4.8154366325108242</v>
      </c>
    </row>
    <row r="49" spans="1:6">
      <c r="A49" s="1">
        <v>9121441</v>
      </c>
      <c r="B49" s="1">
        <v>23.900250690054602</v>
      </c>
      <c r="C49" s="1">
        <v>48</v>
      </c>
      <c r="D49" s="1">
        <v>67</v>
      </c>
      <c r="E49" s="2">
        <v>42893</v>
      </c>
      <c r="F49" s="6">
        <v>27.951906577421845</v>
      </c>
    </row>
    <row r="50" spans="1:6">
      <c r="A50" s="1">
        <v>9121444</v>
      </c>
      <c r="B50" s="1">
        <v>0.44161289027543016</v>
      </c>
      <c r="C50" s="1">
        <v>49</v>
      </c>
      <c r="D50" s="1">
        <v>84</v>
      </c>
      <c r="E50" s="2">
        <v>43056</v>
      </c>
      <c r="F50" s="6">
        <v>47.179272943056588</v>
      </c>
    </row>
    <row r="51" spans="1:6">
      <c r="A51" s="1">
        <v>9121447</v>
      </c>
      <c r="B51" s="1">
        <v>24.900250690054602</v>
      </c>
      <c r="C51" s="1">
        <v>50</v>
      </c>
      <c r="D51" s="1">
        <v>47</v>
      </c>
      <c r="E51" s="2">
        <v>43108</v>
      </c>
      <c r="F51" s="6">
        <v>11.893564145023234</v>
      </c>
    </row>
    <row r="52" spans="1:6">
      <c r="A52" s="1">
        <v>9121450</v>
      </c>
      <c r="B52" s="1">
        <v>0.22080835924073672</v>
      </c>
      <c r="C52" s="1">
        <v>51</v>
      </c>
      <c r="D52" s="1">
        <v>544</v>
      </c>
      <c r="E52" s="2">
        <v>42922</v>
      </c>
      <c r="F52" s="6">
        <v>19.877477437906467</v>
      </c>
    </row>
    <row r="53" spans="1:6">
      <c r="A53" s="1">
        <v>9121453</v>
      </c>
      <c r="B53" s="1">
        <v>25.900250690054602</v>
      </c>
      <c r="C53" s="1">
        <v>52</v>
      </c>
      <c r="D53" s="1">
        <v>468</v>
      </c>
      <c r="E53" s="2">
        <v>43039</v>
      </c>
      <c r="F53" s="6">
        <v>5.7447680599834445</v>
      </c>
    </row>
    <row r="54" spans="1:6">
      <c r="A54" s="1">
        <v>9121456</v>
      </c>
      <c r="B54" s="1">
        <v>0.81319059341259337</v>
      </c>
      <c r="C54" s="1">
        <v>53</v>
      </c>
      <c r="D54" s="1">
        <v>417</v>
      </c>
      <c r="E54" s="2">
        <v>43255</v>
      </c>
      <c r="F54" s="6">
        <v>6.9225103748041787</v>
      </c>
    </row>
    <row r="55" spans="1:6">
      <c r="A55" s="1">
        <v>9121459</v>
      </c>
      <c r="B55" s="1">
        <v>26.900250690054602</v>
      </c>
      <c r="C55" s="1">
        <v>54</v>
      </c>
      <c r="D55" s="1">
        <v>487</v>
      </c>
      <c r="E55" s="2">
        <v>43081</v>
      </c>
      <c r="F55" s="6">
        <v>51.734113579284269</v>
      </c>
    </row>
    <row r="56" spans="1:6">
      <c r="A56" s="1">
        <v>9121462</v>
      </c>
      <c r="B56" s="1">
        <v>0.38857626069914586</v>
      </c>
      <c r="C56" s="1">
        <v>55</v>
      </c>
      <c r="D56" s="1">
        <v>448</v>
      </c>
      <c r="E56" s="2">
        <v>43265</v>
      </c>
      <c r="F56" s="6">
        <v>23.743368627590424</v>
      </c>
    </row>
    <row r="57" spans="1:6">
      <c r="A57" s="1">
        <v>9121465</v>
      </c>
      <c r="B57" s="1">
        <v>27.900250690054602</v>
      </c>
      <c r="C57" s="1">
        <v>56</v>
      </c>
      <c r="D57" s="1">
        <v>430</v>
      </c>
      <c r="E57" s="2">
        <v>43346</v>
      </c>
      <c r="F57" s="6">
        <v>142.3468687770102</v>
      </c>
    </row>
    <row r="58" spans="1:6">
      <c r="A58" s="1">
        <v>9121468</v>
      </c>
      <c r="B58" s="1">
        <v>0.12233011339810063</v>
      </c>
      <c r="C58" s="1">
        <v>57</v>
      </c>
      <c r="D58" s="1">
        <v>156</v>
      </c>
      <c r="E58" s="2">
        <v>43440</v>
      </c>
      <c r="F58" s="6">
        <v>3.5831735770523592</v>
      </c>
    </row>
    <row r="59" spans="1:6">
      <c r="A59" s="1">
        <v>9121471</v>
      </c>
      <c r="B59" s="1">
        <v>28.900250690054602</v>
      </c>
      <c r="C59" s="1">
        <v>58</v>
      </c>
      <c r="D59" s="1">
        <v>526</v>
      </c>
      <c r="E59" s="2">
        <v>42927</v>
      </c>
      <c r="F59" s="6">
        <v>96.057380221695922</v>
      </c>
    </row>
    <row r="60" spans="1:6">
      <c r="A60" s="1">
        <v>9121474</v>
      </c>
      <c r="B60" s="1">
        <v>0.62236548116931623</v>
      </c>
      <c r="C60" s="1">
        <v>59</v>
      </c>
      <c r="D60" s="1">
        <v>394</v>
      </c>
      <c r="E60" s="2">
        <v>43003</v>
      </c>
      <c r="F60" s="6">
        <v>4.3672711306912477</v>
      </c>
    </row>
    <row r="61" spans="1:6">
      <c r="A61" s="1">
        <v>9121477</v>
      </c>
      <c r="B61" s="1">
        <v>29.900250690054602</v>
      </c>
      <c r="C61" s="1">
        <v>60</v>
      </c>
      <c r="D61" s="1">
        <v>235</v>
      </c>
      <c r="E61" s="2">
        <v>42847</v>
      </c>
      <c r="F61" s="6">
        <v>52.480283512839094</v>
      </c>
    </row>
    <row r="62" spans="1:6">
      <c r="A62" s="1">
        <v>9121480</v>
      </c>
      <c r="B62" s="1">
        <v>0.9793972350353104</v>
      </c>
      <c r="C62" s="1">
        <v>61</v>
      </c>
      <c r="D62" s="1">
        <v>343</v>
      </c>
      <c r="E62" s="2">
        <v>43357</v>
      </c>
      <c r="F62" s="6">
        <v>3.2771643572553151</v>
      </c>
    </row>
    <row r="63" spans="1:6">
      <c r="A63" s="1">
        <v>9121483</v>
      </c>
      <c r="B63" s="1">
        <v>30.900250690054602</v>
      </c>
      <c r="C63" s="1">
        <v>62</v>
      </c>
      <c r="D63" s="1">
        <v>98</v>
      </c>
      <c r="E63" s="2">
        <v>43092</v>
      </c>
      <c r="F63" s="6">
        <v>54.769183475521693</v>
      </c>
    </row>
    <row r="64" spans="1:6">
      <c r="A64" s="1">
        <v>9121486</v>
      </c>
      <c r="B64" s="1">
        <v>0.9782363431360882</v>
      </c>
      <c r="C64" s="1">
        <v>63</v>
      </c>
      <c r="D64" s="1">
        <v>225</v>
      </c>
      <c r="E64" s="2">
        <v>43487</v>
      </c>
      <c r="F64" s="6">
        <v>29.987662976756976</v>
      </c>
    </row>
    <row r="65" spans="1:6">
      <c r="A65" s="1">
        <v>9121489</v>
      </c>
      <c r="B65" s="1">
        <v>31.900250690054602</v>
      </c>
      <c r="C65" s="1">
        <v>64</v>
      </c>
      <c r="D65" s="1">
        <v>368</v>
      </c>
      <c r="E65" s="2">
        <v>43401</v>
      </c>
      <c r="F65" s="6">
        <v>70.27376287549319</v>
      </c>
    </row>
    <row r="66" spans="1:6">
      <c r="A66" s="1">
        <v>9121492</v>
      </c>
      <c r="B66" s="1">
        <v>0.29123074580277442</v>
      </c>
      <c r="C66" s="1">
        <v>65</v>
      </c>
      <c r="D66" s="1">
        <v>486</v>
      </c>
      <c r="E66" s="2">
        <v>42955</v>
      </c>
      <c r="F66" s="6">
        <v>35.615701875382683</v>
      </c>
    </row>
    <row r="67" spans="1:6">
      <c r="A67" s="1">
        <v>9121495</v>
      </c>
      <c r="B67" s="1">
        <v>32.900250690054598</v>
      </c>
      <c r="C67" s="1">
        <v>66</v>
      </c>
      <c r="D67" s="1">
        <v>231</v>
      </c>
      <c r="E67" s="2">
        <v>42974</v>
      </c>
      <c r="F67" s="6">
        <v>25.475900998747186</v>
      </c>
    </row>
    <row r="68" spans="1:6">
      <c r="A68" s="1">
        <v>9121498</v>
      </c>
      <c r="B68" s="1">
        <v>0.53548969628074483</v>
      </c>
      <c r="C68" s="1">
        <v>67</v>
      </c>
      <c r="D68" s="1">
        <v>558</v>
      </c>
      <c r="E68" s="2">
        <v>42797</v>
      </c>
      <c r="F68" s="6">
        <v>16.694741517476999</v>
      </c>
    </row>
    <row r="69" spans="1:6">
      <c r="A69" s="1">
        <v>9121501</v>
      </c>
      <c r="B69" s="1">
        <v>33.900250690054598</v>
      </c>
      <c r="C69" s="1">
        <v>68</v>
      </c>
      <c r="D69" s="1">
        <v>493</v>
      </c>
      <c r="E69" s="2">
        <v>42821</v>
      </c>
      <c r="F69" s="6">
        <v>145.87689408714371</v>
      </c>
    </row>
    <row r="70" spans="1:6">
      <c r="A70" s="1">
        <v>9121504</v>
      </c>
      <c r="B70" s="1">
        <v>0.56847429532038618</v>
      </c>
      <c r="C70" s="1">
        <v>69</v>
      </c>
      <c r="D70" s="1">
        <v>512</v>
      </c>
      <c r="E70" s="2">
        <v>43033</v>
      </c>
      <c r="F70" s="6">
        <v>49.767453679090842</v>
      </c>
    </row>
    <row r="71" spans="1:6">
      <c r="A71" s="1">
        <v>9121507</v>
      </c>
      <c r="B71" s="1">
        <v>34.900250690054598</v>
      </c>
      <c r="C71" s="1">
        <v>70</v>
      </c>
      <c r="D71" s="1">
        <v>391</v>
      </c>
      <c r="E71" s="2">
        <v>42784</v>
      </c>
      <c r="F71" s="6">
        <v>37.79226354191244</v>
      </c>
    </row>
    <row r="72" spans="1:6">
      <c r="A72" s="1">
        <v>9121510</v>
      </c>
      <c r="B72" s="1">
        <v>0.4449735412867275</v>
      </c>
      <c r="C72" s="1">
        <v>71</v>
      </c>
      <c r="D72" s="1">
        <v>126</v>
      </c>
      <c r="E72" s="2">
        <v>42925</v>
      </c>
      <c r="F72" s="6">
        <v>148.61660681639623</v>
      </c>
    </row>
    <row r="73" spans="1:6">
      <c r="A73" s="1">
        <v>9121513</v>
      </c>
      <c r="B73" s="1">
        <v>35.900250690054598</v>
      </c>
      <c r="C73" s="1">
        <v>72</v>
      </c>
      <c r="D73" s="1">
        <v>299</v>
      </c>
      <c r="E73" s="2">
        <v>43089</v>
      </c>
      <c r="F73" s="6">
        <v>713.05838226352034</v>
      </c>
    </row>
    <row r="74" spans="1:6">
      <c r="A74" s="1">
        <v>9121516</v>
      </c>
      <c r="B74" s="1">
        <v>0.17557559531274702</v>
      </c>
      <c r="C74" s="1">
        <v>73</v>
      </c>
      <c r="D74" s="1">
        <v>572</v>
      </c>
      <c r="E74" s="2">
        <v>43323</v>
      </c>
      <c r="F74" s="6">
        <v>245.39208198746289</v>
      </c>
    </row>
    <row r="75" spans="1:6">
      <c r="A75" s="1">
        <v>9121519</v>
      </c>
      <c r="B75" s="1">
        <v>36.900250690054598</v>
      </c>
      <c r="C75" s="1">
        <v>74</v>
      </c>
      <c r="D75" s="1">
        <v>361</v>
      </c>
      <c r="E75" s="2">
        <v>43337</v>
      </c>
      <c r="F75" s="6">
        <v>23.937626125052059</v>
      </c>
    </row>
    <row r="76" spans="1:6">
      <c r="A76" s="1">
        <v>9121522</v>
      </c>
      <c r="B76" s="1">
        <v>0.50794534768564581</v>
      </c>
      <c r="C76" s="1">
        <v>75</v>
      </c>
      <c r="D76" s="1">
        <v>319</v>
      </c>
      <c r="E76" s="2">
        <v>43126</v>
      </c>
      <c r="F76" s="6">
        <v>411.14250096108572</v>
      </c>
    </row>
    <row r="77" spans="1:6">
      <c r="A77" s="1">
        <v>9121525</v>
      </c>
      <c r="B77" s="1">
        <v>37.900250690054598</v>
      </c>
      <c r="C77" s="1">
        <v>76</v>
      </c>
      <c r="D77" s="1">
        <v>102</v>
      </c>
      <c r="E77" s="2">
        <v>42853</v>
      </c>
      <c r="F77" s="6">
        <v>57.396848722602954</v>
      </c>
    </row>
    <row r="78" spans="1:6">
      <c r="A78" s="1">
        <v>9121528</v>
      </c>
      <c r="B78" s="1">
        <v>0.46735277521298957</v>
      </c>
      <c r="C78" s="1">
        <v>77</v>
      </c>
      <c r="D78" s="1">
        <v>471</v>
      </c>
      <c r="E78" s="2">
        <v>43481</v>
      </c>
      <c r="F78" s="6">
        <v>8.4260274398227626</v>
      </c>
    </row>
    <row r="79" spans="1:6">
      <c r="A79" s="1">
        <v>9121531</v>
      </c>
      <c r="B79" s="1">
        <v>38.900250690054598</v>
      </c>
      <c r="C79" s="1">
        <v>78</v>
      </c>
      <c r="D79" s="1">
        <v>318</v>
      </c>
      <c r="E79" s="2">
        <v>43171</v>
      </c>
      <c r="F79" s="6">
        <v>4.9614440468718861</v>
      </c>
    </row>
    <row r="80" spans="1:6">
      <c r="A80" s="1">
        <v>9121534</v>
      </c>
      <c r="B80" s="1">
        <v>0.14489799142701343</v>
      </c>
      <c r="C80" s="1">
        <v>79</v>
      </c>
      <c r="D80" s="1">
        <v>254</v>
      </c>
      <c r="E80" s="2">
        <v>42802</v>
      </c>
      <c r="F80" s="6">
        <v>3.6952962427839648</v>
      </c>
    </row>
    <row r="81" spans="1:6">
      <c r="A81" s="1">
        <v>9121537</v>
      </c>
      <c r="B81" s="1">
        <v>39.900250690054598</v>
      </c>
      <c r="C81" s="1">
        <v>80</v>
      </c>
      <c r="D81" s="1">
        <v>413</v>
      </c>
      <c r="E81" s="2">
        <v>43322</v>
      </c>
      <c r="F81" s="6">
        <v>53.71251187055249</v>
      </c>
    </row>
    <row r="82" spans="1:6">
      <c r="A82" s="1">
        <v>9121540</v>
      </c>
      <c r="B82" s="1">
        <v>0.52051889451640354</v>
      </c>
      <c r="C82" s="1">
        <v>81</v>
      </c>
      <c r="D82" s="1">
        <v>155</v>
      </c>
      <c r="E82" s="2">
        <v>42793</v>
      </c>
      <c r="F82" s="6">
        <v>156.68173762659956</v>
      </c>
    </row>
    <row r="83" spans="1:6">
      <c r="A83" s="1">
        <v>9121543</v>
      </c>
      <c r="B83" s="1">
        <v>40.900250690054598</v>
      </c>
      <c r="C83" s="1">
        <v>82</v>
      </c>
      <c r="D83" s="1">
        <v>585</v>
      </c>
      <c r="E83" s="2">
        <v>43463</v>
      </c>
      <c r="F83" s="6">
        <v>23.12635530950898</v>
      </c>
    </row>
    <row r="84" spans="1:6">
      <c r="A84" s="1">
        <v>9121546</v>
      </c>
      <c r="B84" s="1">
        <v>0.88456417113526364</v>
      </c>
      <c r="C84" s="1">
        <v>83</v>
      </c>
      <c r="D84" s="1">
        <v>589</v>
      </c>
      <c r="E84" s="2">
        <v>43428</v>
      </c>
      <c r="F84" s="6">
        <v>19.375766862206699</v>
      </c>
    </row>
    <row r="85" spans="1:6">
      <c r="A85" s="1">
        <v>9121549</v>
      </c>
      <c r="B85" s="1">
        <v>41.900250690054598</v>
      </c>
      <c r="C85" s="1">
        <v>84</v>
      </c>
      <c r="D85" s="1">
        <v>186</v>
      </c>
      <c r="E85" s="2">
        <v>43313</v>
      </c>
      <c r="F85" s="6">
        <v>24.602231306466905</v>
      </c>
    </row>
    <row r="86" spans="1:6">
      <c r="A86" s="1">
        <v>9121552</v>
      </c>
      <c r="B86" s="1">
        <v>0.2801889597891416</v>
      </c>
      <c r="C86" s="1">
        <v>85</v>
      </c>
      <c r="D86" s="1">
        <v>44</v>
      </c>
      <c r="E86" s="2">
        <v>43072</v>
      </c>
      <c r="F86" s="6">
        <v>14.847010221018552</v>
      </c>
    </row>
    <row r="87" spans="1:6">
      <c r="A87" s="1">
        <v>9121555</v>
      </c>
      <c r="B87" s="1">
        <v>42.900250690054598</v>
      </c>
      <c r="C87" s="1">
        <v>86</v>
      </c>
      <c r="D87" s="1">
        <v>83</v>
      </c>
      <c r="E87" s="2">
        <v>43076</v>
      </c>
      <c r="F87" s="6">
        <v>15.264749382986539</v>
      </c>
    </row>
    <row r="88" spans="1:6">
      <c r="A88" s="1">
        <v>9121558</v>
      </c>
      <c r="B88" s="1">
        <v>0.47584028809515855</v>
      </c>
      <c r="C88" s="1">
        <v>87</v>
      </c>
      <c r="D88" s="1">
        <v>116</v>
      </c>
      <c r="E88" s="2">
        <v>42871</v>
      </c>
      <c r="F88" s="6">
        <v>294.61601563737105</v>
      </c>
    </row>
    <row r="89" spans="1:6">
      <c r="A89" s="1">
        <v>9121561</v>
      </c>
      <c r="B89" s="1">
        <v>43.900250690054598</v>
      </c>
      <c r="C89" s="1">
        <v>88</v>
      </c>
      <c r="D89" s="1">
        <v>577</v>
      </c>
      <c r="E89" s="2">
        <v>43388</v>
      </c>
      <c r="F89" s="6">
        <v>30.810493307483004</v>
      </c>
    </row>
    <row r="90" spans="1:6">
      <c r="A90" s="1">
        <v>9121564</v>
      </c>
      <c r="B90" s="1">
        <v>0.66350790488265432</v>
      </c>
      <c r="C90" s="1">
        <v>89</v>
      </c>
      <c r="D90" s="1">
        <v>462</v>
      </c>
      <c r="E90" s="2">
        <v>43089</v>
      </c>
      <c r="F90" s="6">
        <v>68.903383229891389</v>
      </c>
    </row>
    <row r="91" spans="1:6">
      <c r="A91" s="1">
        <v>9121567</v>
      </c>
      <c r="B91" s="1">
        <v>44.900250690054598</v>
      </c>
      <c r="C91" s="1">
        <v>90</v>
      </c>
      <c r="D91" s="1">
        <v>45</v>
      </c>
      <c r="E91" s="2">
        <v>43028</v>
      </c>
      <c r="F91" s="6">
        <v>157.91978102571366</v>
      </c>
    </row>
    <row r="92" spans="1:6">
      <c r="A92" s="1">
        <v>9121570</v>
      </c>
      <c r="B92" s="1">
        <v>0.23064750334624762</v>
      </c>
      <c r="C92" s="1">
        <v>91</v>
      </c>
      <c r="D92" s="1">
        <v>79</v>
      </c>
      <c r="E92" s="2">
        <v>43092</v>
      </c>
      <c r="F92" s="6">
        <v>43.490257732026009</v>
      </c>
    </row>
    <row r="93" spans="1:6">
      <c r="A93" s="1">
        <v>9121573</v>
      </c>
      <c r="B93" s="1">
        <v>45.900250690054598</v>
      </c>
      <c r="C93" s="1">
        <v>92</v>
      </c>
      <c r="D93" s="1">
        <v>252</v>
      </c>
      <c r="E93" s="2">
        <v>43352</v>
      </c>
      <c r="F93" s="6">
        <v>6.3167372149298835</v>
      </c>
    </row>
    <row r="94" spans="1:6">
      <c r="A94" s="1">
        <v>9121576</v>
      </c>
      <c r="B94" s="1">
        <v>0.52531676549488437</v>
      </c>
      <c r="C94" s="1">
        <v>93</v>
      </c>
      <c r="D94" s="1">
        <v>494</v>
      </c>
      <c r="E94" s="2">
        <v>43134</v>
      </c>
      <c r="F94" s="6">
        <v>145.38539776702419</v>
      </c>
    </row>
    <row r="95" spans="1:6">
      <c r="A95" s="1">
        <v>9121579</v>
      </c>
      <c r="B95" s="1">
        <v>46.900250690054598</v>
      </c>
      <c r="C95" s="1">
        <v>94</v>
      </c>
      <c r="D95" s="1">
        <v>296</v>
      </c>
      <c r="E95" s="2">
        <v>43490</v>
      </c>
      <c r="F95" s="6">
        <v>4.7050711063048203</v>
      </c>
    </row>
    <row r="96" spans="1:6">
      <c r="A96" s="1">
        <v>9121582</v>
      </c>
      <c r="B96" s="1">
        <v>0.64799498065140371</v>
      </c>
      <c r="C96" s="1">
        <v>95</v>
      </c>
      <c r="D96" s="1">
        <v>457</v>
      </c>
      <c r="E96" s="2">
        <v>42957</v>
      </c>
      <c r="F96" s="6">
        <v>28.576720038384686</v>
      </c>
    </row>
    <row r="97" spans="1:6">
      <c r="A97" s="1">
        <v>9121585</v>
      </c>
      <c r="B97" s="1">
        <v>47.900250690054598</v>
      </c>
      <c r="C97" s="1">
        <v>96</v>
      </c>
      <c r="D97" s="1">
        <v>141</v>
      </c>
      <c r="E97" s="2">
        <v>43385</v>
      </c>
      <c r="F97" s="6">
        <v>58.403784325242469</v>
      </c>
    </row>
    <row r="98" spans="1:6">
      <c r="A98" s="1">
        <v>9121588</v>
      </c>
      <c r="B98" s="1">
        <v>2.7583513626121325E-2</v>
      </c>
      <c r="C98" s="1">
        <v>97</v>
      </c>
      <c r="D98" s="1">
        <v>293</v>
      </c>
      <c r="E98" s="2">
        <v>43442</v>
      </c>
      <c r="F98" s="6">
        <v>8.3665769294254719</v>
      </c>
    </row>
    <row r="99" spans="1:6">
      <c r="A99" s="1">
        <v>9121591</v>
      </c>
      <c r="B99" s="1">
        <v>48.900250690054598</v>
      </c>
      <c r="C99" s="1">
        <v>98</v>
      </c>
      <c r="D99" s="1">
        <v>16</v>
      </c>
      <c r="E99" s="2">
        <v>43195</v>
      </c>
      <c r="F99" s="6">
        <v>230.04249356945962</v>
      </c>
    </row>
    <row r="100" spans="1:6">
      <c r="A100" s="1">
        <v>9121594</v>
      </c>
      <c r="B100" s="1">
        <v>0.56576416146031006</v>
      </c>
      <c r="C100" s="1">
        <v>99</v>
      </c>
      <c r="D100" s="1">
        <v>134</v>
      </c>
      <c r="E100" s="2">
        <v>42770</v>
      </c>
      <c r="F100" s="6">
        <v>40.00781852866956</v>
      </c>
    </row>
    <row r="101" spans="1:6">
      <c r="A101" s="1">
        <v>9121597</v>
      </c>
      <c r="B101" s="1">
        <v>49.900250690054598</v>
      </c>
      <c r="C101" s="1">
        <v>100</v>
      </c>
      <c r="D101" s="1">
        <v>220</v>
      </c>
      <c r="E101" s="2">
        <v>43156</v>
      </c>
      <c r="F101" s="6">
        <v>3.7602103584068152</v>
      </c>
    </row>
    <row r="102" spans="1:6">
      <c r="A102" s="1">
        <v>9121600</v>
      </c>
      <c r="B102" s="1">
        <v>0.78197274709508424</v>
      </c>
      <c r="C102" s="1">
        <v>101</v>
      </c>
      <c r="D102" s="1">
        <v>77</v>
      </c>
      <c r="E102" s="2">
        <v>43027</v>
      </c>
      <c r="F102" s="6">
        <v>83.927401944274862</v>
      </c>
    </row>
    <row r="103" spans="1:6">
      <c r="A103" s="1">
        <v>9121603</v>
      </c>
      <c r="B103" s="1">
        <v>50.900250690054598</v>
      </c>
      <c r="C103" s="1">
        <v>102</v>
      </c>
      <c r="D103" s="1">
        <v>41</v>
      </c>
      <c r="E103" s="2">
        <v>42961</v>
      </c>
      <c r="F103" s="6">
        <v>60.454840233342416</v>
      </c>
    </row>
    <row r="104" spans="1:6">
      <c r="A104" s="1">
        <v>9121606</v>
      </c>
      <c r="B104" s="1">
        <v>0.5383372207143885</v>
      </c>
      <c r="C104" s="1">
        <v>103</v>
      </c>
      <c r="D104" s="1">
        <v>154</v>
      </c>
      <c r="E104" s="2">
        <v>42827</v>
      </c>
      <c r="F104" s="6">
        <v>10.530842293229224</v>
      </c>
    </row>
    <row r="105" spans="1:6">
      <c r="A105" s="1">
        <v>9121609</v>
      </c>
      <c r="B105" s="1">
        <v>51.900250690054598</v>
      </c>
      <c r="C105" s="1">
        <v>104</v>
      </c>
      <c r="D105" s="1">
        <v>273</v>
      </c>
      <c r="E105" s="2">
        <v>43114</v>
      </c>
      <c r="F105" s="6">
        <v>10.308602352951738</v>
      </c>
    </row>
    <row r="106" spans="1:6">
      <c r="A106" s="1">
        <v>9121612</v>
      </c>
      <c r="B106" s="1">
        <v>0.56921381390801962</v>
      </c>
      <c r="C106" s="1">
        <v>105</v>
      </c>
      <c r="D106" s="1">
        <v>78</v>
      </c>
      <c r="E106" s="2">
        <v>43273</v>
      </c>
      <c r="F106" s="6">
        <v>7.7264538454553167</v>
      </c>
    </row>
    <row r="107" spans="1:6">
      <c r="A107" s="1">
        <v>9121615</v>
      </c>
      <c r="B107" s="1">
        <v>52.900250690054598</v>
      </c>
      <c r="C107" s="1">
        <v>106</v>
      </c>
      <c r="D107" s="1">
        <v>453</v>
      </c>
      <c r="E107" s="2">
        <v>42911</v>
      </c>
      <c r="F107" s="6">
        <v>427.91226657448567</v>
      </c>
    </row>
    <row r="108" spans="1:6">
      <c r="A108" s="1">
        <v>9121618</v>
      </c>
      <c r="B108" s="1">
        <v>0.99664682704855923</v>
      </c>
      <c r="C108" s="1">
        <v>107</v>
      </c>
      <c r="D108" s="1">
        <v>520</v>
      </c>
      <c r="E108" s="2">
        <v>42821</v>
      </c>
      <c r="F108" s="6">
        <v>38.577433136928477</v>
      </c>
    </row>
    <row r="109" spans="1:6">
      <c r="A109" s="1">
        <v>9121621</v>
      </c>
      <c r="B109" s="1">
        <v>53.900250690054598</v>
      </c>
      <c r="C109" s="1">
        <v>108</v>
      </c>
      <c r="D109" s="1">
        <v>474</v>
      </c>
      <c r="E109" s="2">
        <v>43244</v>
      </c>
      <c r="F109" s="6">
        <v>30.301148070150816</v>
      </c>
    </row>
    <row r="110" spans="1:6">
      <c r="A110" s="1">
        <v>9121624</v>
      </c>
      <c r="B110" s="1">
        <v>0.70496049480014533</v>
      </c>
      <c r="C110" s="1">
        <v>109</v>
      </c>
      <c r="D110" s="1">
        <v>190</v>
      </c>
      <c r="E110" s="2">
        <v>43413</v>
      </c>
      <c r="F110" s="6">
        <v>174.60717359057301</v>
      </c>
    </row>
    <row r="111" spans="1:6">
      <c r="A111" s="1">
        <v>9121627</v>
      </c>
      <c r="B111" s="1">
        <v>54.900250690054598</v>
      </c>
      <c r="C111" s="1">
        <v>110</v>
      </c>
      <c r="D111" s="1">
        <v>13</v>
      </c>
      <c r="E111" s="2">
        <v>43235</v>
      </c>
      <c r="F111" s="6">
        <v>28.929050540940164</v>
      </c>
    </row>
    <row r="112" spans="1:6">
      <c r="A112" s="1">
        <v>9121630</v>
      </c>
      <c r="B112" s="1">
        <v>0.81156168820873065</v>
      </c>
      <c r="C112" s="1">
        <v>111</v>
      </c>
      <c r="D112" s="1">
        <v>216</v>
      </c>
      <c r="E112" s="2">
        <v>42878</v>
      </c>
      <c r="F112" s="6">
        <v>56.157012775882762</v>
      </c>
    </row>
    <row r="113" spans="1:6">
      <c r="A113" s="1">
        <v>9121633</v>
      </c>
      <c r="B113" s="1">
        <v>55.900250690054598</v>
      </c>
      <c r="C113" s="1">
        <v>112</v>
      </c>
      <c r="D113" s="1">
        <v>103</v>
      </c>
      <c r="E113" s="2">
        <v>43040</v>
      </c>
      <c r="F113" s="6">
        <v>295.10606168462061</v>
      </c>
    </row>
    <row r="114" spans="1:6">
      <c r="A114" s="1">
        <v>9121636</v>
      </c>
      <c r="B114" s="1">
        <v>0.87865513804267303</v>
      </c>
      <c r="C114" s="1">
        <v>113</v>
      </c>
      <c r="D114" s="1">
        <v>259</v>
      </c>
      <c r="E114" s="2">
        <v>43406</v>
      </c>
      <c r="F114" s="6">
        <v>12.707763621777071</v>
      </c>
    </row>
    <row r="115" spans="1:6">
      <c r="A115" s="1">
        <v>9121639</v>
      </c>
      <c r="B115" s="1">
        <v>56.900250690054598</v>
      </c>
      <c r="C115" s="1">
        <v>114</v>
      </c>
      <c r="D115" s="1">
        <v>232</v>
      </c>
      <c r="E115" s="2">
        <v>42740</v>
      </c>
      <c r="F115" s="6">
        <v>8.0384920050486013</v>
      </c>
    </row>
    <row r="116" spans="1:6">
      <c r="A116" s="1">
        <v>9121642</v>
      </c>
      <c r="B116" s="1">
        <v>0.13781468007178044</v>
      </c>
      <c r="C116" s="1">
        <v>115</v>
      </c>
      <c r="D116" s="1">
        <v>390</v>
      </c>
      <c r="E116" s="2">
        <v>42990</v>
      </c>
      <c r="F116" s="6">
        <v>11.561127702480819</v>
      </c>
    </row>
    <row r="117" spans="1:6">
      <c r="A117" s="1">
        <v>9121645</v>
      </c>
      <c r="B117" s="1">
        <v>57.900250690054598</v>
      </c>
      <c r="C117" s="1">
        <v>116</v>
      </c>
      <c r="D117" s="1">
        <v>200</v>
      </c>
      <c r="E117" s="2">
        <v>42925</v>
      </c>
      <c r="F117" s="6">
        <v>78.05839370430094</v>
      </c>
    </row>
    <row r="118" spans="1:6">
      <c r="A118" s="1">
        <v>9121648</v>
      </c>
      <c r="B118" s="1">
        <v>1.35536542998832E-2</v>
      </c>
      <c r="C118" s="1">
        <v>117</v>
      </c>
      <c r="D118" s="1">
        <v>377</v>
      </c>
      <c r="E118" s="2">
        <v>43040</v>
      </c>
      <c r="F118" s="6">
        <v>86.914757412801549</v>
      </c>
    </row>
    <row r="119" spans="1:6">
      <c r="A119" s="1">
        <v>9121651</v>
      </c>
      <c r="B119" s="1">
        <v>58.900250690054598</v>
      </c>
      <c r="C119" s="1">
        <v>118</v>
      </c>
      <c r="D119" s="1">
        <v>253</v>
      </c>
      <c r="E119" s="2">
        <v>42975</v>
      </c>
      <c r="F119" s="6">
        <v>17.96367215130045</v>
      </c>
    </row>
    <row r="120" spans="1:6">
      <c r="A120" s="1">
        <v>9121654</v>
      </c>
      <c r="B120" s="1">
        <v>0.48732089418931246</v>
      </c>
      <c r="C120" s="1">
        <v>119</v>
      </c>
      <c r="D120" s="1">
        <v>267</v>
      </c>
      <c r="E120" s="2">
        <v>43103</v>
      </c>
      <c r="F120" s="6">
        <v>37.915525173108229</v>
      </c>
    </row>
    <row r="121" spans="1:6">
      <c r="A121" s="1">
        <v>9121657</v>
      </c>
      <c r="B121" s="1">
        <v>59.900250690054598</v>
      </c>
      <c r="C121" s="1">
        <v>120</v>
      </c>
      <c r="D121" s="1">
        <v>424</v>
      </c>
      <c r="E121" s="2">
        <v>43067</v>
      </c>
      <c r="F121" s="6">
        <v>42.095603298170886</v>
      </c>
    </row>
    <row r="122" spans="1:6">
      <c r="A122" s="1">
        <v>9121660</v>
      </c>
      <c r="B122" s="1">
        <v>2.4702941674315082E-2</v>
      </c>
      <c r="C122" s="1">
        <v>121</v>
      </c>
      <c r="D122" s="1">
        <v>438</v>
      </c>
      <c r="E122" s="2">
        <v>43017</v>
      </c>
      <c r="F122" s="6">
        <v>3.4118303119749349</v>
      </c>
    </row>
    <row r="123" spans="1:6">
      <c r="A123" s="1">
        <v>9121663</v>
      </c>
      <c r="B123" s="1">
        <v>60.900250690054598</v>
      </c>
      <c r="C123" s="1">
        <v>122</v>
      </c>
      <c r="D123" s="1">
        <v>163</v>
      </c>
      <c r="E123" s="2">
        <v>42909</v>
      </c>
      <c r="F123" s="6">
        <v>213.11692311114692</v>
      </c>
    </row>
    <row r="124" spans="1:6">
      <c r="A124" s="1">
        <v>9121666</v>
      </c>
      <c r="B124" s="1">
        <v>0.75628912847551555</v>
      </c>
      <c r="C124" s="1">
        <v>123</v>
      </c>
      <c r="D124" s="1">
        <v>405</v>
      </c>
      <c r="E124" s="2">
        <v>42738</v>
      </c>
      <c r="F124" s="6">
        <v>301.43481717810653</v>
      </c>
    </row>
    <row r="125" spans="1:6">
      <c r="A125" s="1">
        <v>9121669</v>
      </c>
      <c r="B125" s="1">
        <v>61.900250690054598</v>
      </c>
      <c r="C125" s="1">
        <v>124</v>
      </c>
      <c r="D125" s="1">
        <v>421</v>
      </c>
      <c r="E125" s="2">
        <v>43321</v>
      </c>
      <c r="F125" s="6">
        <v>16.143249750425202</v>
      </c>
    </row>
    <row r="126" spans="1:6">
      <c r="A126" s="1">
        <v>9121672</v>
      </c>
      <c r="B126" s="1">
        <v>0.96461941533652951</v>
      </c>
      <c r="C126" s="1">
        <v>125</v>
      </c>
      <c r="D126" s="1">
        <v>532</v>
      </c>
      <c r="E126" s="2">
        <v>43396</v>
      </c>
      <c r="F126" s="6">
        <v>132.05112666447263</v>
      </c>
    </row>
    <row r="127" spans="1:6">
      <c r="A127" s="1">
        <v>9121675</v>
      </c>
      <c r="B127" s="1">
        <v>62.900250690054598</v>
      </c>
      <c r="C127" s="1">
        <v>126</v>
      </c>
      <c r="D127" s="1">
        <v>365</v>
      </c>
      <c r="E127" s="2">
        <v>43196</v>
      </c>
      <c r="F127" s="6">
        <v>46.972856831778216</v>
      </c>
    </row>
    <row r="128" spans="1:6">
      <c r="A128" s="1">
        <v>9121678</v>
      </c>
      <c r="B128" s="1">
        <v>0.83608036567250421</v>
      </c>
      <c r="C128" s="1">
        <v>127</v>
      </c>
      <c r="D128" s="1">
        <v>289</v>
      </c>
      <c r="E128" s="2">
        <v>43400</v>
      </c>
      <c r="F128" s="6">
        <v>31.784108968457272</v>
      </c>
    </row>
    <row r="129" spans="1:6">
      <c r="A129" s="1">
        <v>9121681</v>
      </c>
      <c r="B129" s="1">
        <v>63.900250690054598</v>
      </c>
      <c r="C129" s="1">
        <v>128</v>
      </c>
      <c r="D129" s="1">
        <v>502</v>
      </c>
      <c r="E129" s="2">
        <v>43286</v>
      </c>
      <c r="F129" s="6">
        <v>13.377705713413352</v>
      </c>
    </row>
    <row r="130" spans="1:6">
      <c r="A130" s="1">
        <v>9121684</v>
      </c>
      <c r="B130" s="1">
        <v>0.92607344466099373</v>
      </c>
      <c r="C130" s="1">
        <v>129</v>
      </c>
      <c r="D130" s="1">
        <v>228</v>
      </c>
      <c r="E130" s="2">
        <v>43180</v>
      </c>
      <c r="F130" s="6">
        <v>43.911603923419626</v>
      </c>
    </row>
    <row r="131" spans="1:6">
      <c r="A131" s="1">
        <v>9121687</v>
      </c>
      <c r="B131" s="1">
        <v>64.900250690054605</v>
      </c>
      <c r="C131" s="1">
        <v>130</v>
      </c>
      <c r="D131" s="1">
        <v>482</v>
      </c>
      <c r="E131" s="2">
        <v>43302</v>
      </c>
      <c r="F131" s="6">
        <v>10.436739586855541</v>
      </c>
    </row>
    <row r="132" spans="1:6">
      <c r="A132" s="1">
        <v>9121690</v>
      </c>
      <c r="B132" s="1">
        <v>0.70541455606072612</v>
      </c>
      <c r="C132" s="1">
        <v>131</v>
      </c>
      <c r="D132" s="1">
        <v>353</v>
      </c>
      <c r="E132" s="2">
        <v>43338</v>
      </c>
      <c r="F132" s="6">
        <v>28.85230837111116</v>
      </c>
    </row>
    <row r="133" spans="1:6">
      <c r="A133" s="1">
        <v>9121693</v>
      </c>
      <c r="B133" s="1">
        <v>65.900250690054605</v>
      </c>
      <c r="C133" s="1">
        <v>132</v>
      </c>
      <c r="D133" s="1">
        <v>530</v>
      </c>
      <c r="E133" s="2">
        <v>43183</v>
      </c>
      <c r="F133" s="6">
        <v>129.17249337719898</v>
      </c>
    </row>
    <row r="134" spans="1:6">
      <c r="A134" s="1">
        <v>9121696</v>
      </c>
      <c r="B134" s="1">
        <v>0.49932294371116337</v>
      </c>
      <c r="C134" s="1">
        <v>133</v>
      </c>
      <c r="D134" s="1">
        <v>562</v>
      </c>
      <c r="E134" s="2">
        <v>43340</v>
      </c>
      <c r="F134" s="6">
        <v>51.422838705053167</v>
      </c>
    </row>
    <row r="135" spans="1:6">
      <c r="A135" s="1">
        <v>9121699</v>
      </c>
      <c r="B135" s="1">
        <v>66.900250690054605</v>
      </c>
      <c r="C135" s="1">
        <v>134</v>
      </c>
      <c r="D135" s="1">
        <v>27</v>
      </c>
      <c r="E135" s="2">
        <v>43364</v>
      </c>
      <c r="F135" s="6">
        <v>61.127295955800172</v>
      </c>
    </row>
    <row r="136" spans="1:6">
      <c r="A136" s="1">
        <v>9121702</v>
      </c>
      <c r="B136" s="1">
        <v>0.53928803623913857</v>
      </c>
      <c r="C136" s="1">
        <v>135</v>
      </c>
      <c r="D136" s="1">
        <v>588</v>
      </c>
      <c r="E136" s="2">
        <v>42844</v>
      </c>
      <c r="F136" s="6">
        <v>112.18267562727581</v>
      </c>
    </row>
    <row r="137" spans="1:6">
      <c r="A137" s="1">
        <v>9121705</v>
      </c>
      <c r="B137" s="1">
        <v>67.900250690054605</v>
      </c>
      <c r="C137" s="1">
        <v>136</v>
      </c>
      <c r="D137" s="1">
        <v>369</v>
      </c>
      <c r="E137" s="2">
        <v>43262</v>
      </c>
      <c r="F137" s="6">
        <v>66.476697712982059</v>
      </c>
    </row>
    <row r="138" spans="1:6">
      <c r="A138" s="1">
        <v>9121708</v>
      </c>
      <c r="B138" s="1">
        <v>0.6483439795726218</v>
      </c>
      <c r="C138" s="1">
        <v>137</v>
      </c>
      <c r="D138" s="1">
        <v>238</v>
      </c>
      <c r="E138" s="2">
        <v>42868</v>
      </c>
      <c r="F138" s="6">
        <v>31.592913022070242</v>
      </c>
    </row>
    <row r="139" spans="1:6">
      <c r="A139" s="1">
        <v>9121711</v>
      </c>
      <c r="B139" s="1">
        <v>68.900250690054605</v>
      </c>
      <c r="C139" s="1">
        <v>138</v>
      </c>
      <c r="D139" s="1">
        <v>330</v>
      </c>
      <c r="E139" s="2">
        <v>42910</v>
      </c>
      <c r="F139" s="6">
        <v>48.931360355725786</v>
      </c>
    </row>
    <row r="140" spans="1:6">
      <c r="A140" s="1">
        <v>9121714</v>
      </c>
      <c r="B140" s="1">
        <v>0.88046581349159403</v>
      </c>
      <c r="C140" s="1">
        <v>139</v>
      </c>
      <c r="D140" s="1">
        <v>140</v>
      </c>
      <c r="E140" s="2">
        <v>43062</v>
      </c>
      <c r="F140" s="6">
        <v>4.3907118545850139</v>
      </c>
    </row>
    <row r="141" spans="1:6">
      <c r="A141" s="1">
        <v>9121717</v>
      </c>
      <c r="B141" s="1">
        <v>69.900250690054605</v>
      </c>
      <c r="C141" s="1">
        <v>140</v>
      </c>
      <c r="D141" s="1">
        <v>164</v>
      </c>
      <c r="E141" s="2">
        <v>42843</v>
      </c>
      <c r="F141" s="6">
        <v>82.477897169514492</v>
      </c>
    </row>
    <row r="142" spans="1:6">
      <c r="A142" s="1">
        <v>9121720</v>
      </c>
      <c r="B142" s="1">
        <v>0.29887164375012354</v>
      </c>
      <c r="C142" s="1">
        <v>141</v>
      </c>
      <c r="D142" s="1">
        <v>213</v>
      </c>
      <c r="E142" s="2">
        <v>43400</v>
      </c>
      <c r="F142" s="6">
        <v>218.94040506815756</v>
      </c>
    </row>
    <row r="143" spans="1:6">
      <c r="A143" s="1">
        <v>9121723</v>
      </c>
      <c r="B143" s="1">
        <v>70.900250690054605</v>
      </c>
      <c r="C143" s="1">
        <v>142</v>
      </c>
      <c r="D143" s="1">
        <v>175</v>
      </c>
      <c r="E143" s="2">
        <v>43314</v>
      </c>
      <c r="F143" s="6">
        <v>11.508627139990899</v>
      </c>
    </row>
    <row r="144" spans="1:6">
      <c r="A144" s="1">
        <v>9121726</v>
      </c>
      <c r="B144" s="1">
        <v>0.34878362852470757</v>
      </c>
      <c r="C144" s="1">
        <v>143</v>
      </c>
      <c r="D144" s="1">
        <v>459</v>
      </c>
      <c r="E144" s="2">
        <v>42760</v>
      </c>
      <c r="F144" s="6">
        <v>154.72986483752499</v>
      </c>
    </row>
    <row r="145" spans="1:6">
      <c r="A145" s="1">
        <v>9121729</v>
      </c>
      <c r="B145" s="1">
        <v>71.900250690054605</v>
      </c>
      <c r="C145" s="1">
        <v>144</v>
      </c>
      <c r="D145" s="1">
        <v>407</v>
      </c>
      <c r="E145" s="2">
        <v>42975</v>
      </c>
      <c r="F145" s="6">
        <v>28.775637204573925</v>
      </c>
    </row>
    <row r="146" spans="1:6">
      <c r="A146" s="1">
        <v>9121732</v>
      </c>
      <c r="B146" s="1">
        <v>4.2158855182717558E-2</v>
      </c>
      <c r="C146" s="1">
        <v>145</v>
      </c>
      <c r="D146" s="1">
        <v>383</v>
      </c>
      <c r="E146" s="2">
        <v>43497</v>
      </c>
      <c r="F146" s="6">
        <v>76.859072355461521</v>
      </c>
    </row>
    <row r="147" spans="1:6">
      <c r="A147" s="1">
        <v>9121735</v>
      </c>
      <c r="B147" s="1">
        <v>72.900250690054605</v>
      </c>
      <c r="C147" s="1">
        <v>146</v>
      </c>
      <c r="D147" s="1">
        <v>64</v>
      </c>
      <c r="E147" s="2">
        <v>43085</v>
      </c>
      <c r="F147" s="6">
        <v>4.9512870868557819</v>
      </c>
    </row>
    <row r="148" spans="1:6">
      <c r="A148" s="1">
        <v>9121738</v>
      </c>
      <c r="B148" s="1">
        <v>0.39927790063796653</v>
      </c>
      <c r="C148" s="1">
        <v>147</v>
      </c>
      <c r="D148" s="1">
        <v>243</v>
      </c>
      <c r="E148" s="2">
        <v>43300</v>
      </c>
      <c r="F148" s="6">
        <v>24.44801464861391</v>
      </c>
    </row>
    <row r="149" spans="1:6">
      <c r="A149" s="1">
        <v>9121741</v>
      </c>
      <c r="B149" s="1">
        <v>73.900250690054605</v>
      </c>
      <c r="C149" s="1">
        <v>148</v>
      </c>
      <c r="D149" s="1">
        <v>591</v>
      </c>
      <c r="E149" s="2">
        <v>43383</v>
      </c>
      <c r="F149" s="6">
        <v>20.021409048268975</v>
      </c>
    </row>
    <row r="150" spans="1:6">
      <c r="A150" s="1">
        <v>9121744</v>
      </c>
      <c r="B150" s="1">
        <v>0.4859812752715984</v>
      </c>
      <c r="C150" s="1">
        <v>149</v>
      </c>
      <c r="D150" s="1">
        <v>499</v>
      </c>
      <c r="E150" s="2">
        <v>43407</v>
      </c>
      <c r="F150" s="6">
        <v>24.431550137072392</v>
      </c>
    </row>
    <row r="151" spans="1:6">
      <c r="A151" s="1">
        <v>9121747</v>
      </c>
      <c r="B151" s="1">
        <v>74.900250690054605</v>
      </c>
      <c r="C151" s="1">
        <v>150</v>
      </c>
      <c r="D151" s="1">
        <v>401</v>
      </c>
      <c r="E151" s="2">
        <v>43495</v>
      </c>
      <c r="F151" s="6">
        <v>18.805266640278518</v>
      </c>
    </row>
    <row r="152" spans="1:6">
      <c r="A152" s="1">
        <v>9121750</v>
      </c>
      <c r="B152" s="1">
        <v>0.43211730788483038</v>
      </c>
      <c r="C152" s="1">
        <v>151</v>
      </c>
      <c r="D152" s="1">
        <v>61</v>
      </c>
      <c r="E152" s="2">
        <v>42921</v>
      </c>
      <c r="F152" s="6">
        <v>82.085679371952338</v>
      </c>
    </row>
    <row r="153" spans="1:6">
      <c r="A153" s="1">
        <v>9121753</v>
      </c>
      <c r="B153" s="1">
        <v>75.900250690054605</v>
      </c>
      <c r="C153" s="1">
        <v>152</v>
      </c>
      <c r="D153" s="1">
        <v>489</v>
      </c>
      <c r="E153" s="2">
        <v>43433</v>
      </c>
      <c r="F153" s="6">
        <v>11.500611116059559</v>
      </c>
    </row>
    <row r="154" spans="1:6">
      <c r="A154" s="1">
        <v>9121756</v>
      </c>
      <c r="B154" s="1">
        <v>0.72721394581676657</v>
      </c>
      <c r="C154" s="1">
        <v>153</v>
      </c>
      <c r="D154" s="1">
        <v>53</v>
      </c>
      <c r="E154" s="2">
        <v>43027</v>
      </c>
      <c r="F154" s="6">
        <v>68.568636368222684</v>
      </c>
    </row>
    <row r="155" spans="1:6">
      <c r="A155" s="1">
        <v>9121759</v>
      </c>
      <c r="B155" s="1">
        <v>76.900250690054605</v>
      </c>
      <c r="C155" s="1">
        <v>154</v>
      </c>
      <c r="D155" s="1">
        <v>519</v>
      </c>
      <c r="E155" s="2">
        <v>43453</v>
      </c>
      <c r="F155" s="6">
        <v>34.487897388242658</v>
      </c>
    </row>
    <row r="156" spans="1:6">
      <c r="A156" s="1">
        <v>9121762</v>
      </c>
      <c r="B156" s="1">
        <v>3.9131120885812165E-2</v>
      </c>
      <c r="C156" s="1">
        <v>155</v>
      </c>
      <c r="D156" s="1">
        <v>290</v>
      </c>
      <c r="E156" s="2">
        <v>43010</v>
      </c>
      <c r="F156" s="6">
        <v>10.918361914424551</v>
      </c>
    </row>
    <row r="157" spans="1:6">
      <c r="A157" s="1">
        <v>9121765</v>
      </c>
      <c r="B157" s="1">
        <v>77.900250690054605</v>
      </c>
      <c r="C157" s="1">
        <v>156</v>
      </c>
      <c r="D157" s="1">
        <v>167</v>
      </c>
      <c r="E157" s="2">
        <v>42761</v>
      </c>
      <c r="F157" s="6">
        <v>118.96506234455497</v>
      </c>
    </row>
    <row r="158" spans="1:6">
      <c r="A158" s="1">
        <v>9121768</v>
      </c>
      <c r="B158" s="1">
        <v>0.40554986051162911</v>
      </c>
      <c r="C158" s="1">
        <v>157</v>
      </c>
      <c r="D158" s="1">
        <v>244</v>
      </c>
      <c r="E158" s="2">
        <v>43151</v>
      </c>
      <c r="F158" s="6">
        <v>185.89133554414187</v>
      </c>
    </row>
    <row r="159" spans="1:6">
      <c r="A159" s="1">
        <v>9121771</v>
      </c>
      <c r="B159" s="1">
        <v>78.900250690054605</v>
      </c>
      <c r="C159" s="1">
        <v>158</v>
      </c>
      <c r="D159" s="1">
        <v>275</v>
      </c>
      <c r="E159" s="2">
        <v>43493</v>
      </c>
      <c r="F159" s="6">
        <v>220.95028722213036</v>
      </c>
    </row>
    <row r="160" spans="1:6">
      <c r="A160" s="1">
        <v>9121774</v>
      </c>
      <c r="B160" s="1">
        <v>0.73753636559653257</v>
      </c>
      <c r="C160" s="1">
        <v>159</v>
      </c>
      <c r="D160" s="1">
        <v>478</v>
      </c>
      <c r="E160" s="2">
        <v>42864</v>
      </c>
      <c r="F160" s="6">
        <v>98.14979727142034</v>
      </c>
    </row>
    <row r="161" spans="1:6">
      <c r="A161" s="1">
        <v>9121777</v>
      </c>
      <c r="B161" s="1">
        <v>79.900250690054605</v>
      </c>
      <c r="C161" s="1">
        <v>160</v>
      </c>
      <c r="D161" s="1">
        <v>100</v>
      </c>
      <c r="E161" s="2">
        <v>43042</v>
      </c>
      <c r="F161" s="6">
        <v>320.05038867702575</v>
      </c>
    </row>
    <row r="162" spans="1:6">
      <c r="A162" s="1">
        <v>9121780</v>
      </c>
      <c r="B162" s="1">
        <v>0.43210062379808667</v>
      </c>
      <c r="C162" s="1">
        <v>161</v>
      </c>
      <c r="D162" s="1">
        <v>192</v>
      </c>
      <c r="E162" s="2">
        <v>43048</v>
      </c>
      <c r="F162" s="6">
        <v>8.619516888339259</v>
      </c>
    </row>
    <row r="163" spans="1:6">
      <c r="A163" s="1">
        <v>9121783</v>
      </c>
      <c r="B163" s="1">
        <v>80.900250690054605</v>
      </c>
      <c r="C163" s="1">
        <v>162</v>
      </c>
      <c r="D163" s="1">
        <v>570</v>
      </c>
      <c r="E163" s="2">
        <v>42839</v>
      </c>
      <c r="F163" s="6">
        <v>20.863389049787347</v>
      </c>
    </row>
    <row r="164" spans="1:6">
      <c r="A164" s="1">
        <v>9121786</v>
      </c>
      <c r="B164" s="1">
        <v>0.95521780893831043</v>
      </c>
      <c r="C164" s="1">
        <v>163</v>
      </c>
      <c r="D164" s="1">
        <v>553</v>
      </c>
      <c r="E164" s="2">
        <v>42858</v>
      </c>
      <c r="F164" s="6">
        <v>54.703929556374831</v>
      </c>
    </row>
    <row r="165" spans="1:6">
      <c r="A165" s="1">
        <v>9121789</v>
      </c>
      <c r="B165" s="1">
        <v>81.900250690054605</v>
      </c>
      <c r="C165" s="1">
        <v>164</v>
      </c>
      <c r="D165" s="1">
        <v>21</v>
      </c>
      <c r="E165" s="2">
        <v>42867</v>
      </c>
      <c r="F165" s="6">
        <v>70.647501459666259</v>
      </c>
    </row>
    <row r="166" spans="1:6">
      <c r="A166" s="1">
        <v>9121792</v>
      </c>
      <c r="B166" s="1">
        <v>0.57615063360702756</v>
      </c>
      <c r="C166" s="1">
        <v>165</v>
      </c>
      <c r="D166" s="1">
        <v>153</v>
      </c>
      <c r="E166" s="2">
        <v>42988</v>
      </c>
      <c r="F166" s="6">
        <v>78.93731535889799</v>
      </c>
    </row>
    <row r="167" spans="1:6">
      <c r="A167" s="1">
        <v>9121795</v>
      </c>
      <c r="B167" s="1">
        <v>82.900250690054605</v>
      </c>
      <c r="C167" s="1">
        <v>166</v>
      </c>
      <c r="D167" s="1">
        <v>411</v>
      </c>
      <c r="E167" s="2">
        <v>42793</v>
      </c>
      <c r="F167" s="6">
        <v>10.901907064100559</v>
      </c>
    </row>
    <row r="168" spans="1:6">
      <c r="A168" s="1">
        <v>9121798</v>
      </c>
      <c r="B168" s="1">
        <v>0.52933948953828591</v>
      </c>
      <c r="C168" s="1">
        <v>167</v>
      </c>
      <c r="D168" s="1">
        <v>138</v>
      </c>
      <c r="E168" s="2">
        <v>43257</v>
      </c>
      <c r="F168" s="6">
        <v>51.150394764294305</v>
      </c>
    </row>
    <row r="169" spans="1:6">
      <c r="A169" s="1">
        <v>9121801</v>
      </c>
      <c r="B169" s="1">
        <v>83.900250690054605</v>
      </c>
      <c r="C169" s="1">
        <v>168</v>
      </c>
      <c r="D169" s="1">
        <v>177</v>
      </c>
      <c r="E169" s="2">
        <v>42891</v>
      </c>
      <c r="F169" s="6">
        <v>165.97085458719511</v>
      </c>
    </row>
    <row r="170" spans="1:6">
      <c r="A170" s="1">
        <v>9121804</v>
      </c>
      <c r="B170" s="1">
        <v>0.44249680213481724</v>
      </c>
      <c r="C170" s="1">
        <v>169</v>
      </c>
      <c r="D170" s="1">
        <v>554</v>
      </c>
      <c r="E170" s="2">
        <v>42879</v>
      </c>
      <c r="F170" s="6">
        <v>166.31165962609168</v>
      </c>
    </row>
    <row r="171" spans="1:6">
      <c r="A171" s="1">
        <v>9121807</v>
      </c>
      <c r="B171" s="1">
        <v>84.900250690054605</v>
      </c>
      <c r="C171" s="1">
        <v>170</v>
      </c>
      <c r="D171" s="1">
        <v>178</v>
      </c>
      <c r="E171" s="2">
        <v>43166</v>
      </c>
      <c r="F171" s="6">
        <v>313.78517088172663</v>
      </c>
    </row>
    <row r="172" spans="1:6">
      <c r="A172" s="1">
        <v>9121810</v>
      </c>
      <c r="B172" s="1">
        <v>0.64869543876988189</v>
      </c>
      <c r="C172" s="1">
        <v>171</v>
      </c>
      <c r="D172" s="1">
        <v>198</v>
      </c>
      <c r="E172" s="2">
        <v>43081</v>
      </c>
      <c r="F172" s="6">
        <v>107.20848566043377</v>
      </c>
    </row>
    <row r="173" spans="1:6">
      <c r="A173" s="1">
        <v>9121813</v>
      </c>
      <c r="B173" s="1">
        <v>85.900250690054605</v>
      </c>
      <c r="C173" s="1">
        <v>172</v>
      </c>
      <c r="D173" s="1">
        <v>303</v>
      </c>
      <c r="E173" s="2">
        <v>43117</v>
      </c>
      <c r="F173" s="6">
        <v>77.032521619476185</v>
      </c>
    </row>
    <row r="174" spans="1:6">
      <c r="A174" s="1">
        <v>9121816</v>
      </c>
      <c r="B174" s="1">
        <v>0.50545133841973222</v>
      </c>
      <c r="C174" s="1">
        <v>173</v>
      </c>
      <c r="D174" s="1">
        <v>19</v>
      </c>
      <c r="E174" s="2">
        <v>43065</v>
      </c>
      <c r="F174" s="6">
        <v>7.3718371052725473</v>
      </c>
    </row>
    <row r="175" spans="1:6">
      <c r="A175" s="1">
        <v>9121819</v>
      </c>
      <c r="B175" s="1">
        <v>86.900250690054605</v>
      </c>
      <c r="C175" s="1">
        <v>174</v>
      </c>
      <c r="D175" s="1">
        <v>450</v>
      </c>
      <c r="E175" s="2">
        <v>43096</v>
      </c>
      <c r="F175" s="6">
        <v>39.827178490447508</v>
      </c>
    </row>
    <row r="176" spans="1:6">
      <c r="A176" s="1">
        <v>9121822</v>
      </c>
      <c r="B176" s="1">
        <v>0.68458950973747046</v>
      </c>
      <c r="C176" s="1">
        <v>175</v>
      </c>
      <c r="D176" s="1">
        <v>89</v>
      </c>
      <c r="E176" s="2">
        <v>42832</v>
      </c>
      <c r="F176" s="6">
        <v>24.173730742067796</v>
      </c>
    </row>
    <row r="177" spans="1:6">
      <c r="A177" s="1">
        <v>9121825</v>
      </c>
      <c r="B177" s="1">
        <v>87.900250690054605</v>
      </c>
      <c r="C177" s="1">
        <v>176</v>
      </c>
      <c r="D177" s="1">
        <v>395</v>
      </c>
      <c r="E177" s="2">
        <v>43040</v>
      </c>
      <c r="F177" s="6">
        <v>12.297536560617752</v>
      </c>
    </row>
    <row r="178" spans="1:6">
      <c r="A178" s="1">
        <v>9121828</v>
      </c>
      <c r="B178" s="1">
        <v>0.73267422321281839</v>
      </c>
      <c r="C178" s="1">
        <v>177</v>
      </c>
      <c r="D178" s="1">
        <v>147</v>
      </c>
      <c r="E178" s="2">
        <v>43141</v>
      </c>
      <c r="F178" s="6">
        <v>39.382072888473473</v>
      </c>
    </row>
    <row r="179" spans="1:6">
      <c r="A179" s="1">
        <v>9121831</v>
      </c>
      <c r="B179" s="1">
        <v>88.900250690054605</v>
      </c>
      <c r="C179" s="1">
        <v>178</v>
      </c>
      <c r="D179" s="1">
        <v>476</v>
      </c>
      <c r="E179" s="2">
        <v>43304</v>
      </c>
      <c r="F179" s="6">
        <v>38.124796386935905</v>
      </c>
    </row>
    <row r="180" spans="1:6">
      <c r="A180" s="1">
        <v>9121834</v>
      </c>
      <c r="B180" s="1">
        <v>0.32330880965231901</v>
      </c>
      <c r="C180" s="1">
        <v>179</v>
      </c>
      <c r="D180" s="1">
        <v>9</v>
      </c>
      <c r="E180" s="2">
        <v>43082</v>
      </c>
      <c r="F180" s="6">
        <v>141.64839600216015</v>
      </c>
    </row>
    <row r="181" spans="1:6">
      <c r="A181" s="1">
        <v>9121837</v>
      </c>
      <c r="B181" s="1">
        <v>89.900250690054605</v>
      </c>
      <c r="C181" s="1">
        <v>180</v>
      </c>
      <c r="D181" s="1">
        <v>195</v>
      </c>
      <c r="E181" s="2">
        <v>43315</v>
      </c>
      <c r="F181" s="6">
        <v>3.0000007155290636</v>
      </c>
    </row>
    <row r="182" spans="1:6">
      <c r="A182" s="1">
        <v>9121840</v>
      </c>
      <c r="B182" s="1">
        <v>0.68907178211392983</v>
      </c>
      <c r="C182" s="1">
        <v>181</v>
      </c>
      <c r="D182" s="1">
        <v>272</v>
      </c>
      <c r="E182" s="2">
        <v>42956</v>
      </c>
      <c r="F182" s="6">
        <v>14.835831725225749</v>
      </c>
    </row>
    <row r="183" spans="1:6">
      <c r="A183" s="1">
        <v>9121843</v>
      </c>
      <c r="B183" s="1">
        <v>90.900250690054605</v>
      </c>
      <c r="C183" s="1">
        <v>182</v>
      </c>
      <c r="D183" s="1">
        <v>521</v>
      </c>
      <c r="E183" s="2">
        <v>43159</v>
      </c>
      <c r="F183" s="6">
        <v>9.7406137248819693</v>
      </c>
    </row>
    <row r="184" spans="1:6">
      <c r="A184" s="1">
        <v>9121846</v>
      </c>
      <c r="B184" s="1">
        <v>0.61452440659339003</v>
      </c>
      <c r="C184" s="1">
        <v>183</v>
      </c>
      <c r="D184" s="1">
        <v>260</v>
      </c>
      <c r="E184" s="2">
        <v>42773</v>
      </c>
      <c r="F184" s="6">
        <v>79.968011622280187</v>
      </c>
    </row>
    <row r="185" spans="1:6">
      <c r="A185" s="1">
        <v>9121849</v>
      </c>
      <c r="B185" s="1">
        <v>91.900250690054605</v>
      </c>
      <c r="C185" s="1">
        <v>184</v>
      </c>
      <c r="D185" s="1">
        <v>429</v>
      </c>
      <c r="E185" s="2">
        <v>43232</v>
      </c>
      <c r="F185" s="6">
        <v>47.47522013296917</v>
      </c>
    </row>
    <row r="186" spans="1:6">
      <c r="A186" s="1">
        <v>9121852</v>
      </c>
      <c r="B186" s="1">
        <v>0.91351135623972091</v>
      </c>
      <c r="C186" s="1">
        <v>185</v>
      </c>
      <c r="D186" s="1">
        <v>120</v>
      </c>
      <c r="E186" s="2">
        <v>43179</v>
      </c>
      <c r="F186" s="6">
        <v>4.4137811747609614</v>
      </c>
    </row>
    <row r="187" spans="1:6">
      <c r="A187" s="1">
        <v>9121855</v>
      </c>
      <c r="B187" s="1">
        <v>92.900250690054605</v>
      </c>
      <c r="C187" s="1">
        <v>186</v>
      </c>
      <c r="D187" s="1">
        <v>301</v>
      </c>
      <c r="E187" s="2">
        <v>42874</v>
      </c>
      <c r="F187" s="6">
        <v>135.47231108281642</v>
      </c>
    </row>
    <row r="188" spans="1:6">
      <c r="A188" s="1">
        <v>9121858</v>
      </c>
      <c r="B188" s="1">
        <v>0.3449876439391496</v>
      </c>
      <c r="C188" s="1">
        <v>187</v>
      </c>
      <c r="D188" s="1">
        <v>503</v>
      </c>
      <c r="E188" s="2">
        <v>43270</v>
      </c>
      <c r="F188" s="6">
        <v>4.9373046611158218</v>
      </c>
    </row>
    <row r="189" spans="1:6">
      <c r="A189" s="1">
        <v>9121861</v>
      </c>
      <c r="B189" s="1">
        <v>93.900250690054605</v>
      </c>
      <c r="C189" s="1">
        <v>188</v>
      </c>
      <c r="D189" s="1">
        <v>75</v>
      </c>
      <c r="E189" s="2">
        <v>43166</v>
      </c>
      <c r="F189" s="6">
        <v>4.6165338411889474</v>
      </c>
    </row>
    <row r="190" spans="1:6">
      <c r="A190" s="1">
        <v>9121864</v>
      </c>
      <c r="B190" s="1">
        <v>0.72683620951018257</v>
      </c>
      <c r="C190" s="1">
        <v>189</v>
      </c>
      <c r="D190" s="1">
        <v>460</v>
      </c>
      <c r="E190" s="2">
        <v>42800</v>
      </c>
      <c r="F190" s="6">
        <v>23.540103359513733</v>
      </c>
    </row>
    <row r="191" spans="1:6">
      <c r="A191" s="1">
        <v>9121867</v>
      </c>
      <c r="B191" s="1">
        <v>94.900250690054605</v>
      </c>
      <c r="C191" s="1">
        <v>190</v>
      </c>
      <c r="D191" s="1">
        <v>218</v>
      </c>
      <c r="E191" s="2">
        <v>42828</v>
      </c>
      <c r="F191" s="6">
        <v>17.283707031953092</v>
      </c>
    </row>
    <row r="192" spans="1:6">
      <c r="A192" s="1">
        <v>9121870</v>
      </c>
      <c r="B192" s="1">
        <v>0.87451831085475928</v>
      </c>
      <c r="C192" s="1">
        <v>191</v>
      </c>
      <c r="D192" s="1">
        <v>340</v>
      </c>
      <c r="E192" s="2">
        <v>42930</v>
      </c>
      <c r="F192" s="6">
        <v>17.303214682860272</v>
      </c>
    </row>
    <row r="193" spans="1:6">
      <c r="A193" s="1">
        <v>9121873</v>
      </c>
      <c r="B193" s="1">
        <v>95.900250690054605</v>
      </c>
      <c r="C193" s="1">
        <v>192</v>
      </c>
      <c r="D193" s="1">
        <v>427</v>
      </c>
      <c r="E193" s="2">
        <v>43379</v>
      </c>
      <c r="F193" s="6">
        <v>15.507199477495018</v>
      </c>
    </row>
    <row r="194" spans="1:6">
      <c r="A194" s="1">
        <v>9121876</v>
      </c>
      <c r="B194" s="1">
        <v>0.97834683980472226</v>
      </c>
      <c r="C194" s="1">
        <v>193</v>
      </c>
      <c r="D194" s="1">
        <v>128</v>
      </c>
      <c r="E194" s="2">
        <v>42854</v>
      </c>
      <c r="F194" s="6">
        <v>110.38907325256888</v>
      </c>
    </row>
    <row r="195" spans="1:6">
      <c r="A195" s="1">
        <v>9121879</v>
      </c>
      <c r="B195" s="1">
        <v>96.900250690054605</v>
      </c>
      <c r="C195" s="1">
        <v>194</v>
      </c>
      <c r="D195" s="1">
        <v>179</v>
      </c>
      <c r="E195" s="2">
        <v>43080</v>
      </c>
      <c r="F195" s="6">
        <v>5.2828753808251729</v>
      </c>
    </row>
    <row r="196" spans="1:6">
      <c r="A196" s="1">
        <v>9121882</v>
      </c>
      <c r="B196" s="1">
        <v>1.4484210645877571E-2</v>
      </c>
      <c r="C196" s="1">
        <v>195</v>
      </c>
      <c r="D196" s="1">
        <v>54</v>
      </c>
      <c r="E196" s="2">
        <v>42868</v>
      </c>
      <c r="F196" s="6">
        <v>263.91455485170877</v>
      </c>
    </row>
    <row r="197" spans="1:6">
      <c r="A197" s="1">
        <v>9121885</v>
      </c>
      <c r="B197" s="1">
        <v>97.900250690054605</v>
      </c>
      <c r="C197" s="1">
        <v>196</v>
      </c>
      <c r="D197" s="1">
        <v>17</v>
      </c>
      <c r="E197" s="2">
        <v>42944</v>
      </c>
      <c r="F197" s="6">
        <v>162.97419972505372</v>
      </c>
    </row>
    <row r="198" spans="1:6">
      <c r="A198" s="1">
        <v>9121888</v>
      </c>
      <c r="B198" s="1">
        <v>0.8229466935317441</v>
      </c>
      <c r="C198" s="1">
        <v>197</v>
      </c>
      <c r="D198" s="1">
        <v>490</v>
      </c>
      <c r="E198" s="2">
        <v>43012</v>
      </c>
      <c r="F198" s="6">
        <v>32.703392209540908</v>
      </c>
    </row>
    <row r="199" spans="1:6">
      <c r="A199" s="1">
        <v>9121891</v>
      </c>
      <c r="B199" s="1">
        <v>98.900250690054605</v>
      </c>
      <c r="C199" s="1">
        <v>198</v>
      </c>
      <c r="D199" s="1">
        <v>68</v>
      </c>
      <c r="E199" s="2">
        <v>43468</v>
      </c>
      <c r="F199" s="6">
        <v>46.814411284895137</v>
      </c>
    </row>
    <row r="200" spans="1:6">
      <c r="A200" s="1">
        <v>9121894</v>
      </c>
      <c r="B200" s="1">
        <v>0.17142653763466009</v>
      </c>
      <c r="C200" s="1">
        <v>199</v>
      </c>
      <c r="D200" s="1">
        <v>356</v>
      </c>
      <c r="E200" s="2">
        <v>43252</v>
      </c>
      <c r="F200" s="6">
        <v>26.64069557549028</v>
      </c>
    </row>
    <row r="201" spans="1:6">
      <c r="A201" s="1">
        <v>9121897</v>
      </c>
      <c r="B201" s="1">
        <v>99.900250690054605</v>
      </c>
      <c r="C201" s="1">
        <v>200</v>
      </c>
      <c r="D201" s="1">
        <v>550</v>
      </c>
      <c r="E201" s="2">
        <v>43344</v>
      </c>
      <c r="F201" s="6">
        <v>61.910067309695066</v>
      </c>
    </row>
    <row r="202" spans="1:6">
      <c r="A202" s="1">
        <v>9121900</v>
      </c>
      <c r="B202" s="1">
        <v>0.30143144662615717</v>
      </c>
      <c r="C202" s="1">
        <v>201</v>
      </c>
      <c r="D202" s="1">
        <v>473</v>
      </c>
      <c r="E202" s="2">
        <v>42745</v>
      </c>
      <c r="F202" s="6">
        <v>4.2247604650151764</v>
      </c>
    </row>
    <row r="203" spans="1:6">
      <c r="A203" s="1">
        <v>9121903</v>
      </c>
      <c r="B203" s="1">
        <v>100.900250690055</v>
      </c>
      <c r="C203" s="1">
        <v>202</v>
      </c>
      <c r="D203" s="1">
        <v>266</v>
      </c>
      <c r="E203" s="2">
        <v>42835</v>
      </c>
      <c r="F203" s="6">
        <v>50.375958671370974</v>
      </c>
    </row>
    <row r="204" spans="1:6">
      <c r="A204" s="1">
        <v>9121906</v>
      </c>
      <c r="B204" s="1">
        <v>0.1426233881637643</v>
      </c>
      <c r="C204" s="1">
        <v>203</v>
      </c>
      <c r="D204" s="1">
        <v>233</v>
      </c>
      <c r="E204" s="2">
        <v>42843</v>
      </c>
      <c r="F204" s="6">
        <v>35.186856707765031</v>
      </c>
    </row>
    <row r="205" spans="1:6">
      <c r="A205" s="1">
        <v>9121909</v>
      </c>
      <c r="B205" s="1">
        <v>101.900250690055</v>
      </c>
      <c r="C205" s="1">
        <v>204</v>
      </c>
      <c r="D205" s="1">
        <v>552</v>
      </c>
      <c r="E205" s="2">
        <v>43080</v>
      </c>
      <c r="F205" s="6">
        <v>382.61437870163962</v>
      </c>
    </row>
    <row r="206" spans="1:6">
      <c r="A206" s="1">
        <v>9121912</v>
      </c>
      <c r="B206" s="1">
        <v>0.40067561170872645</v>
      </c>
      <c r="C206" s="1">
        <v>205</v>
      </c>
      <c r="D206" s="1">
        <v>568</v>
      </c>
      <c r="E206" s="2">
        <v>43014</v>
      </c>
      <c r="F206" s="6">
        <v>312.52868113000352</v>
      </c>
    </row>
    <row r="207" spans="1:6">
      <c r="A207" s="1">
        <v>9121915</v>
      </c>
      <c r="B207" s="1">
        <v>102.900250690055</v>
      </c>
      <c r="C207" s="1">
        <v>206</v>
      </c>
      <c r="D207" s="1">
        <v>593</v>
      </c>
      <c r="E207" s="2">
        <v>43315</v>
      </c>
      <c r="F207" s="6">
        <v>36.671145253673579</v>
      </c>
    </row>
    <row r="208" spans="1:6">
      <c r="A208" s="1">
        <v>9121918</v>
      </c>
      <c r="B208" s="1">
        <v>1.8012557962769238E-2</v>
      </c>
      <c r="C208" s="1">
        <v>207</v>
      </c>
      <c r="D208" s="1">
        <v>245</v>
      </c>
      <c r="E208" s="2">
        <v>43190</v>
      </c>
      <c r="F208" s="6">
        <v>6.3287005694090013</v>
      </c>
    </row>
    <row r="209" spans="1:6">
      <c r="A209" s="1">
        <v>9121921</v>
      </c>
      <c r="B209" s="1">
        <v>103.900250690055</v>
      </c>
      <c r="C209" s="1">
        <v>208</v>
      </c>
      <c r="D209" s="1">
        <v>97</v>
      </c>
      <c r="E209" s="2">
        <v>43275</v>
      </c>
      <c r="F209" s="6">
        <v>45.28457727427849</v>
      </c>
    </row>
    <row r="210" spans="1:6">
      <c r="A210" s="1">
        <v>9121924</v>
      </c>
      <c r="B210" s="1">
        <v>0.35794904784273895</v>
      </c>
      <c r="C210" s="1">
        <v>209</v>
      </c>
      <c r="D210" s="1">
        <v>214</v>
      </c>
      <c r="E210" s="2">
        <v>43366</v>
      </c>
      <c r="F210" s="6">
        <v>42.035578429519916</v>
      </c>
    </row>
    <row r="211" spans="1:6">
      <c r="A211" s="1">
        <v>9121927</v>
      </c>
      <c r="B211" s="1">
        <v>104.900250690055</v>
      </c>
      <c r="C211" s="1">
        <v>210</v>
      </c>
      <c r="D211" s="1">
        <v>51</v>
      </c>
      <c r="E211" s="2">
        <v>43002</v>
      </c>
      <c r="F211" s="6">
        <v>30.906625637553205</v>
      </c>
    </row>
    <row r="212" spans="1:6">
      <c r="A212" s="1">
        <v>9121930</v>
      </c>
      <c r="B212" s="1">
        <v>0.57089916042345035</v>
      </c>
      <c r="C212" s="1">
        <v>211</v>
      </c>
      <c r="D212" s="1">
        <v>29</v>
      </c>
      <c r="E212" s="2">
        <v>42857</v>
      </c>
      <c r="F212" s="6">
        <v>3.5242200154848935</v>
      </c>
    </row>
    <row r="213" spans="1:6">
      <c r="A213" s="1">
        <v>9121933</v>
      </c>
      <c r="B213" s="1">
        <v>105.900250690055</v>
      </c>
      <c r="C213" s="1">
        <v>212</v>
      </c>
      <c r="D213" s="1">
        <v>211</v>
      </c>
      <c r="E213" s="2">
        <v>43359</v>
      </c>
      <c r="F213" s="6">
        <v>84.258426311649714</v>
      </c>
    </row>
    <row r="214" spans="1:6">
      <c r="A214" s="1">
        <v>9121936</v>
      </c>
      <c r="B214" s="1">
        <v>0.7541732474698094</v>
      </c>
      <c r="C214" s="1">
        <v>213</v>
      </c>
      <c r="D214" s="1">
        <v>556</v>
      </c>
      <c r="E214" s="2">
        <v>43360</v>
      </c>
      <c r="F214" s="6">
        <v>102.12096123560981</v>
      </c>
    </row>
    <row r="215" spans="1:6">
      <c r="A215" s="1">
        <v>9121939</v>
      </c>
      <c r="B215" s="1">
        <v>106.900250690055</v>
      </c>
      <c r="C215" s="1">
        <v>214</v>
      </c>
      <c r="D215" s="1">
        <v>234</v>
      </c>
      <c r="E215" s="2">
        <v>43213</v>
      </c>
      <c r="F215" s="6">
        <v>14.78553039720348</v>
      </c>
    </row>
    <row r="216" spans="1:6">
      <c r="A216" s="1">
        <v>9121942</v>
      </c>
      <c r="B216" s="1">
        <v>0.78559782139894041</v>
      </c>
      <c r="C216" s="1">
        <v>215</v>
      </c>
      <c r="D216" s="1">
        <v>327</v>
      </c>
      <c r="E216" s="2">
        <v>42790</v>
      </c>
      <c r="F216" s="6">
        <v>31.950795176854466</v>
      </c>
    </row>
    <row r="217" spans="1:6">
      <c r="A217" s="1">
        <v>9121945</v>
      </c>
      <c r="B217" s="1">
        <v>107.900250690055</v>
      </c>
      <c r="C217" s="1">
        <v>216</v>
      </c>
      <c r="D217" s="1">
        <v>246</v>
      </c>
      <c r="E217" s="2">
        <v>42869</v>
      </c>
      <c r="F217" s="6">
        <v>13.132734843103329</v>
      </c>
    </row>
    <row r="218" spans="1:6">
      <c r="A218" s="1">
        <v>9121948</v>
      </c>
      <c r="B218" s="1">
        <v>1.524861502710062E-2</v>
      </c>
      <c r="C218" s="1">
        <v>217</v>
      </c>
      <c r="D218" s="1">
        <v>7</v>
      </c>
      <c r="E218" s="2">
        <v>42997</v>
      </c>
      <c r="F218" s="6">
        <v>19.788069678415461</v>
      </c>
    </row>
    <row r="219" spans="1:6">
      <c r="A219" s="1">
        <v>9121951</v>
      </c>
      <c r="B219" s="1">
        <v>108.900250690055</v>
      </c>
      <c r="C219" s="1">
        <v>218</v>
      </c>
      <c r="D219" s="1">
        <v>37</v>
      </c>
      <c r="E219" s="2">
        <v>42923</v>
      </c>
      <c r="F219" s="6">
        <v>31.307456504424312</v>
      </c>
    </row>
    <row r="220" spans="1:6">
      <c r="A220" s="1">
        <v>9121954</v>
      </c>
      <c r="B220" s="1">
        <v>0.1245455036250005</v>
      </c>
      <c r="C220" s="1">
        <v>219</v>
      </c>
      <c r="D220" s="1">
        <v>323</v>
      </c>
      <c r="E220" s="2">
        <v>43127</v>
      </c>
      <c r="F220" s="6">
        <v>48.156278974452377</v>
      </c>
    </row>
    <row r="221" spans="1:6">
      <c r="A221" s="1">
        <v>9121957</v>
      </c>
      <c r="B221" s="1">
        <v>109.900250690055</v>
      </c>
      <c r="C221" s="1">
        <v>220</v>
      </c>
      <c r="D221" s="1">
        <v>113</v>
      </c>
      <c r="E221" s="2">
        <v>43088</v>
      </c>
      <c r="F221" s="6">
        <v>51.997804079255239</v>
      </c>
    </row>
    <row r="222" spans="1:6">
      <c r="A222" s="1">
        <v>9121960</v>
      </c>
      <c r="B222" s="1">
        <v>0.59273913748653895</v>
      </c>
      <c r="C222" s="1">
        <v>221</v>
      </c>
      <c r="D222" s="1">
        <v>537</v>
      </c>
      <c r="E222" s="2">
        <v>43443</v>
      </c>
      <c r="F222" s="6">
        <v>7.1334023258112085</v>
      </c>
    </row>
    <row r="223" spans="1:6">
      <c r="A223" s="1">
        <v>9121963</v>
      </c>
      <c r="B223" s="1">
        <v>110.900250690055</v>
      </c>
      <c r="C223" s="1">
        <v>222</v>
      </c>
      <c r="D223" s="1">
        <v>185</v>
      </c>
      <c r="E223" s="2">
        <v>42744</v>
      </c>
      <c r="F223" s="6">
        <v>6.9858395390261325</v>
      </c>
    </row>
    <row r="224" spans="1:6">
      <c r="A224" s="1">
        <v>9121966</v>
      </c>
      <c r="B224" s="1">
        <v>0.82082844145850542</v>
      </c>
      <c r="C224" s="1">
        <v>223</v>
      </c>
      <c r="D224" s="1">
        <v>31</v>
      </c>
      <c r="E224" s="2">
        <v>43287</v>
      </c>
      <c r="F224" s="6">
        <v>51.162827698500884</v>
      </c>
    </row>
    <row r="225" spans="1:6">
      <c r="A225" s="1">
        <v>9121969</v>
      </c>
      <c r="B225" s="1">
        <v>111.900250690055</v>
      </c>
      <c r="C225" s="1">
        <v>224</v>
      </c>
      <c r="D225" s="1">
        <v>306</v>
      </c>
      <c r="E225" s="2">
        <v>42846</v>
      </c>
      <c r="F225" s="6">
        <v>88.771681639053881</v>
      </c>
    </row>
    <row r="226" spans="1:6">
      <c r="A226" s="1">
        <v>9121972</v>
      </c>
      <c r="B226" s="1">
        <v>0.36324333743422066</v>
      </c>
      <c r="C226" s="1">
        <v>225</v>
      </c>
      <c r="D226" s="1">
        <v>560</v>
      </c>
      <c r="E226" s="2">
        <v>43123</v>
      </c>
      <c r="F226" s="6">
        <v>5.0147300778407127</v>
      </c>
    </row>
    <row r="227" spans="1:6">
      <c r="A227" s="1">
        <v>9121975</v>
      </c>
      <c r="B227" s="1">
        <v>112.900250690055</v>
      </c>
      <c r="C227" s="1">
        <v>226</v>
      </c>
      <c r="D227" s="1">
        <v>522</v>
      </c>
      <c r="E227" s="2">
        <v>43163</v>
      </c>
      <c r="F227" s="6">
        <v>148.33815064896459</v>
      </c>
    </row>
    <row r="228" spans="1:6">
      <c r="A228" s="1">
        <v>9121978</v>
      </c>
      <c r="B228" s="1">
        <v>0.35322845319288065</v>
      </c>
      <c r="C228" s="1">
        <v>227</v>
      </c>
      <c r="D228" s="1">
        <v>50</v>
      </c>
      <c r="E228" s="2">
        <v>42818</v>
      </c>
      <c r="F228" s="6">
        <v>9.024000237979692</v>
      </c>
    </row>
    <row r="229" spans="1:6">
      <c r="A229" s="1">
        <v>9121981</v>
      </c>
      <c r="B229" s="1">
        <v>113.900250690055</v>
      </c>
      <c r="C229" s="1">
        <v>228</v>
      </c>
      <c r="D229" s="1">
        <v>426</v>
      </c>
      <c r="E229" s="2">
        <v>42889</v>
      </c>
      <c r="F229" s="6">
        <v>3.0651934098340918</v>
      </c>
    </row>
    <row r="230" spans="1:6">
      <c r="A230" s="1">
        <v>9121984</v>
      </c>
      <c r="B230" s="1">
        <v>0.87500894496013026</v>
      </c>
      <c r="C230" s="1">
        <v>229</v>
      </c>
      <c r="D230" s="1">
        <v>227</v>
      </c>
      <c r="E230" s="2">
        <v>43083</v>
      </c>
      <c r="F230" s="6">
        <v>136.14924778518301</v>
      </c>
    </row>
    <row r="231" spans="1:6">
      <c r="A231" s="1">
        <v>9121987</v>
      </c>
      <c r="B231" s="1">
        <v>114.900250690055</v>
      </c>
      <c r="C231" s="1">
        <v>230</v>
      </c>
      <c r="D231" s="1">
        <v>33</v>
      </c>
      <c r="E231" s="2">
        <v>43444</v>
      </c>
      <c r="F231" s="6">
        <v>5.0411637112009</v>
      </c>
    </row>
    <row r="232" spans="1:6">
      <c r="A232" s="1">
        <v>9121990</v>
      </c>
      <c r="B232" s="1">
        <v>0.42835319751760259</v>
      </c>
      <c r="C232" s="1">
        <v>231</v>
      </c>
      <c r="D232" s="1">
        <v>432</v>
      </c>
      <c r="E232" s="2">
        <v>43227</v>
      </c>
      <c r="F232" s="6">
        <v>16.425833974967386</v>
      </c>
    </row>
    <row r="233" spans="1:6">
      <c r="A233" s="1">
        <v>9121993</v>
      </c>
      <c r="B233" s="1">
        <v>115.900250690055</v>
      </c>
      <c r="C233" s="1">
        <v>232</v>
      </c>
      <c r="D233" s="1">
        <v>215</v>
      </c>
      <c r="E233" s="2">
        <v>43259</v>
      </c>
      <c r="F233" s="6">
        <v>69.631201825895175</v>
      </c>
    </row>
    <row r="234" spans="1:6">
      <c r="A234" s="1">
        <v>9121996</v>
      </c>
      <c r="B234" s="1">
        <v>0.27325490252994689</v>
      </c>
      <c r="C234" s="1">
        <v>233</v>
      </c>
      <c r="D234" s="1">
        <v>236</v>
      </c>
      <c r="E234" s="2">
        <v>43336</v>
      </c>
      <c r="F234" s="6">
        <v>66.675834273353814</v>
      </c>
    </row>
    <row r="235" spans="1:6">
      <c r="A235" s="1">
        <v>9121999</v>
      </c>
      <c r="B235" s="1">
        <v>116.900250690055</v>
      </c>
      <c r="C235" s="1">
        <v>234</v>
      </c>
      <c r="D235" s="1">
        <v>285</v>
      </c>
      <c r="E235" s="2">
        <v>43164</v>
      </c>
      <c r="F235" s="6">
        <v>34.232614674125912</v>
      </c>
    </row>
    <row r="236" spans="1:6">
      <c r="A236" s="1">
        <v>9122002</v>
      </c>
      <c r="B236" s="1">
        <v>0.1668567912673572</v>
      </c>
      <c r="C236" s="1">
        <v>235</v>
      </c>
      <c r="D236" s="1">
        <v>129</v>
      </c>
      <c r="E236" s="2">
        <v>43225</v>
      </c>
      <c r="F236" s="6">
        <v>5.1926095272907578</v>
      </c>
    </row>
    <row r="237" spans="1:6">
      <c r="A237" s="1">
        <v>9122005</v>
      </c>
      <c r="B237" s="1">
        <v>117.900250690055</v>
      </c>
      <c r="C237" s="1">
        <v>236</v>
      </c>
      <c r="D237" s="1">
        <v>135</v>
      </c>
      <c r="E237" s="2">
        <v>43073</v>
      </c>
      <c r="F237" s="6">
        <v>308.62616866339005</v>
      </c>
    </row>
    <row r="238" spans="1:6">
      <c r="A238" s="1">
        <v>9122008</v>
      </c>
      <c r="B238" s="1">
        <v>0.70262431392328573</v>
      </c>
      <c r="C238" s="1">
        <v>237</v>
      </c>
      <c r="D238" s="1">
        <v>105</v>
      </c>
      <c r="E238" s="2">
        <v>42797</v>
      </c>
      <c r="F238" s="6">
        <v>5.7068777749013631</v>
      </c>
    </row>
    <row r="239" spans="1:6">
      <c r="A239" s="1">
        <v>9122011</v>
      </c>
      <c r="B239" s="1">
        <v>118.900250690055</v>
      </c>
      <c r="C239" s="1">
        <v>238</v>
      </c>
      <c r="D239" s="1">
        <v>463</v>
      </c>
      <c r="E239" s="2">
        <v>43269</v>
      </c>
      <c r="F239" s="6">
        <v>226.15936003089979</v>
      </c>
    </row>
    <row r="240" spans="1:6">
      <c r="A240" s="1">
        <v>9122014</v>
      </c>
      <c r="B240" s="1">
        <v>0.30418068230021844</v>
      </c>
      <c r="C240" s="1">
        <v>239</v>
      </c>
      <c r="D240" s="1">
        <v>320</v>
      </c>
      <c r="E240" s="2">
        <v>43471</v>
      </c>
      <c r="F240" s="6">
        <v>53.597357696144371</v>
      </c>
    </row>
    <row r="241" spans="1:6">
      <c r="A241" s="1">
        <v>9122017</v>
      </c>
      <c r="B241" s="1">
        <v>119.900250690055</v>
      </c>
      <c r="C241" s="1">
        <v>240</v>
      </c>
      <c r="D241" s="1">
        <v>505</v>
      </c>
      <c r="E241" s="2">
        <v>43349</v>
      </c>
      <c r="F241" s="6">
        <v>3.8940585470918614</v>
      </c>
    </row>
    <row r="242" spans="1:6">
      <c r="A242" s="1">
        <v>9122020</v>
      </c>
      <c r="B242" s="1">
        <v>0.50197834779942885</v>
      </c>
      <c r="C242" s="1">
        <v>241</v>
      </c>
      <c r="D242" s="1">
        <v>71</v>
      </c>
      <c r="E242" s="2">
        <v>43183</v>
      </c>
      <c r="F242" s="6">
        <v>19.207729019735844</v>
      </c>
    </row>
    <row r="243" spans="1:6">
      <c r="A243" s="1">
        <v>9122023</v>
      </c>
      <c r="B243" s="1">
        <v>120.900250690055</v>
      </c>
      <c r="C243" s="1">
        <v>242</v>
      </c>
      <c r="D243" s="1">
        <v>127</v>
      </c>
      <c r="E243" s="2">
        <v>43056</v>
      </c>
      <c r="F243" s="6">
        <v>144.51370303814753</v>
      </c>
    </row>
    <row r="244" spans="1:6">
      <c r="A244" s="1">
        <v>9122026</v>
      </c>
      <c r="B244" s="1">
        <v>0.8865984191978149</v>
      </c>
      <c r="C244" s="1">
        <v>243</v>
      </c>
      <c r="D244" s="1">
        <v>335</v>
      </c>
      <c r="E244" s="2">
        <v>43214</v>
      </c>
      <c r="F244" s="6">
        <v>58.282315279448945</v>
      </c>
    </row>
    <row r="245" spans="1:6">
      <c r="A245" s="1">
        <v>9122029</v>
      </c>
      <c r="B245" s="1">
        <v>121.900250690055</v>
      </c>
      <c r="C245" s="1">
        <v>244</v>
      </c>
      <c r="D245" s="1">
        <v>36</v>
      </c>
      <c r="E245" s="2">
        <v>43302</v>
      </c>
      <c r="F245" s="6">
        <v>98.203783891653842</v>
      </c>
    </row>
    <row r="246" spans="1:6">
      <c r="A246" s="1">
        <v>9122032</v>
      </c>
      <c r="B246" s="1">
        <v>0.48561696679672739</v>
      </c>
      <c r="C246" s="1">
        <v>245</v>
      </c>
      <c r="D246" s="1">
        <v>388</v>
      </c>
      <c r="E246" s="2">
        <v>43234</v>
      </c>
      <c r="F246" s="6">
        <v>35.165832226450078</v>
      </c>
    </row>
    <row r="247" spans="1:6">
      <c r="A247" s="1">
        <v>9122035</v>
      </c>
      <c r="B247" s="1">
        <v>122.900250690055</v>
      </c>
      <c r="C247" s="1">
        <v>246</v>
      </c>
      <c r="D247" s="1">
        <v>342</v>
      </c>
      <c r="E247" s="2">
        <v>43263</v>
      </c>
      <c r="F247" s="6">
        <v>46.232133941677844</v>
      </c>
    </row>
    <row r="248" spans="1:6">
      <c r="A248" s="1">
        <v>9122038</v>
      </c>
      <c r="B248" s="1">
        <v>0.48003295132233548</v>
      </c>
      <c r="C248" s="1">
        <v>247</v>
      </c>
      <c r="D248" s="1">
        <v>315</v>
      </c>
      <c r="E248" s="2">
        <v>43004</v>
      </c>
      <c r="F248" s="6">
        <v>3.9614647114467871</v>
      </c>
    </row>
    <row r="249" spans="1:6">
      <c r="A249" s="1">
        <v>9122041</v>
      </c>
      <c r="B249" s="1">
        <v>123.900250690055</v>
      </c>
      <c r="C249" s="1">
        <v>248</v>
      </c>
      <c r="D249" s="1">
        <v>321</v>
      </c>
      <c r="E249" s="2">
        <v>43274</v>
      </c>
      <c r="F249" s="6">
        <v>199.86687315656496</v>
      </c>
    </row>
    <row r="250" spans="1:6">
      <c r="A250" s="1">
        <v>9122044</v>
      </c>
      <c r="B250" s="1">
        <v>0.61342830469123155</v>
      </c>
      <c r="C250" s="1">
        <v>249</v>
      </c>
      <c r="D250" s="1">
        <v>300</v>
      </c>
      <c r="E250" s="2">
        <v>43290</v>
      </c>
      <c r="F250" s="6">
        <v>31.908423837946579</v>
      </c>
    </row>
    <row r="251" spans="1:6">
      <c r="A251" s="1">
        <v>9122047</v>
      </c>
      <c r="B251" s="1">
        <v>124.900250690055</v>
      </c>
      <c r="C251" s="1">
        <v>250</v>
      </c>
      <c r="D251" s="1">
        <v>524</v>
      </c>
      <c r="E251" s="2">
        <v>42736</v>
      </c>
      <c r="F251" s="6">
        <v>22.401101832540547</v>
      </c>
    </row>
    <row r="252" spans="1:6">
      <c r="A252" s="1">
        <v>9122050</v>
      </c>
      <c r="B252" s="1">
        <v>0.94474874450975099</v>
      </c>
      <c r="C252" s="1">
        <v>251</v>
      </c>
      <c r="D252" s="1">
        <v>523</v>
      </c>
      <c r="E252" s="2">
        <v>43134</v>
      </c>
      <c r="F252" s="6">
        <v>37.750717594400484</v>
      </c>
    </row>
    <row r="253" spans="1:6">
      <c r="A253" s="1">
        <v>9122053</v>
      </c>
      <c r="B253" s="1">
        <v>125.900250690055</v>
      </c>
      <c r="C253" s="1">
        <v>252</v>
      </c>
      <c r="D253" s="1">
        <v>132</v>
      </c>
      <c r="E253" s="2">
        <v>42999</v>
      </c>
      <c r="F253" s="6">
        <v>114.24782150991936</v>
      </c>
    </row>
    <row r="254" spans="1:6">
      <c r="A254" s="1">
        <v>9122056</v>
      </c>
      <c r="B254" s="1">
        <v>0.85615961346293112</v>
      </c>
      <c r="C254" s="1">
        <v>253</v>
      </c>
      <c r="D254" s="1">
        <v>338</v>
      </c>
      <c r="E254" s="2">
        <v>42968</v>
      </c>
      <c r="F254" s="6">
        <v>13.294634725333514</v>
      </c>
    </row>
    <row r="255" spans="1:6">
      <c r="A255" s="1">
        <v>9122059</v>
      </c>
      <c r="B255" s="1">
        <v>126.900250690055</v>
      </c>
      <c r="C255" s="1">
        <v>254</v>
      </c>
      <c r="D255" s="1">
        <v>207</v>
      </c>
      <c r="E255" s="2">
        <v>42837</v>
      </c>
      <c r="F255" s="6">
        <v>47.622745873628631</v>
      </c>
    </row>
    <row r="256" spans="1:6">
      <c r="A256" s="1">
        <v>9122062</v>
      </c>
      <c r="B256" s="1">
        <v>0.59248129914351655</v>
      </c>
      <c r="C256" s="1">
        <v>255</v>
      </c>
      <c r="D256" s="1">
        <v>56</v>
      </c>
      <c r="E256" s="2">
        <v>43170</v>
      </c>
      <c r="F256" s="6">
        <v>22.970811652719153</v>
      </c>
    </row>
    <row r="257" spans="1:6">
      <c r="A257" s="1">
        <v>9122065</v>
      </c>
      <c r="B257" s="1">
        <v>127.900250690055</v>
      </c>
      <c r="C257" s="1">
        <v>256</v>
      </c>
      <c r="D257" s="1">
        <v>364</v>
      </c>
      <c r="E257" s="2">
        <v>43174</v>
      </c>
      <c r="F257" s="6">
        <v>179.80476146640123</v>
      </c>
    </row>
    <row r="258" spans="1:6">
      <c r="A258" s="1">
        <v>9122068</v>
      </c>
      <c r="B258" s="1">
        <v>0.66161731559812043</v>
      </c>
      <c r="C258" s="1">
        <v>257</v>
      </c>
      <c r="D258" s="1">
        <v>276</v>
      </c>
      <c r="E258" s="2">
        <v>43117</v>
      </c>
      <c r="F258" s="6">
        <v>416.54905765795769</v>
      </c>
    </row>
    <row r="259" spans="1:6">
      <c r="A259" s="1">
        <v>9122071</v>
      </c>
      <c r="B259" s="1">
        <v>128.900250690055</v>
      </c>
      <c r="C259" s="1">
        <v>258</v>
      </c>
      <c r="D259" s="1">
        <v>242</v>
      </c>
      <c r="E259" s="2">
        <v>42817</v>
      </c>
      <c r="F259" s="6">
        <v>81.041165414039909</v>
      </c>
    </row>
    <row r="260" spans="1:6">
      <c r="A260" s="1">
        <v>9122074</v>
      </c>
      <c r="B260" s="1">
        <v>0.67486686201956447</v>
      </c>
      <c r="C260" s="1">
        <v>259</v>
      </c>
      <c r="D260" s="1">
        <v>357</v>
      </c>
      <c r="E260" s="2">
        <v>43334</v>
      </c>
      <c r="F260" s="6">
        <v>96.286298119459531</v>
      </c>
    </row>
    <row r="261" spans="1:6">
      <c r="A261" s="1">
        <v>9122077</v>
      </c>
      <c r="B261" s="1">
        <v>129.900250690055</v>
      </c>
      <c r="C261" s="1">
        <v>260</v>
      </c>
      <c r="D261" s="1">
        <v>201</v>
      </c>
      <c r="E261" s="2">
        <v>43291</v>
      </c>
      <c r="F261" s="6">
        <v>36.884466683868048</v>
      </c>
    </row>
    <row r="262" spans="1:6">
      <c r="A262" s="1">
        <v>9122080</v>
      </c>
      <c r="B262" s="1">
        <v>0.34760764144286183</v>
      </c>
      <c r="C262" s="1">
        <v>261</v>
      </c>
      <c r="D262" s="1">
        <v>230</v>
      </c>
      <c r="E262" s="2">
        <v>42980</v>
      </c>
      <c r="F262" s="6">
        <v>75.768075100475954</v>
      </c>
    </row>
    <row r="263" spans="1:6">
      <c r="A263" s="1">
        <v>9122083</v>
      </c>
      <c r="B263" s="1">
        <v>130.900250690055</v>
      </c>
      <c r="C263" s="1">
        <v>262</v>
      </c>
      <c r="D263" s="1">
        <v>581</v>
      </c>
      <c r="E263" s="2">
        <v>43140</v>
      </c>
      <c r="F263" s="6">
        <v>283.9876235122324</v>
      </c>
    </row>
    <row r="264" spans="1:6">
      <c r="A264" s="1">
        <v>9122086</v>
      </c>
      <c r="B264" s="1">
        <v>6.4056836375152248E-2</v>
      </c>
      <c r="C264" s="1">
        <v>263</v>
      </c>
      <c r="D264" s="1">
        <v>346</v>
      </c>
      <c r="E264" s="2">
        <v>43346</v>
      </c>
      <c r="F264" s="6">
        <v>161.0656213429165</v>
      </c>
    </row>
    <row r="265" spans="1:6">
      <c r="A265" s="1">
        <v>9122089</v>
      </c>
      <c r="B265" s="1">
        <v>131.900250690055</v>
      </c>
      <c r="C265" s="1">
        <v>264</v>
      </c>
      <c r="D265" s="1">
        <v>456</v>
      </c>
      <c r="E265" s="2">
        <v>43238</v>
      </c>
      <c r="F265" s="6">
        <v>66.887654807111772</v>
      </c>
    </row>
    <row r="266" spans="1:6">
      <c r="A266" s="1">
        <v>9122092</v>
      </c>
      <c r="B266" s="1">
        <v>9.6303411056698929E-2</v>
      </c>
      <c r="C266" s="1">
        <v>265</v>
      </c>
      <c r="D266" s="1">
        <v>404</v>
      </c>
      <c r="E266" s="2">
        <v>43401</v>
      </c>
      <c r="F266" s="6">
        <v>111.00659801169121</v>
      </c>
    </row>
    <row r="267" spans="1:6">
      <c r="A267" s="1">
        <v>9122095</v>
      </c>
      <c r="B267" s="1">
        <v>132.900250690055</v>
      </c>
      <c r="C267" s="1">
        <v>266</v>
      </c>
      <c r="D267" s="1">
        <v>578</v>
      </c>
      <c r="E267" s="2">
        <v>42778</v>
      </c>
      <c r="F267" s="6">
        <v>7.4421496860182641</v>
      </c>
    </row>
    <row r="268" spans="1:6">
      <c r="A268" s="1">
        <v>9122098</v>
      </c>
      <c r="B268" s="1">
        <v>0.62280211078509962</v>
      </c>
      <c r="C268" s="1">
        <v>267</v>
      </c>
      <c r="D268" s="1">
        <v>104</v>
      </c>
      <c r="E268" s="2">
        <v>42978</v>
      </c>
      <c r="F268" s="6">
        <v>26.812023881592001</v>
      </c>
    </row>
    <row r="269" spans="1:6">
      <c r="A269" s="1">
        <v>9122101</v>
      </c>
      <c r="B269" s="1">
        <v>133.900250690055</v>
      </c>
      <c r="C269" s="1">
        <v>268</v>
      </c>
      <c r="D269" s="1">
        <v>189</v>
      </c>
      <c r="E269" s="2">
        <v>42974</v>
      </c>
      <c r="F269" s="6">
        <v>83.633679868274072</v>
      </c>
    </row>
    <row r="270" spans="1:6">
      <c r="A270" s="1">
        <v>9122104</v>
      </c>
      <c r="B270" s="1">
        <v>0.66848237375085262</v>
      </c>
      <c r="C270" s="1">
        <v>269</v>
      </c>
      <c r="D270" s="1">
        <v>586</v>
      </c>
      <c r="E270" s="2">
        <v>42868</v>
      </c>
      <c r="F270" s="6">
        <v>29.121475875492838</v>
      </c>
    </row>
    <row r="271" spans="1:6">
      <c r="A271" s="1">
        <v>9122107</v>
      </c>
      <c r="B271" s="1">
        <v>134.900250690055</v>
      </c>
      <c r="C271" s="1">
        <v>270</v>
      </c>
      <c r="D271" s="1">
        <v>302</v>
      </c>
      <c r="E271" s="2">
        <v>42801</v>
      </c>
      <c r="F271" s="6">
        <v>19.78842320864193</v>
      </c>
    </row>
    <row r="272" spans="1:6">
      <c r="A272" s="1">
        <v>9122110</v>
      </c>
      <c r="B272" s="1">
        <v>0.89134571080486702</v>
      </c>
      <c r="C272" s="1">
        <v>271</v>
      </c>
      <c r="D272" s="1">
        <v>28</v>
      </c>
      <c r="E272" s="2">
        <v>42952</v>
      </c>
      <c r="F272" s="6">
        <v>26.14185693426192</v>
      </c>
    </row>
    <row r="273" spans="1:6">
      <c r="A273" s="1">
        <v>9122113</v>
      </c>
      <c r="B273" s="1">
        <v>135.900250690055</v>
      </c>
      <c r="C273" s="1">
        <v>272</v>
      </c>
      <c r="D273" s="1">
        <v>65</v>
      </c>
      <c r="E273" s="2">
        <v>43485</v>
      </c>
      <c r="F273" s="6">
        <v>313.27276682115991</v>
      </c>
    </row>
    <row r="274" spans="1:6">
      <c r="A274" s="1">
        <v>9122116</v>
      </c>
      <c r="B274" s="1">
        <v>0.12129207228656835</v>
      </c>
      <c r="C274" s="1">
        <v>273</v>
      </c>
      <c r="D274" s="1">
        <v>380</v>
      </c>
      <c r="E274" s="2">
        <v>43341</v>
      </c>
      <c r="F274" s="6">
        <v>3.6640189933231944</v>
      </c>
    </row>
    <row r="275" spans="1:6">
      <c r="A275" s="1">
        <v>9122119</v>
      </c>
      <c r="B275" s="1">
        <v>136.900250690055</v>
      </c>
      <c r="C275" s="1">
        <v>274</v>
      </c>
      <c r="D275" s="1">
        <v>370</v>
      </c>
      <c r="E275" s="2">
        <v>43084</v>
      </c>
      <c r="F275" s="6">
        <v>56.842698395511867</v>
      </c>
    </row>
    <row r="276" spans="1:6">
      <c r="A276" s="1">
        <v>9122122</v>
      </c>
      <c r="B276" s="1">
        <v>0.41246649414899572</v>
      </c>
      <c r="C276" s="1">
        <v>275</v>
      </c>
      <c r="D276" s="1">
        <v>467</v>
      </c>
      <c r="E276" s="2">
        <v>42736</v>
      </c>
      <c r="F276" s="6">
        <v>84.111901904806828</v>
      </c>
    </row>
    <row r="277" spans="1:6">
      <c r="A277" s="1">
        <v>9122125</v>
      </c>
      <c r="B277" s="1">
        <v>137.900250690055</v>
      </c>
      <c r="C277" s="1">
        <v>276</v>
      </c>
      <c r="D277" s="1">
        <v>374</v>
      </c>
      <c r="E277" s="2">
        <v>43346</v>
      </c>
      <c r="F277" s="6">
        <v>12.148323277091047</v>
      </c>
    </row>
    <row r="278" spans="1:6">
      <c r="A278" s="1">
        <v>9122128</v>
      </c>
      <c r="B278" s="1">
        <v>0.27788704640364292</v>
      </c>
      <c r="C278" s="1">
        <v>277</v>
      </c>
      <c r="D278" s="1">
        <v>385</v>
      </c>
      <c r="E278" s="2">
        <v>43476</v>
      </c>
      <c r="F278" s="6">
        <v>91.751998629393697</v>
      </c>
    </row>
    <row r="279" spans="1:6">
      <c r="A279" s="1">
        <v>9122131</v>
      </c>
      <c r="B279" s="1">
        <v>138.900250690055</v>
      </c>
      <c r="C279" s="1">
        <v>278</v>
      </c>
      <c r="D279" s="1">
        <v>14</v>
      </c>
      <c r="E279" s="2">
        <v>43442</v>
      </c>
      <c r="F279" s="6">
        <v>9.8351455962464414</v>
      </c>
    </row>
    <row r="280" spans="1:6">
      <c r="A280" s="1">
        <v>9122134</v>
      </c>
      <c r="B280" s="1">
        <v>0.79989710045929996</v>
      </c>
      <c r="C280" s="1">
        <v>279</v>
      </c>
      <c r="D280" s="1">
        <v>251</v>
      </c>
      <c r="E280" s="2">
        <v>42989</v>
      </c>
      <c r="F280" s="6">
        <v>26.209283793628995</v>
      </c>
    </row>
    <row r="281" spans="1:6">
      <c r="A281" s="1">
        <v>9122137</v>
      </c>
      <c r="B281" s="1">
        <v>139.900250690055</v>
      </c>
      <c r="C281" s="1">
        <v>280</v>
      </c>
      <c r="D281" s="1">
        <v>386</v>
      </c>
      <c r="E281" s="2">
        <v>43230</v>
      </c>
      <c r="F281" s="6">
        <v>27.668201909763962</v>
      </c>
    </row>
    <row r="282" spans="1:6">
      <c r="A282" s="1">
        <v>9122140</v>
      </c>
      <c r="B282" s="1">
        <v>0.7098912580572454</v>
      </c>
      <c r="C282" s="1">
        <v>281</v>
      </c>
      <c r="D282" s="1">
        <v>422</v>
      </c>
      <c r="E282" s="2">
        <v>43428</v>
      </c>
      <c r="F282" s="6">
        <v>3.0712853267981468</v>
      </c>
    </row>
    <row r="283" spans="1:6">
      <c r="A283" s="1">
        <v>9122143</v>
      </c>
      <c r="B283" s="1">
        <v>140.900250690055</v>
      </c>
      <c r="C283" s="1">
        <v>282</v>
      </c>
      <c r="D283" s="1">
        <v>34</v>
      </c>
      <c r="E283" s="2">
        <v>43347</v>
      </c>
      <c r="F283" s="6">
        <v>43.304987163221249</v>
      </c>
    </row>
    <row r="284" spans="1:6">
      <c r="A284" s="1">
        <v>9122146</v>
      </c>
      <c r="B284" s="1">
        <v>0.45803928306886754</v>
      </c>
      <c r="C284" s="1">
        <v>283</v>
      </c>
      <c r="D284" s="1">
        <v>584</v>
      </c>
      <c r="E284" s="2">
        <v>42884</v>
      </c>
      <c r="F284" s="6">
        <v>314.98359708280094</v>
      </c>
    </row>
    <row r="285" spans="1:6">
      <c r="A285" s="1">
        <v>9122149</v>
      </c>
      <c r="B285" s="1">
        <v>141.900250690055</v>
      </c>
      <c r="C285" s="1">
        <v>284</v>
      </c>
      <c r="D285" s="1">
        <v>219</v>
      </c>
      <c r="E285" s="2">
        <v>43160</v>
      </c>
      <c r="F285" s="6">
        <v>6.1888529021163361</v>
      </c>
    </row>
    <row r="286" spans="1:6">
      <c r="A286" s="1">
        <v>9122152</v>
      </c>
      <c r="B286" s="1">
        <v>0.74088389864129134</v>
      </c>
      <c r="C286" s="1">
        <v>285</v>
      </c>
      <c r="D286" s="1">
        <v>513</v>
      </c>
      <c r="E286" s="2">
        <v>42873</v>
      </c>
      <c r="F286" s="6">
        <v>44.044334860277296</v>
      </c>
    </row>
    <row r="287" spans="1:6">
      <c r="A287" s="1">
        <v>9122155</v>
      </c>
      <c r="B287" s="1">
        <v>142.900250690055</v>
      </c>
      <c r="C287" s="1">
        <v>286</v>
      </c>
      <c r="D287" s="1">
        <v>397</v>
      </c>
      <c r="E287" s="2">
        <v>42871</v>
      </c>
      <c r="F287" s="6">
        <v>7.7846887075477049</v>
      </c>
    </row>
    <row r="288" spans="1:6">
      <c r="A288" s="1">
        <v>9122158</v>
      </c>
      <c r="B288" s="1">
        <v>0.32418191774473659</v>
      </c>
      <c r="C288" s="1">
        <v>287</v>
      </c>
      <c r="D288" s="1">
        <v>409</v>
      </c>
      <c r="E288" s="2">
        <v>43115</v>
      </c>
      <c r="F288" s="6">
        <v>47.019009666126379</v>
      </c>
    </row>
    <row r="289" spans="1:6">
      <c r="A289" s="1">
        <v>9122161</v>
      </c>
      <c r="B289" s="1">
        <v>143.900250690055</v>
      </c>
      <c r="C289" s="1">
        <v>288</v>
      </c>
      <c r="D289" s="1">
        <v>151</v>
      </c>
      <c r="E289" s="2">
        <v>42967</v>
      </c>
      <c r="F289" s="6">
        <v>3.4072825399345654</v>
      </c>
    </row>
    <row r="290" spans="1:6">
      <c r="A290" s="1">
        <v>9122164</v>
      </c>
      <c r="B290" s="1">
        <v>7.902046891784853E-2</v>
      </c>
      <c r="C290" s="1">
        <v>289</v>
      </c>
      <c r="D290" s="1">
        <v>381</v>
      </c>
      <c r="E290" s="2">
        <v>43129</v>
      </c>
      <c r="F290" s="6">
        <v>178.84145174154048</v>
      </c>
    </row>
    <row r="291" spans="1:6">
      <c r="A291" s="1">
        <v>9122167</v>
      </c>
      <c r="B291" s="1">
        <v>144.900250690055</v>
      </c>
      <c r="C291" s="1">
        <v>290</v>
      </c>
      <c r="D291" s="1">
        <v>442</v>
      </c>
      <c r="E291" s="2">
        <v>43027</v>
      </c>
      <c r="F291" s="6">
        <v>70.834568156116021</v>
      </c>
    </row>
    <row r="292" spans="1:6">
      <c r="A292" s="1">
        <v>9122170</v>
      </c>
      <c r="B292" s="1">
        <v>0.93123921232025986</v>
      </c>
      <c r="C292" s="1">
        <v>291</v>
      </c>
      <c r="D292" s="1">
        <v>527</v>
      </c>
      <c r="E292" s="2">
        <v>42914</v>
      </c>
      <c r="F292" s="6">
        <v>68.101445387083757</v>
      </c>
    </row>
    <row r="293" spans="1:6">
      <c r="A293" s="1">
        <v>9122173</v>
      </c>
      <c r="B293" s="1">
        <v>145.900250690055</v>
      </c>
      <c r="C293" s="1">
        <v>292</v>
      </c>
      <c r="D293" s="1">
        <v>428</v>
      </c>
      <c r="E293" s="2">
        <v>43324</v>
      </c>
      <c r="F293" s="6">
        <v>20.808781651739089</v>
      </c>
    </row>
    <row r="294" spans="1:6">
      <c r="A294" s="1">
        <v>9122176</v>
      </c>
      <c r="B294" s="1">
        <v>0.64365172127871106</v>
      </c>
      <c r="C294" s="1">
        <v>293</v>
      </c>
      <c r="D294" s="1">
        <v>184</v>
      </c>
      <c r="E294" s="2">
        <v>43041</v>
      </c>
      <c r="F294" s="6">
        <v>5.5377578579172724</v>
      </c>
    </row>
    <row r="295" spans="1:6">
      <c r="A295" s="1">
        <v>9122179</v>
      </c>
      <c r="B295" s="1">
        <v>146.900250690055</v>
      </c>
      <c r="C295" s="1">
        <v>294</v>
      </c>
      <c r="D295" s="1">
        <v>344</v>
      </c>
      <c r="E295" s="2">
        <v>42758</v>
      </c>
      <c r="F295" s="6">
        <v>18.445904914350884</v>
      </c>
    </row>
    <row r="296" spans="1:6">
      <c r="A296" s="1">
        <v>9122182</v>
      </c>
      <c r="B296" s="1">
        <v>0.14409206108464301</v>
      </c>
      <c r="C296" s="1">
        <v>295</v>
      </c>
      <c r="D296" s="1">
        <v>511</v>
      </c>
      <c r="E296" s="2">
        <v>42879</v>
      </c>
      <c r="F296" s="6">
        <v>80.83743627373417</v>
      </c>
    </row>
    <row r="297" spans="1:6">
      <c r="A297" s="1">
        <v>9122185</v>
      </c>
      <c r="B297" s="1">
        <v>147.900250690055</v>
      </c>
      <c r="C297" s="1">
        <v>296</v>
      </c>
      <c r="D297" s="1">
        <v>160</v>
      </c>
      <c r="E297" s="2">
        <v>42921</v>
      </c>
      <c r="F297" s="6">
        <v>11.036548917538443</v>
      </c>
    </row>
    <row r="298" spans="1:6">
      <c r="A298" s="1">
        <v>9122188</v>
      </c>
      <c r="B298" s="1">
        <v>0.30254199718922237</v>
      </c>
      <c r="C298" s="1">
        <v>297</v>
      </c>
      <c r="D298" s="1">
        <v>439</v>
      </c>
      <c r="E298" s="2">
        <v>43212</v>
      </c>
      <c r="F298" s="6">
        <v>73.598846340533356</v>
      </c>
    </row>
    <row r="299" spans="1:6">
      <c r="A299" s="1">
        <v>9122191</v>
      </c>
      <c r="B299" s="1">
        <v>148.900250690055</v>
      </c>
      <c r="C299" s="1">
        <v>298</v>
      </c>
      <c r="D299" s="1">
        <v>43</v>
      </c>
      <c r="E299" s="2">
        <v>42988</v>
      </c>
      <c r="F299" s="6">
        <v>28.175930376376787</v>
      </c>
    </row>
    <row r="300" spans="1:6">
      <c r="A300" s="1">
        <v>9122194</v>
      </c>
      <c r="B300" s="1">
        <v>0.23213096001460232</v>
      </c>
      <c r="C300" s="1">
        <v>299</v>
      </c>
      <c r="D300" s="1">
        <v>168</v>
      </c>
      <c r="E300" s="2">
        <v>43129</v>
      </c>
      <c r="F300" s="6">
        <v>33.920043753154602</v>
      </c>
    </row>
    <row r="301" spans="1:6">
      <c r="A301" s="1">
        <v>9122197</v>
      </c>
      <c r="B301" s="1">
        <v>149.900250690055</v>
      </c>
      <c r="C301" s="1">
        <v>300</v>
      </c>
      <c r="D301" s="1">
        <v>557</v>
      </c>
      <c r="E301" s="2">
        <v>42857</v>
      </c>
      <c r="F301" s="6">
        <v>65.036049887580418</v>
      </c>
    </row>
    <row r="302" spans="1:6">
      <c r="A302" s="1">
        <v>9122200</v>
      </c>
      <c r="B302" s="1">
        <v>8.3805789313681212E-3</v>
      </c>
      <c r="C302" s="1">
        <v>301</v>
      </c>
      <c r="D302" s="1">
        <v>337</v>
      </c>
      <c r="E302" s="2">
        <v>42768</v>
      </c>
      <c r="F302" s="6">
        <v>5.7266783630164557</v>
      </c>
    </row>
    <row r="303" spans="1:6">
      <c r="A303" s="1">
        <v>9122203</v>
      </c>
      <c r="B303" s="1">
        <v>150.900250690055</v>
      </c>
      <c r="C303" s="1">
        <v>302</v>
      </c>
      <c r="D303" s="1">
        <v>6</v>
      </c>
      <c r="E303" s="2">
        <v>43309</v>
      </c>
      <c r="F303" s="6">
        <v>349.28911607533104</v>
      </c>
    </row>
    <row r="304" spans="1:6">
      <c r="A304" s="1">
        <v>9122206</v>
      </c>
      <c r="B304" s="1">
        <v>0.1413062990850793</v>
      </c>
      <c r="C304" s="1">
        <v>303</v>
      </c>
      <c r="D304" s="1">
        <v>119</v>
      </c>
      <c r="E304" s="2">
        <v>43366</v>
      </c>
      <c r="F304" s="6">
        <v>6.7310503351255084</v>
      </c>
    </row>
    <row r="305" spans="1:6">
      <c r="A305" s="1">
        <v>9122209</v>
      </c>
      <c r="B305" s="1">
        <v>151.900250690055</v>
      </c>
      <c r="C305" s="1">
        <v>304</v>
      </c>
      <c r="D305" s="1">
        <v>488</v>
      </c>
      <c r="E305" s="2">
        <v>43303</v>
      </c>
      <c r="F305" s="6">
        <v>105.51790553674793</v>
      </c>
    </row>
    <row r="306" spans="1:6">
      <c r="A306" s="1">
        <v>9122212</v>
      </c>
      <c r="B306" s="1">
        <v>0.19983546851958722</v>
      </c>
      <c r="C306" s="1">
        <v>305</v>
      </c>
      <c r="D306" s="1">
        <v>536</v>
      </c>
      <c r="E306" s="2">
        <v>43177</v>
      </c>
      <c r="F306" s="6">
        <v>152.98609232156937</v>
      </c>
    </row>
    <row r="307" spans="1:6">
      <c r="A307" s="1">
        <v>9122215</v>
      </c>
      <c r="B307" s="1">
        <v>152.900250690055</v>
      </c>
      <c r="C307" s="1">
        <v>306</v>
      </c>
      <c r="D307" s="1">
        <v>563</v>
      </c>
      <c r="E307" s="2">
        <v>42928</v>
      </c>
      <c r="F307" s="6">
        <v>12.782034957071879</v>
      </c>
    </row>
    <row r="308" spans="1:6">
      <c r="A308" s="1">
        <v>9122218</v>
      </c>
      <c r="B308" s="1">
        <v>0.62411768091730824</v>
      </c>
      <c r="C308" s="1">
        <v>307</v>
      </c>
      <c r="D308" s="1">
        <v>433</v>
      </c>
      <c r="E308" s="2">
        <v>42746</v>
      </c>
      <c r="F308" s="6">
        <v>78.590711750398839</v>
      </c>
    </row>
    <row r="309" spans="1:6">
      <c r="A309" s="1">
        <v>9122221</v>
      </c>
      <c r="B309" s="1">
        <v>153.900250690055</v>
      </c>
      <c r="C309" s="1">
        <v>308</v>
      </c>
      <c r="D309" s="1">
        <v>379</v>
      </c>
      <c r="E309" s="2">
        <v>43152</v>
      </c>
      <c r="F309" s="6">
        <v>28.305454058663106</v>
      </c>
    </row>
    <row r="310" spans="1:6">
      <c r="A310" s="1">
        <v>9122224</v>
      </c>
      <c r="B310" s="1">
        <v>0.12280730629977865</v>
      </c>
      <c r="C310" s="1">
        <v>309</v>
      </c>
      <c r="D310" s="1">
        <v>247</v>
      </c>
      <c r="E310" s="2">
        <v>43138</v>
      </c>
      <c r="F310" s="6">
        <v>306.08006877948208</v>
      </c>
    </row>
    <row r="311" spans="1:6">
      <c r="A311" s="1">
        <v>9122227</v>
      </c>
      <c r="B311" s="1">
        <v>154.900250690055</v>
      </c>
      <c r="C311" s="1">
        <v>310</v>
      </c>
      <c r="D311" s="1">
        <v>360</v>
      </c>
      <c r="E311" s="2">
        <v>42805</v>
      </c>
      <c r="F311" s="6">
        <v>57.350883767877569</v>
      </c>
    </row>
    <row r="312" spans="1:6">
      <c r="A312" s="1">
        <v>9122230</v>
      </c>
      <c r="B312" s="1">
        <v>0.87180938809156694</v>
      </c>
      <c r="C312" s="1">
        <v>311</v>
      </c>
      <c r="D312" s="1">
        <v>298</v>
      </c>
      <c r="E312" s="2">
        <v>43079</v>
      </c>
      <c r="F312" s="6">
        <v>270.18091480299802</v>
      </c>
    </row>
    <row r="313" spans="1:6">
      <c r="A313" s="1">
        <v>9122233</v>
      </c>
      <c r="B313" s="1">
        <v>155.900250690055</v>
      </c>
      <c r="C313" s="1">
        <v>312</v>
      </c>
      <c r="D313" s="1">
        <v>4</v>
      </c>
      <c r="E313" s="2">
        <v>43061</v>
      </c>
      <c r="F313" s="6">
        <v>5.2995824680264692</v>
      </c>
    </row>
    <row r="314" spans="1:6">
      <c r="A314" s="1">
        <v>9122236</v>
      </c>
      <c r="B314" s="1">
        <v>0.32913633797064079</v>
      </c>
      <c r="C314" s="1">
        <v>313</v>
      </c>
      <c r="D314" s="1">
        <v>226</v>
      </c>
      <c r="E314" s="2">
        <v>43246</v>
      </c>
      <c r="F314" s="6">
        <v>4.6350093885506247</v>
      </c>
    </row>
    <row r="315" spans="1:6">
      <c r="A315" s="1">
        <v>9122239</v>
      </c>
      <c r="B315" s="1">
        <v>156.900250690055</v>
      </c>
      <c r="C315" s="1">
        <v>314</v>
      </c>
      <c r="D315" s="1">
        <v>202</v>
      </c>
      <c r="E315" s="2">
        <v>43062</v>
      </c>
      <c r="F315" s="6">
        <v>143.80451531657209</v>
      </c>
    </row>
    <row r="316" spans="1:6">
      <c r="A316" s="1">
        <v>9122242</v>
      </c>
      <c r="B316" s="1">
        <v>0.64974765559681258</v>
      </c>
      <c r="C316" s="1">
        <v>315</v>
      </c>
      <c r="D316" s="1">
        <v>222</v>
      </c>
      <c r="E316" s="2">
        <v>43276</v>
      </c>
      <c r="F316" s="6">
        <v>97.593447083440978</v>
      </c>
    </row>
    <row r="317" spans="1:6">
      <c r="A317" s="1">
        <v>9122245</v>
      </c>
      <c r="B317" s="1">
        <v>157.900250690055</v>
      </c>
      <c r="C317" s="1">
        <v>316</v>
      </c>
      <c r="D317" s="1">
        <v>137</v>
      </c>
      <c r="E317" s="2">
        <v>43311</v>
      </c>
      <c r="F317" s="6">
        <v>45.457167401894466</v>
      </c>
    </row>
    <row r="318" spans="1:6">
      <c r="A318" s="1">
        <v>9122248</v>
      </c>
      <c r="B318" s="1">
        <v>1.3377139017425654E-2</v>
      </c>
      <c r="C318" s="1">
        <v>317</v>
      </c>
      <c r="D318" s="1">
        <v>92</v>
      </c>
      <c r="E318" s="2">
        <v>43434</v>
      </c>
      <c r="F318" s="6">
        <v>105.08441206456611</v>
      </c>
    </row>
    <row r="319" spans="1:6">
      <c r="A319" s="1">
        <v>9122251</v>
      </c>
      <c r="B319" s="1">
        <v>158.900250690055</v>
      </c>
      <c r="C319" s="1">
        <v>318</v>
      </c>
      <c r="D319" s="1">
        <v>445</v>
      </c>
      <c r="E319" s="2">
        <v>43206</v>
      </c>
      <c r="F319" s="6">
        <v>53.794930365942271</v>
      </c>
    </row>
    <row r="320" spans="1:6">
      <c r="A320" s="1">
        <v>9122254</v>
      </c>
      <c r="B320" s="1">
        <v>0.1341814930830153</v>
      </c>
      <c r="C320" s="1">
        <v>319</v>
      </c>
      <c r="D320" s="1">
        <v>447</v>
      </c>
      <c r="E320" s="2">
        <v>42741</v>
      </c>
      <c r="F320" s="6">
        <v>27.197755319349177</v>
      </c>
    </row>
    <row r="321" spans="1:6">
      <c r="A321" s="1">
        <v>9122257</v>
      </c>
      <c r="B321" s="1">
        <v>159.900250690055</v>
      </c>
      <c r="C321" s="1">
        <v>320</v>
      </c>
      <c r="D321" s="1">
        <v>125</v>
      </c>
      <c r="E321" s="2">
        <v>43023</v>
      </c>
      <c r="F321" s="6">
        <v>4.8119101315632982</v>
      </c>
    </row>
    <row r="322" spans="1:6">
      <c r="A322" s="1">
        <v>9122260</v>
      </c>
      <c r="B322" s="1">
        <v>0.36813236104535851</v>
      </c>
      <c r="C322" s="1">
        <v>321</v>
      </c>
      <c r="D322" s="1">
        <v>402</v>
      </c>
      <c r="E322" s="2">
        <v>42827</v>
      </c>
      <c r="F322" s="6">
        <v>6.3298462412196876</v>
      </c>
    </row>
    <row r="323" spans="1:6">
      <c r="A323" s="1">
        <v>9122263</v>
      </c>
      <c r="B323" s="1">
        <v>160.900250690055</v>
      </c>
      <c r="C323" s="1">
        <v>322</v>
      </c>
      <c r="D323" s="1">
        <v>48</v>
      </c>
      <c r="E323" s="2">
        <v>43335</v>
      </c>
      <c r="F323" s="6">
        <v>17.84344249131151</v>
      </c>
    </row>
    <row r="324" spans="1:6">
      <c r="A324" s="1">
        <v>9122266</v>
      </c>
      <c r="B324" s="1">
        <v>0.90166444736935525</v>
      </c>
      <c r="C324" s="1">
        <v>323</v>
      </c>
      <c r="D324" s="1">
        <v>506</v>
      </c>
      <c r="E324" s="2">
        <v>42975</v>
      </c>
      <c r="F324" s="6">
        <v>52.758102677770694</v>
      </c>
    </row>
    <row r="325" spans="1:6">
      <c r="A325" s="1">
        <v>9122269</v>
      </c>
      <c r="B325" s="1">
        <v>161.900250690055</v>
      </c>
      <c r="C325" s="1">
        <v>324</v>
      </c>
      <c r="D325" s="1">
        <v>144</v>
      </c>
      <c r="E325" s="2">
        <v>43062</v>
      </c>
      <c r="F325" s="6">
        <v>3.1128938800456853</v>
      </c>
    </row>
    <row r="326" spans="1:6">
      <c r="A326" s="1">
        <v>9122272</v>
      </c>
      <c r="B326" s="1">
        <v>0.27286343168394078</v>
      </c>
      <c r="C326" s="1">
        <v>325</v>
      </c>
      <c r="D326" s="1">
        <v>443</v>
      </c>
      <c r="E326" s="2">
        <v>43033</v>
      </c>
      <c r="F326" s="6">
        <v>23.269693396698756</v>
      </c>
    </row>
    <row r="327" spans="1:6">
      <c r="A327" s="1">
        <v>9122275</v>
      </c>
      <c r="B327" s="1">
        <v>162.900250690055</v>
      </c>
      <c r="C327" s="1">
        <v>326</v>
      </c>
      <c r="D327" s="1">
        <v>363</v>
      </c>
      <c r="E327" s="2">
        <v>42816</v>
      </c>
      <c r="F327" s="6">
        <v>3.0371503602795937</v>
      </c>
    </row>
    <row r="328" spans="1:6">
      <c r="A328" s="1">
        <v>9122278</v>
      </c>
      <c r="B328" s="1">
        <v>0.44741937667460097</v>
      </c>
      <c r="C328" s="1">
        <v>327</v>
      </c>
      <c r="D328" s="1">
        <v>181</v>
      </c>
      <c r="E328" s="2">
        <v>43439</v>
      </c>
      <c r="F328" s="6">
        <v>47.253662443926693</v>
      </c>
    </row>
    <row r="329" spans="1:6">
      <c r="A329" s="1">
        <v>9122281</v>
      </c>
      <c r="B329" s="1">
        <v>163.900250690055</v>
      </c>
      <c r="C329" s="1">
        <v>328</v>
      </c>
      <c r="D329" s="1">
        <v>93</v>
      </c>
      <c r="E329" s="2">
        <v>43092</v>
      </c>
      <c r="F329" s="6">
        <v>160.93599962880484</v>
      </c>
    </row>
    <row r="330" spans="1:6">
      <c r="A330" s="1">
        <v>9122284</v>
      </c>
      <c r="B330" s="1">
        <v>0.70677883238783534</v>
      </c>
      <c r="C330" s="1">
        <v>329</v>
      </c>
      <c r="D330" s="1">
        <v>72</v>
      </c>
      <c r="E330" s="2">
        <v>43131</v>
      </c>
      <c r="F330" s="6">
        <v>28.978119380553586</v>
      </c>
    </row>
    <row r="331" spans="1:6">
      <c r="A331" s="1">
        <v>9122287</v>
      </c>
      <c r="B331" s="1">
        <v>164.900250690055</v>
      </c>
      <c r="C331" s="1">
        <v>330</v>
      </c>
      <c r="D331" s="1">
        <v>316</v>
      </c>
      <c r="E331" s="2">
        <v>43478</v>
      </c>
      <c r="F331" s="6">
        <v>266.97187370582333</v>
      </c>
    </row>
    <row r="332" spans="1:6">
      <c r="A332" s="1">
        <v>9122290</v>
      </c>
      <c r="B332" s="1">
        <v>0.31471647487352417</v>
      </c>
      <c r="C332" s="1">
        <v>331</v>
      </c>
      <c r="D332" s="1">
        <v>434</v>
      </c>
      <c r="E332" s="2">
        <v>43282</v>
      </c>
      <c r="F332" s="6">
        <v>218.6510946331907</v>
      </c>
    </row>
    <row r="333" spans="1:6">
      <c r="A333" s="1">
        <v>9122293</v>
      </c>
      <c r="B333" s="1">
        <v>165.900250690055</v>
      </c>
      <c r="C333" s="1">
        <v>332</v>
      </c>
      <c r="D333" s="1">
        <v>264</v>
      </c>
      <c r="E333" s="2">
        <v>43210</v>
      </c>
      <c r="F333" s="6">
        <v>39.346789332260968</v>
      </c>
    </row>
    <row r="334" spans="1:6">
      <c r="A334" s="1">
        <v>9122296</v>
      </c>
      <c r="B334" s="1">
        <v>0.19162661977862872</v>
      </c>
      <c r="C334" s="1">
        <v>333</v>
      </c>
      <c r="D334" s="1">
        <v>162</v>
      </c>
      <c r="E334" s="2">
        <v>42923</v>
      </c>
      <c r="F334" s="6">
        <v>9.6024491179264437</v>
      </c>
    </row>
    <row r="335" spans="1:6">
      <c r="A335" s="1">
        <v>9122299</v>
      </c>
      <c r="B335" s="1">
        <v>166.900250690055</v>
      </c>
      <c r="C335" s="1">
        <v>334</v>
      </c>
      <c r="D335" s="1">
        <v>555</v>
      </c>
      <c r="E335" s="2">
        <v>42920</v>
      </c>
      <c r="F335" s="6">
        <v>50.862377305320493</v>
      </c>
    </row>
    <row r="336" spans="1:6">
      <c r="A336" s="1">
        <v>9122302</v>
      </c>
      <c r="B336" s="1">
        <v>0.11809745945460648</v>
      </c>
      <c r="C336" s="1">
        <v>335</v>
      </c>
      <c r="D336" s="1">
        <v>150</v>
      </c>
      <c r="E336" s="2">
        <v>42806</v>
      </c>
      <c r="F336" s="6">
        <v>67.092770238431456</v>
      </c>
    </row>
    <row r="337" spans="1:6">
      <c r="A337" s="1">
        <v>9122305</v>
      </c>
      <c r="B337" s="1">
        <v>167.900250690055</v>
      </c>
      <c r="C337" s="1">
        <v>336</v>
      </c>
      <c r="D337" s="1">
        <v>108</v>
      </c>
      <c r="E337" s="2">
        <v>43005</v>
      </c>
      <c r="F337" s="6">
        <v>166.33539930346504</v>
      </c>
    </row>
    <row r="338" spans="1:6">
      <c r="A338" s="1">
        <v>9122308</v>
      </c>
      <c r="B338" s="1">
        <v>0.59172052760989402</v>
      </c>
      <c r="C338" s="1">
        <v>337</v>
      </c>
      <c r="D338" s="1">
        <v>347</v>
      </c>
      <c r="E338" s="2">
        <v>43093</v>
      </c>
      <c r="F338" s="6">
        <v>3.8653901100879864</v>
      </c>
    </row>
    <row r="339" spans="1:6">
      <c r="A339" s="1">
        <v>9122311</v>
      </c>
      <c r="B339" s="1">
        <v>168.900250690055</v>
      </c>
      <c r="C339" s="1">
        <v>338</v>
      </c>
      <c r="D339" s="1">
        <v>111</v>
      </c>
      <c r="E339" s="2">
        <v>43207</v>
      </c>
      <c r="F339" s="6">
        <v>123.20127574342003</v>
      </c>
    </row>
    <row r="340" spans="1:6">
      <c r="A340" s="1">
        <v>9122314</v>
      </c>
      <c r="B340" s="1">
        <v>0.70678496438547866</v>
      </c>
      <c r="C340" s="1">
        <v>339</v>
      </c>
      <c r="D340" s="1">
        <v>389</v>
      </c>
      <c r="E340" s="2">
        <v>43206</v>
      </c>
      <c r="F340" s="6">
        <v>70.360455750280195</v>
      </c>
    </row>
    <row r="341" spans="1:6">
      <c r="A341" s="1">
        <v>9122317</v>
      </c>
      <c r="B341" s="1">
        <v>169.900250690055</v>
      </c>
      <c r="C341" s="1">
        <v>340</v>
      </c>
      <c r="D341" s="1">
        <v>159</v>
      </c>
      <c r="E341" s="2">
        <v>42978</v>
      </c>
      <c r="F341" s="6">
        <v>70.51401047678813</v>
      </c>
    </row>
    <row r="342" spans="1:6">
      <c r="A342" s="1">
        <v>9122320</v>
      </c>
      <c r="B342" s="1">
        <v>0.88199369265930228</v>
      </c>
      <c r="C342" s="1">
        <v>341</v>
      </c>
      <c r="D342" s="1">
        <v>58</v>
      </c>
      <c r="E342" s="2">
        <v>43335</v>
      </c>
      <c r="F342" s="6">
        <v>124.93115251861579</v>
      </c>
    </row>
    <row r="343" spans="1:6">
      <c r="A343" s="1">
        <v>9122323</v>
      </c>
      <c r="B343" s="1">
        <v>170.900250690055</v>
      </c>
      <c r="C343" s="1">
        <v>342</v>
      </c>
      <c r="D343" s="1">
        <v>322</v>
      </c>
      <c r="E343" s="2">
        <v>43432</v>
      </c>
      <c r="F343" s="6">
        <v>44.962879159042402</v>
      </c>
    </row>
    <row r="344" spans="1:6">
      <c r="A344" s="1">
        <v>9122326</v>
      </c>
      <c r="B344" s="1">
        <v>0.41294013561145138</v>
      </c>
      <c r="C344" s="1">
        <v>343</v>
      </c>
      <c r="D344" s="1">
        <v>382</v>
      </c>
      <c r="E344" s="2">
        <v>43400</v>
      </c>
      <c r="F344" s="6">
        <v>4.2202663275930554</v>
      </c>
    </row>
    <row r="345" spans="1:6">
      <c r="A345" s="1">
        <v>9122329</v>
      </c>
      <c r="B345" s="1">
        <v>171.900250690055</v>
      </c>
      <c r="C345" s="1">
        <v>344</v>
      </c>
      <c r="D345" s="1">
        <v>373</v>
      </c>
      <c r="E345" s="2">
        <v>42907</v>
      </c>
      <c r="F345" s="6">
        <v>66.76004597792425</v>
      </c>
    </row>
    <row r="346" spans="1:6">
      <c r="A346" s="1">
        <v>9122332</v>
      </c>
      <c r="B346" s="1">
        <v>4.6766312474216698E-2</v>
      </c>
      <c r="C346" s="1">
        <v>345</v>
      </c>
      <c r="D346" s="1">
        <v>598</v>
      </c>
      <c r="E346" s="2">
        <v>43086</v>
      </c>
      <c r="F346" s="6">
        <v>29.86946262921883</v>
      </c>
    </row>
    <row r="347" spans="1:6">
      <c r="A347" s="1">
        <v>9122335</v>
      </c>
      <c r="B347" s="1">
        <v>172.900250690055</v>
      </c>
      <c r="C347" s="1">
        <v>346</v>
      </c>
      <c r="D347" s="1">
        <v>479</v>
      </c>
      <c r="E347" s="2">
        <v>42988</v>
      </c>
      <c r="F347" s="6">
        <v>115.86533284505174</v>
      </c>
    </row>
    <row r="348" spans="1:6">
      <c r="A348" s="1">
        <v>9122338</v>
      </c>
      <c r="B348" s="1">
        <v>8.6408410236605393E-2</v>
      </c>
      <c r="C348" s="1">
        <v>347</v>
      </c>
      <c r="D348" s="1">
        <v>461</v>
      </c>
      <c r="E348" s="2">
        <v>43385</v>
      </c>
      <c r="F348" s="6">
        <v>10.688004348587782</v>
      </c>
    </row>
    <row r="349" spans="1:6">
      <c r="A349" s="1">
        <v>9122341</v>
      </c>
      <c r="B349" s="1">
        <v>173.900250690055</v>
      </c>
      <c r="C349" s="1">
        <v>348</v>
      </c>
      <c r="D349" s="1">
        <v>516</v>
      </c>
      <c r="E349" s="2">
        <v>42825</v>
      </c>
      <c r="F349" s="6">
        <v>113.24632789870708</v>
      </c>
    </row>
    <row r="350" spans="1:6">
      <c r="A350" s="1">
        <v>9122344</v>
      </c>
      <c r="B350" s="1">
        <v>0.9733068477076221</v>
      </c>
      <c r="C350" s="1">
        <v>349</v>
      </c>
      <c r="D350" s="1">
        <v>101</v>
      </c>
      <c r="E350" s="2">
        <v>43218</v>
      </c>
      <c r="F350" s="6">
        <v>11.162855037101691</v>
      </c>
    </row>
    <row r="351" spans="1:6">
      <c r="A351" s="1">
        <v>9122347</v>
      </c>
      <c r="B351" s="1">
        <v>174.900250690055</v>
      </c>
      <c r="C351" s="1">
        <v>350</v>
      </c>
      <c r="D351" s="1">
        <v>3</v>
      </c>
      <c r="E351" s="2">
        <v>43474</v>
      </c>
      <c r="F351" s="6">
        <v>335.95603525693406</v>
      </c>
    </row>
    <row r="352" spans="1:6">
      <c r="A352" s="1">
        <v>9122350</v>
      </c>
      <c r="B352" s="1">
        <v>0.55995368432341508</v>
      </c>
      <c r="C352" s="1">
        <v>351</v>
      </c>
      <c r="D352" s="1">
        <v>515</v>
      </c>
      <c r="E352" s="2">
        <v>43360</v>
      </c>
      <c r="F352" s="6">
        <v>82.878531995396656</v>
      </c>
    </row>
    <row r="353" spans="1:6">
      <c r="A353" s="1">
        <v>9122353</v>
      </c>
      <c r="B353" s="1">
        <v>175.900250690055</v>
      </c>
      <c r="C353" s="1">
        <v>352</v>
      </c>
      <c r="D353" s="1">
        <v>350</v>
      </c>
      <c r="E353" s="2">
        <v>43250</v>
      </c>
      <c r="F353" s="6">
        <v>7.5475037695722476</v>
      </c>
    </row>
    <row r="354" spans="1:6">
      <c r="A354" s="1">
        <v>9122356</v>
      </c>
      <c r="B354" s="1">
        <v>0.51123470234504664</v>
      </c>
      <c r="C354" s="1">
        <v>353</v>
      </c>
      <c r="D354" s="1">
        <v>262</v>
      </c>
      <c r="E354" s="2">
        <v>43360</v>
      </c>
      <c r="F354" s="6">
        <v>5.8834140245090616</v>
      </c>
    </row>
    <row r="355" spans="1:6">
      <c r="A355" s="1">
        <v>9122359</v>
      </c>
      <c r="B355" s="1">
        <v>176.900250690055</v>
      </c>
      <c r="C355" s="1">
        <v>354</v>
      </c>
      <c r="D355" s="1">
        <v>172</v>
      </c>
      <c r="E355" s="2">
        <v>43389</v>
      </c>
      <c r="F355" s="6">
        <v>22.890682696730924</v>
      </c>
    </row>
    <row r="356" spans="1:6">
      <c r="A356" s="1">
        <v>9122362</v>
      </c>
      <c r="B356" s="1">
        <v>0.88975201159283668</v>
      </c>
      <c r="C356" s="1">
        <v>355</v>
      </c>
      <c r="D356" s="1">
        <v>117</v>
      </c>
      <c r="E356" s="2">
        <v>43306</v>
      </c>
      <c r="F356" s="6">
        <v>81.397898629746223</v>
      </c>
    </row>
    <row r="357" spans="1:6">
      <c r="A357" s="1">
        <v>9122365</v>
      </c>
      <c r="B357" s="1">
        <v>177.900250690055</v>
      </c>
      <c r="C357" s="1">
        <v>356</v>
      </c>
      <c r="D357" s="1">
        <v>170</v>
      </c>
      <c r="E357" s="2">
        <v>43341</v>
      </c>
      <c r="F357" s="6">
        <v>36.26601711940426</v>
      </c>
    </row>
    <row r="358" spans="1:6">
      <c r="A358" s="1">
        <v>9122368</v>
      </c>
      <c r="B358" s="1">
        <v>0.59011407730183563</v>
      </c>
      <c r="C358" s="1">
        <v>357</v>
      </c>
      <c r="D358" s="1">
        <v>278</v>
      </c>
      <c r="E358" s="2">
        <v>43415</v>
      </c>
      <c r="F358" s="6">
        <v>275.13210322429228</v>
      </c>
    </row>
    <row r="359" spans="1:6">
      <c r="A359" s="1">
        <v>9122371</v>
      </c>
      <c r="B359" s="1">
        <v>178.900250690055</v>
      </c>
      <c r="C359" s="1">
        <v>358</v>
      </c>
      <c r="D359" s="1">
        <v>11</v>
      </c>
      <c r="E359" s="2">
        <v>43232</v>
      </c>
      <c r="F359" s="6">
        <v>33.700159761164073</v>
      </c>
    </row>
    <row r="360" spans="1:6">
      <c r="A360" s="1">
        <v>9122374</v>
      </c>
      <c r="B360" s="1">
        <v>0.53695145397838817</v>
      </c>
      <c r="C360" s="1">
        <v>359</v>
      </c>
      <c r="D360" s="1">
        <v>188</v>
      </c>
      <c r="E360" s="2">
        <v>42787</v>
      </c>
      <c r="F360" s="6">
        <v>4.850321666920463</v>
      </c>
    </row>
    <row r="361" spans="1:6">
      <c r="A361" s="1">
        <v>9122377</v>
      </c>
      <c r="B361" s="1">
        <v>179.900250690055</v>
      </c>
      <c r="C361" s="1">
        <v>360</v>
      </c>
      <c r="D361" s="1">
        <v>130</v>
      </c>
      <c r="E361" s="2">
        <v>42904</v>
      </c>
      <c r="F361" s="6">
        <v>13.702395247169036</v>
      </c>
    </row>
    <row r="362" spans="1:6">
      <c r="A362" s="1">
        <v>9122380</v>
      </c>
      <c r="B362" s="1">
        <v>0.33905793049512889</v>
      </c>
      <c r="C362" s="1">
        <v>361</v>
      </c>
      <c r="D362" s="1">
        <v>268</v>
      </c>
      <c r="E362" s="2">
        <v>43057</v>
      </c>
      <c r="F362" s="6">
        <v>5.5072198506228922</v>
      </c>
    </row>
    <row r="363" spans="1:6">
      <c r="A363" s="1">
        <v>9122383</v>
      </c>
      <c r="B363" s="1">
        <v>180.900250690055</v>
      </c>
      <c r="C363" s="1">
        <v>362</v>
      </c>
      <c r="D363" s="1">
        <v>529</v>
      </c>
      <c r="E363" s="2">
        <v>43162</v>
      </c>
      <c r="F363" s="6">
        <v>186.74375564331979</v>
      </c>
    </row>
    <row r="364" spans="1:6">
      <c r="A364" s="1">
        <v>9122386</v>
      </c>
      <c r="B364" s="1">
        <v>0.60474877603635091</v>
      </c>
      <c r="C364" s="1">
        <v>363</v>
      </c>
      <c r="D364" s="1">
        <v>561</v>
      </c>
      <c r="E364" s="2">
        <v>42886</v>
      </c>
      <c r="F364" s="6">
        <v>49.262298228546186</v>
      </c>
    </row>
    <row r="365" spans="1:6">
      <c r="A365" s="1">
        <v>9122389</v>
      </c>
      <c r="B365" s="1">
        <v>181.900250690055</v>
      </c>
      <c r="C365" s="1">
        <v>364</v>
      </c>
      <c r="D365" s="1">
        <v>123</v>
      </c>
      <c r="E365" s="2">
        <v>43105</v>
      </c>
      <c r="F365" s="6">
        <v>88.990169599781368</v>
      </c>
    </row>
    <row r="366" spans="1:6">
      <c r="A366" s="1">
        <v>9122392</v>
      </c>
      <c r="B366" s="1">
        <v>0.24759085175444651</v>
      </c>
      <c r="C366" s="1">
        <v>365</v>
      </c>
      <c r="D366" s="1">
        <v>152</v>
      </c>
      <c r="E366" s="2">
        <v>42877</v>
      </c>
      <c r="F366" s="6">
        <v>3.5123006902449512</v>
      </c>
    </row>
    <row r="367" spans="1:6">
      <c r="A367" s="1">
        <v>9122395</v>
      </c>
      <c r="B367" s="1">
        <v>182.900250690055</v>
      </c>
      <c r="C367" s="1">
        <v>366</v>
      </c>
      <c r="D367" s="1">
        <v>412</v>
      </c>
      <c r="E367" s="2">
        <v>43056</v>
      </c>
      <c r="F367" s="6">
        <v>4.911204824392267</v>
      </c>
    </row>
    <row r="368" spans="1:6">
      <c r="A368" s="1">
        <v>9122398</v>
      </c>
      <c r="B368" s="1">
        <v>0.51961871869225795</v>
      </c>
      <c r="C368" s="1">
        <v>367</v>
      </c>
      <c r="D368" s="1">
        <v>80</v>
      </c>
      <c r="E368" s="2">
        <v>43255</v>
      </c>
      <c r="F368" s="6">
        <v>153.24454715315181</v>
      </c>
    </row>
    <row r="369" spans="1:6">
      <c r="A369" s="1">
        <v>9122401</v>
      </c>
      <c r="B369" s="1">
        <v>183.900250690055</v>
      </c>
      <c r="C369" s="1">
        <v>368</v>
      </c>
      <c r="D369" s="1">
        <v>107</v>
      </c>
      <c r="E369" s="2">
        <v>43310</v>
      </c>
      <c r="F369" s="6">
        <v>64.581661649227016</v>
      </c>
    </row>
    <row r="370" spans="1:6">
      <c r="A370" s="1">
        <v>9122404</v>
      </c>
      <c r="B370" s="1">
        <v>0.10530349456363552</v>
      </c>
      <c r="C370" s="1">
        <v>369</v>
      </c>
      <c r="D370" s="1">
        <v>204</v>
      </c>
      <c r="E370" s="2">
        <v>43005</v>
      </c>
      <c r="F370" s="6">
        <v>10.087008025116331</v>
      </c>
    </row>
    <row r="371" spans="1:6">
      <c r="A371" s="1">
        <v>9122407</v>
      </c>
      <c r="B371" s="1">
        <v>184.900250690055</v>
      </c>
      <c r="C371" s="1">
        <v>370</v>
      </c>
      <c r="D371" s="1">
        <v>269</v>
      </c>
      <c r="E371" s="2">
        <v>43140</v>
      </c>
      <c r="F371" s="6">
        <v>237.97784441009179</v>
      </c>
    </row>
    <row r="372" spans="1:6">
      <c r="A372" s="1">
        <v>9122410</v>
      </c>
      <c r="B372" s="1">
        <v>0.88530230161994961</v>
      </c>
      <c r="C372" s="1">
        <v>371</v>
      </c>
      <c r="D372" s="1">
        <v>542</v>
      </c>
      <c r="E372" s="2">
        <v>43381</v>
      </c>
      <c r="F372" s="6">
        <v>65.564582601893363</v>
      </c>
    </row>
    <row r="373" spans="1:6">
      <c r="A373" s="1">
        <v>9122413</v>
      </c>
      <c r="B373" s="1">
        <v>185.900250690055</v>
      </c>
      <c r="C373" s="1">
        <v>372</v>
      </c>
      <c r="D373" s="1">
        <v>257</v>
      </c>
      <c r="E373" s="2">
        <v>42748</v>
      </c>
      <c r="F373" s="6">
        <v>56.011826034236201</v>
      </c>
    </row>
    <row r="374" spans="1:6">
      <c r="A374" s="1">
        <v>9122416</v>
      </c>
      <c r="B374" s="1">
        <v>0.73902398531987679</v>
      </c>
      <c r="C374" s="1">
        <v>373</v>
      </c>
      <c r="D374" s="1">
        <v>418</v>
      </c>
      <c r="E374" s="2">
        <v>42744</v>
      </c>
      <c r="F374" s="6">
        <v>54.561749192813309</v>
      </c>
    </row>
    <row r="375" spans="1:6">
      <c r="A375" s="1">
        <v>9122419</v>
      </c>
      <c r="B375" s="1">
        <v>186.900250690055</v>
      </c>
      <c r="C375" s="1">
        <v>374</v>
      </c>
      <c r="D375" s="1">
        <v>535</v>
      </c>
      <c r="E375" s="2">
        <v>43187</v>
      </c>
      <c r="F375" s="6">
        <v>31.416311342521382</v>
      </c>
    </row>
    <row r="376" spans="1:6">
      <c r="A376" s="1">
        <v>9122422</v>
      </c>
      <c r="B376" s="1">
        <v>0.79225466579905457</v>
      </c>
      <c r="C376" s="1">
        <v>375</v>
      </c>
      <c r="D376" s="1">
        <v>331</v>
      </c>
      <c r="E376" s="2">
        <v>43127</v>
      </c>
      <c r="F376" s="6">
        <v>108.96827118158207</v>
      </c>
    </row>
    <row r="377" spans="1:6">
      <c r="A377" s="1">
        <v>9122425</v>
      </c>
      <c r="B377" s="1">
        <v>187.900250690055</v>
      </c>
      <c r="C377" s="1">
        <v>376</v>
      </c>
      <c r="D377" s="1">
        <v>332</v>
      </c>
      <c r="E377" s="2">
        <v>42799</v>
      </c>
      <c r="F377" s="6">
        <v>204.24808809623241</v>
      </c>
    </row>
    <row r="378" spans="1:6">
      <c r="A378" s="1">
        <v>9122428</v>
      </c>
      <c r="B378" s="1">
        <v>0.30317946819510588</v>
      </c>
      <c r="C378" s="1">
        <v>377</v>
      </c>
      <c r="D378" s="1">
        <v>449</v>
      </c>
      <c r="E378" s="2">
        <v>43390</v>
      </c>
      <c r="F378" s="6">
        <v>9.9332784201794002</v>
      </c>
    </row>
    <row r="379" spans="1:6">
      <c r="A379" s="1">
        <v>9122431</v>
      </c>
      <c r="B379" s="1">
        <v>188.900250690055</v>
      </c>
      <c r="C379" s="1">
        <v>378</v>
      </c>
      <c r="D379" s="1">
        <v>408</v>
      </c>
      <c r="E379" s="2">
        <v>43076</v>
      </c>
      <c r="F379" s="6">
        <v>27.970524919384847</v>
      </c>
    </row>
    <row r="380" spans="1:6">
      <c r="A380" s="1">
        <v>9122434</v>
      </c>
      <c r="B380" s="1">
        <v>0.36855641854798171</v>
      </c>
      <c r="C380" s="1">
        <v>379</v>
      </c>
      <c r="D380" s="1">
        <v>372</v>
      </c>
      <c r="E380" s="2">
        <v>43379</v>
      </c>
      <c r="F380" s="6">
        <v>41.59293625205131</v>
      </c>
    </row>
    <row r="381" spans="1:6">
      <c r="A381" s="1">
        <v>9122437</v>
      </c>
      <c r="B381" s="1">
        <v>189.900250690055</v>
      </c>
      <c r="C381" s="1">
        <v>380</v>
      </c>
      <c r="D381" s="1">
        <v>5</v>
      </c>
      <c r="E381" s="2">
        <v>42916</v>
      </c>
      <c r="F381" s="6">
        <v>108.74831596296322</v>
      </c>
    </row>
    <row r="382" spans="1:6">
      <c r="A382" s="1">
        <v>9122440</v>
      </c>
      <c r="B382" s="1">
        <v>0.28118640654808047</v>
      </c>
      <c r="C382" s="1">
        <v>381</v>
      </c>
      <c r="D382" s="1">
        <v>345</v>
      </c>
      <c r="E382" s="2">
        <v>43123</v>
      </c>
      <c r="F382" s="6">
        <v>113.20984419707102</v>
      </c>
    </row>
    <row r="383" spans="1:6">
      <c r="A383" s="1">
        <v>9122443</v>
      </c>
      <c r="B383" s="1">
        <v>190.900250690055</v>
      </c>
      <c r="C383" s="1">
        <v>382</v>
      </c>
      <c r="D383" s="1">
        <v>271</v>
      </c>
      <c r="E383" s="2">
        <v>42991</v>
      </c>
      <c r="F383" s="6">
        <v>4.6947723294874066</v>
      </c>
    </row>
    <row r="384" spans="1:6">
      <c r="A384" s="1">
        <v>9122446</v>
      </c>
      <c r="B384" s="1">
        <v>0.70119278372945171</v>
      </c>
      <c r="C384" s="1">
        <v>383</v>
      </c>
      <c r="D384" s="1">
        <v>406</v>
      </c>
      <c r="E384" s="2">
        <v>43210</v>
      </c>
      <c r="F384" s="6">
        <v>65.996456764260813</v>
      </c>
    </row>
    <row r="385" spans="1:6">
      <c r="A385" s="1">
        <v>9122449</v>
      </c>
      <c r="B385" s="1">
        <v>191.900250690055</v>
      </c>
      <c r="C385" s="1">
        <v>384</v>
      </c>
      <c r="D385" s="1">
        <v>324</v>
      </c>
      <c r="E385" s="2">
        <v>42891</v>
      </c>
      <c r="F385" s="6">
        <v>6.8998502881107324</v>
      </c>
    </row>
    <row r="386" spans="1:6">
      <c r="A386" s="1">
        <v>9122452</v>
      </c>
      <c r="B386" s="1">
        <v>0.82216972895909202</v>
      </c>
      <c r="C386" s="1">
        <v>385</v>
      </c>
      <c r="D386" s="1">
        <v>18</v>
      </c>
      <c r="E386" s="2">
        <v>42858</v>
      </c>
      <c r="F386" s="6">
        <v>92.011685469141526</v>
      </c>
    </row>
    <row r="387" spans="1:6">
      <c r="A387" s="1">
        <v>9122455</v>
      </c>
      <c r="B387" s="1">
        <v>192.900250690055</v>
      </c>
      <c r="C387" s="1">
        <v>386</v>
      </c>
      <c r="D387" s="1">
        <v>124</v>
      </c>
      <c r="E387" s="2">
        <v>42878</v>
      </c>
      <c r="F387" s="6">
        <v>5.6623393178199191</v>
      </c>
    </row>
    <row r="388" spans="1:6">
      <c r="A388" s="1">
        <v>9122458</v>
      </c>
      <c r="B388" s="1">
        <v>0.41769369337081796</v>
      </c>
      <c r="C388" s="1">
        <v>387</v>
      </c>
      <c r="D388" s="1">
        <v>580</v>
      </c>
      <c r="E388" s="2">
        <v>43483</v>
      </c>
      <c r="F388" s="6">
        <v>249.11657353332882</v>
      </c>
    </row>
    <row r="389" spans="1:6">
      <c r="A389" s="1">
        <v>9122461</v>
      </c>
      <c r="B389" s="1">
        <v>193.900250690055</v>
      </c>
      <c r="C389" s="1">
        <v>388</v>
      </c>
      <c r="D389" s="1">
        <v>205</v>
      </c>
      <c r="E389" s="2">
        <v>43143</v>
      </c>
      <c r="F389" s="6">
        <v>116.53692222607323</v>
      </c>
    </row>
    <row r="390" spans="1:6">
      <c r="A390" s="1">
        <v>9122464</v>
      </c>
      <c r="B390" s="1">
        <v>0.36771277920691026</v>
      </c>
      <c r="C390" s="1">
        <v>389</v>
      </c>
      <c r="D390" s="1">
        <v>30</v>
      </c>
      <c r="E390" s="2">
        <v>43181</v>
      </c>
      <c r="F390" s="6">
        <v>6.6578214957885056</v>
      </c>
    </row>
    <row r="391" spans="1:6">
      <c r="A391" s="1">
        <v>9122467</v>
      </c>
      <c r="B391" s="1">
        <v>194.900250690055</v>
      </c>
      <c r="C391" s="1">
        <v>390</v>
      </c>
      <c r="D391" s="1">
        <v>317</v>
      </c>
      <c r="E391" s="2">
        <v>43337</v>
      </c>
      <c r="F391" s="6">
        <v>40.250773225120739</v>
      </c>
    </row>
    <row r="392" spans="1:6">
      <c r="A392" s="1">
        <v>9122470</v>
      </c>
      <c r="B392" s="1">
        <v>0.15953716016553909</v>
      </c>
      <c r="C392" s="1">
        <v>391</v>
      </c>
      <c r="D392" s="1">
        <v>274</v>
      </c>
      <c r="E392" s="2">
        <v>43223</v>
      </c>
      <c r="F392" s="6">
        <v>383.58453502091976</v>
      </c>
    </row>
    <row r="393" spans="1:6">
      <c r="A393" s="1">
        <v>9122473</v>
      </c>
      <c r="B393" s="1">
        <v>195.900250690055</v>
      </c>
      <c r="C393" s="1">
        <v>392</v>
      </c>
      <c r="D393" s="1">
        <v>282</v>
      </c>
      <c r="E393" s="2">
        <v>43397</v>
      </c>
      <c r="F393" s="6">
        <v>468.7332664194526</v>
      </c>
    </row>
    <row r="394" spans="1:6">
      <c r="A394" s="1">
        <v>9122476</v>
      </c>
      <c r="B394" s="1">
        <v>0.50217263301564496</v>
      </c>
      <c r="C394" s="1">
        <v>393</v>
      </c>
      <c r="D394" s="1">
        <v>455</v>
      </c>
      <c r="E394" s="2">
        <v>42852</v>
      </c>
      <c r="F394" s="6">
        <v>133.05069862446234</v>
      </c>
    </row>
    <row r="395" spans="1:6">
      <c r="A395" s="1">
        <v>9122479</v>
      </c>
      <c r="B395" s="1">
        <v>196.900250690055</v>
      </c>
      <c r="C395" s="1">
        <v>394</v>
      </c>
      <c r="D395" s="1">
        <v>86</v>
      </c>
      <c r="E395" s="2">
        <v>42807</v>
      </c>
      <c r="F395" s="6">
        <v>9.0396999056791536</v>
      </c>
    </row>
    <row r="396" spans="1:6">
      <c r="A396" s="1">
        <v>9122482</v>
      </c>
      <c r="B396" s="1">
        <v>0.67699044300214273</v>
      </c>
      <c r="C396" s="1">
        <v>395</v>
      </c>
      <c r="D396" s="1">
        <v>148</v>
      </c>
      <c r="E396" s="2">
        <v>43375</v>
      </c>
      <c r="F396" s="6">
        <v>59.243282597849422</v>
      </c>
    </row>
    <row r="397" spans="1:6">
      <c r="A397" s="1">
        <v>9122485</v>
      </c>
      <c r="B397" s="1">
        <v>197.900250690055</v>
      </c>
      <c r="C397" s="1">
        <v>396</v>
      </c>
      <c r="D397" s="1">
        <v>307</v>
      </c>
      <c r="E397" s="2">
        <v>43216</v>
      </c>
      <c r="F397" s="6">
        <v>16.331137945213889</v>
      </c>
    </row>
    <row r="398" spans="1:6">
      <c r="A398" s="1">
        <v>9122488</v>
      </c>
      <c r="B398" s="1">
        <v>0.25264442415484167</v>
      </c>
      <c r="C398" s="1">
        <v>397</v>
      </c>
      <c r="D398" s="1">
        <v>312</v>
      </c>
      <c r="E398" s="2">
        <v>43438</v>
      </c>
      <c r="F398" s="6">
        <v>49.891380895120811</v>
      </c>
    </row>
    <row r="399" spans="1:6">
      <c r="A399" s="1">
        <v>9122491</v>
      </c>
      <c r="B399" s="1">
        <v>198.900250690055</v>
      </c>
      <c r="C399" s="1">
        <v>398</v>
      </c>
      <c r="D399" s="1">
        <v>336</v>
      </c>
      <c r="E399" s="2">
        <v>42954</v>
      </c>
      <c r="F399" s="6">
        <v>126.26120244725153</v>
      </c>
    </row>
    <row r="400" spans="1:6">
      <c r="A400" s="1">
        <v>9122494</v>
      </c>
      <c r="B400" s="1">
        <v>0.70019958862908072</v>
      </c>
      <c r="C400" s="1">
        <v>399</v>
      </c>
      <c r="D400" s="1">
        <v>229</v>
      </c>
      <c r="E400" s="2">
        <v>42752</v>
      </c>
      <c r="F400" s="6">
        <v>5.4251161970945603</v>
      </c>
    </row>
    <row r="401" spans="1:6">
      <c r="A401" s="1">
        <v>9122497</v>
      </c>
      <c r="B401" s="1">
        <v>199.900250690055</v>
      </c>
      <c r="C401" s="1">
        <v>400</v>
      </c>
      <c r="D401" s="1">
        <v>517</v>
      </c>
      <c r="E401" s="2">
        <v>42796</v>
      </c>
      <c r="F401" s="6">
        <v>19.406323959598083</v>
      </c>
    </row>
    <row r="402" spans="1:6">
      <c r="A402" s="1">
        <v>9122500</v>
      </c>
      <c r="B402" s="1">
        <v>0.80056679346824089</v>
      </c>
      <c r="C402" s="1">
        <v>401</v>
      </c>
      <c r="D402" s="1">
        <v>158</v>
      </c>
      <c r="E402" s="2">
        <v>43084</v>
      </c>
      <c r="F402" s="6">
        <v>5.0206551799156056</v>
      </c>
    </row>
    <row r="403" spans="1:6">
      <c r="A403" s="1">
        <v>9122503</v>
      </c>
      <c r="B403" s="1">
        <v>200.900250690055</v>
      </c>
      <c r="C403" s="1">
        <v>402</v>
      </c>
      <c r="D403" s="1">
        <v>574</v>
      </c>
      <c r="E403" s="2">
        <v>43232</v>
      </c>
      <c r="F403" s="6">
        <v>53.97167952590258</v>
      </c>
    </row>
    <row r="404" spans="1:6">
      <c r="A404" s="1">
        <v>9122506</v>
      </c>
      <c r="B404" s="1">
        <v>0.50206183899399615</v>
      </c>
      <c r="C404" s="1">
        <v>403</v>
      </c>
      <c r="D404" s="1">
        <v>208</v>
      </c>
      <c r="E404" s="2">
        <v>42865</v>
      </c>
      <c r="F404" s="6">
        <v>401.0368504667079</v>
      </c>
    </row>
    <row r="405" spans="1:6">
      <c r="A405" s="1">
        <v>9122509</v>
      </c>
      <c r="B405" s="1">
        <v>201.900250690055</v>
      </c>
      <c r="C405" s="1">
        <v>404</v>
      </c>
      <c r="D405" s="1">
        <v>46</v>
      </c>
      <c r="E405" s="2">
        <v>43219</v>
      </c>
      <c r="F405" s="6">
        <v>253.24964707077061</v>
      </c>
    </row>
    <row r="406" spans="1:6">
      <c r="A406" s="1">
        <v>9122512</v>
      </c>
      <c r="B406" s="1">
        <v>0.27903651457393908</v>
      </c>
      <c r="C406" s="1">
        <v>405</v>
      </c>
      <c r="D406" s="1">
        <v>95</v>
      </c>
      <c r="E406" s="2">
        <v>43015</v>
      </c>
      <c r="F406" s="6">
        <v>65.443668609674731</v>
      </c>
    </row>
    <row r="407" spans="1:6">
      <c r="A407" s="1">
        <v>9122515</v>
      </c>
      <c r="B407" s="1">
        <v>202.900250690055</v>
      </c>
      <c r="C407" s="1">
        <v>406</v>
      </c>
      <c r="D407" s="1">
        <v>590</v>
      </c>
      <c r="E407" s="2">
        <v>43435</v>
      </c>
      <c r="F407" s="6">
        <v>36.423664365421097</v>
      </c>
    </row>
    <row r="408" spans="1:6">
      <c r="A408" s="1">
        <v>9122518</v>
      </c>
      <c r="B408" s="1">
        <v>0.3406796963938834</v>
      </c>
      <c r="C408" s="1">
        <v>407</v>
      </c>
      <c r="D408" s="1">
        <v>367</v>
      </c>
      <c r="E408" s="2">
        <v>43238</v>
      </c>
      <c r="F408" s="6">
        <v>33.981066514916527</v>
      </c>
    </row>
    <row r="409" spans="1:6">
      <c r="A409" s="1">
        <v>9122521</v>
      </c>
      <c r="B409" s="1">
        <v>203.900250690055</v>
      </c>
      <c r="C409" s="1">
        <v>408</v>
      </c>
      <c r="D409" s="1">
        <v>94</v>
      </c>
      <c r="E409" s="2">
        <v>43409</v>
      </c>
      <c r="F409" s="6">
        <v>12.827762669773971</v>
      </c>
    </row>
    <row r="410" spans="1:6">
      <c r="A410" s="1">
        <v>9122524</v>
      </c>
      <c r="B410" s="1">
        <v>0.40609573550369382</v>
      </c>
      <c r="C410" s="1">
        <v>409</v>
      </c>
      <c r="D410" s="1">
        <v>133</v>
      </c>
      <c r="E410" s="2">
        <v>42835</v>
      </c>
      <c r="F410" s="6">
        <v>243.09711713947297</v>
      </c>
    </row>
    <row r="411" spans="1:6">
      <c r="A411" s="1">
        <v>9122527</v>
      </c>
      <c r="B411" s="1">
        <v>204.900250690055</v>
      </c>
      <c r="C411" s="1">
        <v>410</v>
      </c>
      <c r="D411" s="1">
        <v>239</v>
      </c>
      <c r="E411" s="2">
        <v>43388</v>
      </c>
      <c r="F411" s="6">
        <v>158.20904628972636</v>
      </c>
    </row>
    <row r="412" spans="1:6">
      <c r="A412" s="1">
        <v>9122530</v>
      </c>
      <c r="B412" s="1">
        <v>0.76254726498803382</v>
      </c>
      <c r="C412" s="1">
        <v>411</v>
      </c>
      <c r="D412" s="1">
        <v>333</v>
      </c>
      <c r="E412" s="2">
        <v>43170</v>
      </c>
      <c r="F412" s="6">
        <v>31.77255238250488</v>
      </c>
    </row>
    <row r="413" spans="1:6">
      <c r="A413" s="1">
        <v>9122533</v>
      </c>
      <c r="B413" s="1">
        <v>205.900250690055</v>
      </c>
      <c r="C413" s="1">
        <v>412</v>
      </c>
      <c r="D413" s="1">
        <v>440</v>
      </c>
      <c r="E413" s="2">
        <v>42871</v>
      </c>
      <c r="F413" s="6">
        <v>154.41524979072619</v>
      </c>
    </row>
    <row r="414" spans="1:6">
      <c r="A414" s="1">
        <v>9122536</v>
      </c>
      <c r="B414" s="1">
        <v>0.25122805030306894</v>
      </c>
      <c r="C414" s="1">
        <v>413</v>
      </c>
      <c r="D414" s="1">
        <v>287</v>
      </c>
      <c r="E414" s="2">
        <v>42928</v>
      </c>
      <c r="F414" s="6">
        <v>144.47856221615601</v>
      </c>
    </row>
    <row r="415" spans="1:6">
      <c r="A415" s="1">
        <v>9122539</v>
      </c>
      <c r="B415" s="1">
        <v>206.900250690055</v>
      </c>
      <c r="C415" s="1">
        <v>414</v>
      </c>
      <c r="D415" s="1">
        <v>313</v>
      </c>
      <c r="E415" s="2">
        <v>43221</v>
      </c>
      <c r="F415" s="6">
        <v>86.575868885803246</v>
      </c>
    </row>
    <row r="416" spans="1:6">
      <c r="A416" s="1">
        <v>9122542</v>
      </c>
      <c r="B416" s="1">
        <v>0.74803187093707546</v>
      </c>
      <c r="C416" s="1">
        <v>415</v>
      </c>
      <c r="D416" s="1">
        <v>543</v>
      </c>
      <c r="E416" s="2">
        <v>43131</v>
      </c>
      <c r="F416" s="6">
        <v>54.800572545343094</v>
      </c>
    </row>
    <row r="417" spans="1:6">
      <c r="A417" s="1">
        <v>9122545</v>
      </c>
      <c r="B417" s="1">
        <v>207.900250690055</v>
      </c>
      <c r="C417" s="1">
        <v>416</v>
      </c>
      <c r="D417" s="1">
        <v>452</v>
      </c>
      <c r="E417" s="2">
        <v>43285</v>
      </c>
      <c r="F417" s="6">
        <v>134.72621160352676</v>
      </c>
    </row>
    <row r="418" spans="1:6">
      <c r="A418" s="1">
        <v>9122548</v>
      </c>
      <c r="B418" s="1">
        <v>5.7791640191666716E-3</v>
      </c>
      <c r="C418" s="1">
        <v>417</v>
      </c>
      <c r="D418" s="1">
        <v>121</v>
      </c>
      <c r="E418" s="2">
        <v>42777</v>
      </c>
      <c r="F418" s="6">
        <v>11.857324796127106</v>
      </c>
    </row>
    <row r="419" spans="1:6">
      <c r="A419" s="1">
        <v>9122551</v>
      </c>
      <c r="B419" s="1">
        <v>208.900250690055</v>
      </c>
      <c r="C419" s="1">
        <v>418</v>
      </c>
      <c r="D419" s="1">
        <v>112</v>
      </c>
      <c r="E419" s="2">
        <v>43013</v>
      </c>
      <c r="F419" s="6">
        <v>29.571169729413779</v>
      </c>
    </row>
    <row r="420" spans="1:6">
      <c r="A420" s="1">
        <v>9122554</v>
      </c>
      <c r="B420" s="1">
        <v>0.11314964599828836</v>
      </c>
      <c r="C420" s="1">
        <v>419</v>
      </c>
      <c r="D420" s="1">
        <v>579</v>
      </c>
      <c r="E420" s="2">
        <v>43365</v>
      </c>
      <c r="F420" s="6">
        <v>59.267687132685381</v>
      </c>
    </row>
    <row r="421" spans="1:6">
      <c r="A421" s="1">
        <v>9122557</v>
      </c>
      <c r="B421" s="1">
        <v>209.900250690055</v>
      </c>
      <c r="C421" s="1">
        <v>420</v>
      </c>
      <c r="D421" s="1">
        <v>180</v>
      </c>
      <c r="E421" s="2">
        <v>42844</v>
      </c>
      <c r="F421" s="6">
        <v>25.388200083992015</v>
      </c>
    </row>
    <row r="422" spans="1:6">
      <c r="A422" s="1">
        <v>9122560</v>
      </c>
      <c r="B422" s="1">
        <v>0.30357818918932955</v>
      </c>
      <c r="C422" s="1">
        <v>421</v>
      </c>
      <c r="D422" s="1">
        <v>288</v>
      </c>
      <c r="E422" s="2">
        <v>43235</v>
      </c>
      <c r="F422" s="6">
        <v>19.626086875478101</v>
      </c>
    </row>
    <row r="423" spans="1:6">
      <c r="A423" s="1">
        <v>9122563</v>
      </c>
      <c r="B423" s="1">
        <v>210.900250690055</v>
      </c>
      <c r="C423" s="1">
        <v>422</v>
      </c>
      <c r="D423" s="1">
        <v>70</v>
      </c>
      <c r="E423" s="2">
        <v>43349</v>
      </c>
      <c r="F423" s="6">
        <v>13.883466347535576</v>
      </c>
    </row>
    <row r="424" spans="1:6">
      <c r="A424" s="1">
        <v>9122566</v>
      </c>
      <c r="B424" s="1">
        <v>0.2965643071543328</v>
      </c>
      <c r="C424" s="1">
        <v>423</v>
      </c>
      <c r="D424" s="1">
        <v>26</v>
      </c>
      <c r="E424" s="2">
        <v>42752</v>
      </c>
      <c r="F424" s="6">
        <v>32.614303018357106</v>
      </c>
    </row>
    <row r="425" spans="1:6">
      <c r="A425" s="1">
        <v>9122569</v>
      </c>
      <c r="B425" s="1">
        <v>211.900250690055</v>
      </c>
      <c r="C425" s="1">
        <v>424</v>
      </c>
      <c r="D425" s="1">
        <v>63</v>
      </c>
      <c r="E425" s="2">
        <v>43328</v>
      </c>
      <c r="F425" s="6">
        <v>10.401502143047116</v>
      </c>
    </row>
    <row r="426" spans="1:6">
      <c r="A426" s="1">
        <v>9122572</v>
      </c>
      <c r="B426" s="1">
        <v>0.73277920690697051</v>
      </c>
      <c r="C426" s="1">
        <v>425</v>
      </c>
      <c r="D426" s="1">
        <v>415</v>
      </c>
      <c r="E426" s="2">
        <v>43174</v>
      </c>
      <c r="F426" s="6">
        <v>58.435135318557315</v>
      </c>
    </row>
    <row r="427" spans="1:6">
      <c r="A427" s="1">
        <v>9122575</v>
      </c>
      <c r="B427" s="1">
        <v>212.900250690055</v>
      </c>
      <c r="C427" s="1">
        <v>426</v>
      </c>
      <c r="D427" s="1">
        <v>594</v>
      </c>
      <c r="E427" s="2">
        <v>43011</v>
      </c>
      <c r="F427" s="6">
        <v>33.846380429142016</v>
      </c>
    </row>
    <row r="428" spans="1:6">
      <c r="A428" s="1">
        <v>9122578</v>
      </c>
      <c r="B428" s="1">
        <v>0.38625993200715547</v>
      </c>
      <c r="C428" s="1">
        <v>427</v>
      </c>
      <c r="D428" s="1">
        <v>39</v>
      </c>
      <c r="E428" s="2">
        <v>43389</v>
      </c>
      <c r="F428" s="6">
        <v>218.08465249009689</v>
      </c>
    </row>
    <row r="429" spans="1:6">
      <c r="A429" s="1">
        <v>9122581</v>
      </c>
      <c r="B429" s="1">
        <v>213.900250690055</v>
      </c>
      <c r="C429" s="1">
        <v>428</v>
      </c>
      <c r="D429" s="1">
        <v>355</v>
      </c>
      <c r="E429" s="2">
        <v>43006</v>
      </c>
      <c r="F429" s="6">
        <v>55.692245161042564</v>
      </c>
    </row>
    <row r="430" spans="1:6">
      <c r="A430" s="1">
        <v>9122584</v>
      </c>
      <c r="B430" s="1">
        <v>0.32577109600318144</v>
      </c>
      <c r="C430" s="1">
        <v>429</v>
      </c>
      <c r="D430" s="1">
        <v>399</v>
      </c>
      <c r="E430" s="2">
        <v>42778</v>
      </c>
      <c r="F430" s="6">
        <v>38.21404640892554</v>
      </c>
    </row>
    <row r="431" spans="1:6">
      <c r="A431" s="1">
        <v>9122587</v>
      </c>
      <c r="B431" s="1">
        <v>214.900250690055</v>
      </c>
      <c r="C431" s="1">
        <v>430</v>
      </c>
      <c r="D431" s="1">
        <v>286</v>
      </c>
      <c r="E431" s="2">
        <v>43317</v>
      </c>
      <c r="F431" s="6">
        <v>13.675054632066809</v>
      </c>
    </row>
    <row r="432" spans="1:6">
      <c r="A432" s="1">
        <v>9122590</v>
      </c>
      <c r="B432" s="1">
        <v>0.28428920093194521</v>
      </c>
      <c r="C432" s="1">
        <v>431</v>
      </c>
      <c r="D432" s="1">
        <v>314</v>
      </c>
      <c r="E432" s="2">
        <v>43360</v>
      </c>
      <c r="F432" s="6">
        <v>79.037368296750898</v>
      </c>
    </row>
    <row r="433" spans="1:6">
      <c r="A433" s="1">
        <v>9122593</v>
      </c>
      <c r="B433" s="1">
        <v>215.900250690055</v>
      </c>
      <c r="C433" s="1">
        <v>432</v>
      </c>
      <c r="D433" s="1">
        <v>203</v>
      </c>
      <c r="E433" s="2">
        <v>42883</v>
      </c>
      <c r="F433" s="6">
        <v>96.018325781327206</v>
      </c>
    </row>
    <row r="434" spans="1:6">
      <c r="A434" s="1">
        <v>9122596</v>
      </c>
      <c r="B434" s="1">
        <v>9.8230229893772059E-3</v>
      </c>
      <c r="C434" s="1">
        <v>433</v>
      </c>
      <c r="D434" s="1">
        <v>309</v>
      </c>
      <c r="E434" s="2">
        <v>43314</v>
      </c>
      <c r="F434" s="6">
        <v>54.002992759903755</v>
      </c>
    </row>
    <row r="435" spans="1:6">
      <c r="A435" s="1">
        <v>9122599</v>
      </c>
      <c r="B435" s="1">
        <v>216.900250690055</v>
      </c>
      <c r="C435" s="1">
        <v>434</v>
      </c>
      <c r="D435" s="1">
        <v>403</v>
      </c>
      <c r="E435" s="2">
        <v>43424</v>
      </c>
      <c r="F435" s="6">
        <v>27.685328568818733</v>
      </c>
    </row>
    <row r="436" spans="1:6">
      <c r="A436" s="1">
        <v>9122602</v>
      </c>
      <c r="B436" s="1">
        <v>0.7109858000986351</v>
      </c>
      <c r="C436" s="1">
        <v>435</v>
      </c>
      <c r="D436" s="1">
        <v>534</v>
      </c>
      <c r="E436" s="2">
        <v>42758</v>
      </c>
      <c r="F436" s="6">
        <v>48.382338882919143</v>
      </c>
    </row>
    <row r="437" spans="1:6">
      <c r="A437" s="1">
        <v>9122605</v>
      </c>
      <c r="B437" s="1">
        <v>217.900250690055</v>
      </c>
      <c r="C437" s="1">
        <v>436</v>
      </c>
      <c r="D437" s="1">
        <v>143</v>
      </c>
      <c r="E437" s="2">
        <v>42848</v>
      </c>
      <c r="F437" s="6">
        <v>25.037474157538629</v>
      </c>
    </row>
    <row r="438" spans="1:6">
      <c r="A438" s="1">
        <v>9122608</v>
      </c>
      <c r="B438" s="1">
        <v>0.5728564637988518</v>
      </c>
      <c r="C438" s="1">
        <v>437</v>
      </c>
      <c r="D438" s="1">
        <v>1</v>
      </c>
      <c r="E438" s="2">
        <v>42740</v>
      </c>
      <c r="F438" s="6">
        <v>3.418065704171386</v>
      </c>
    </row>
    <row r="439" spans="1:6">
      <c r="A439" s="1">
        <v>9122611</v>
      </c>
      <c r="B439" s="1">
        <v>218.900250690055</v>
      </c>
      <c r="C439" s="1">
        <v>438</v>
      </c>
      <c r="D439" s="1">
        <v>265</v>
      </c>
      <c r="E439" s="2">
        <v>43347</v>
      </c>
      <c r="F439" s="6">
        <v>16.822505920819381</v>
      </c>
    </row>
    <row r="440" spans="1:6">
      <c r="A440" s="1">
        <v>9122614</v>
      </c>
      <c r="B440" s="1">
        <v>0.46542649954169157</v>
      </c>
      <c r="C440" s="1">
        <v>439</v>
      </c>
      <c r="D440" s="1">
        <v>217</v>
      </c>
      <c r="E440" s="2">
        <v>42873</v>
      </c>
      <c r="F440" s="6">
        <v>221.5645672628512</v>
      </c>
    </row>
    <row r="441" spans="1:6">
      <c r="A441" s="1">
        <v>9122617</v>
      </c>
      <c r="B441" s="1">
        <v>219.900250690055</v>
      </c>
      <c r="C441" s="1">
        <v>440</v>
      </c>
      <c r="D441" s="1">
        <v>110</v>
      </c>
      <c r="E441" s="2">
        <v>43121</v>
      </c>
      <c r="F441" s="6">
        <v>53.21918672373512</v>
      </c>
    </row>
    <row r="442" spans="1:6">
      <c r="A442" s="1">
        <v>9122620</v>
      </c>
      <c r="B442" s="1">
        <v>0.45851188762090278</v>
      </c>
      <c r="C442" s="1">
        <v>441</v>
      </c>
      <c r="D442" s="1">
        <v>122</v>
      </c>
      <c r="E442" s="2">
        <v>43092</v>
      </c>
      <c r="F442" s="6">
        <v>10.795908380847594</v>
      </c>
    </row>
    <row r="443" spans="1:6">
      <c r="A443" s="1">
        <v>9122623</v>
      </c>
      <c r="B443" s="1">
        <v>220.900250690055</v>
      </c>
      <c r="C443" s="1">
        <v>442</v>
      </c>
      <c r="D443" s="1">
        <v>73</v>
      </c>
      <c r="E443" s="2">
        <v>43452</v>
      </c>
      <c r="F443" s="6">
        <v>5.8454982630279435</v>
      </c>
    </row>
    <row r="444" spans="1:6">
      <c r="A444" s="1">
        <v>9122626</v>
      </c>
      <c r="B444" s="1">
        <v>0.2642387054839328</v>
      </c>
      <c r="C444" s="1">
        <v>443</v>
      </c>
      <c r="D444" s="1">
        <v>87</v>
      </c>
      <c r="E444" s="2">
        <v>43333</v>
      </c>
      <c r="F444" s="6">
        <v>46.657366472895752</v>
      </c>
    </row>
    <row r="445" spans="1:6">
      <c r="A445" s="1">
        <v>9122629</v>
      </c>
      <c r="B445" s="1">
        <v>221.900250690055</v>
      </c>
      <c r="C445" s="1">
        <v>444</v>
      </c>
      <c r="D445" s="1">
        <v>255</v>
      </c>
      <c r="E445" s="2">
        <v>43395</v>
      </c>
      <c r="F445" s="6">
        <v>206.23029714336244</v>
      </c>
    </row>
    <row r="446" spans="1:6">
      <c r="A446" s="1">
        <v>9122632</v>
      </c>
      <c r="B446" s="1">
        <v>0.79585571764659957</v>
      </c>
      <c r="C446" s="1">
        <v>445</v>
      </c>
      <c r="D446" s="1">
        <v>376</v>
      </c>
      <c r="E446" s="2">
        <v>43288</v>
      </c>
      <c r="F446" s="6">
        <v>15.564570543831701</v>
      </c>
    </row>
    <row r="447" spans="1:6">
      <c r="A447" s="1">
        <v>9122635</v>
      </c>
      <c r="B447" s="1">
        <v>222.900250690055</v>
      </c>
      <c r="C447" s="1">
        <v>446</v>
      </c>
      <c r="D447" s="1">
        <v>540</v>
      </c>
      <c r="E447" s="2">
        <v>42828</v>
      </c>
      <c r="F447" s="6">
        <v>48.264188931185977</v>
      </c>
    </row>
    <row r="448" spans="1:6">
      <c r="A448" s="1">
        <v>9122638</v>
      </c>
      <c r="B448" s="1">
        <v>0.99772099769466638</v>
      </c>
      <c r="C448" s="1">
        <v>447</v>
      </c>
      <c r="D448" s="1">
        <v>371</v>
      </c>
      <c r="E448" s="2">
        <v>42880</v>
      </c>
      <c r="F448" s="6">
        <v>161.59960513839331</v>
      </c>
    </row>
    <row r="449" spans="1:6">
      <c r="A449" s="1">
        <v>9122641</v>
      </c>
      <c r="B449" s="1">
        <v>223.900250690055</v>
      </c>
      <c r="C449" s="1">
        <v>448</v>
      </c>
      <c r="D449" s="1">
        <v>576</v>
      </c>
      <c r="E449" s="2">
        <v>42886</v>
      </c>
      <c r="F449" s="6">
        <v>227.8446207220517</v>
      </c>
    </row>
    <row r="450" spans="1:6">
      <c r="A450" s="1">
        <v>9122644</v>
      </c>
      <c r="B450" s="1">
        <v>0.18656540465883176</v>
      </c>
      <c r="C450" s="1">
        <v>449</v>
      </c>
      <c r="D450" s="1">
        <v>281</v>
      </c>
      <c r="E450" s="2">
        <v>43258</v>
      </c>
      <c r="F450" s="6">
        <v>3.2818880376251349</v>
      </c>
    </row>
    <row r="451" spans="1:6">
      <c r="A451" s="1">
        <v>9122647</v>
      </c>
      <c r="B451" s="1">
        <v>224.900250690055</v>
      </c>
      <c r="C451" s="1">
        <v>450</v>
      </c>
      <c r="D451" s="1">
        <v>477</v>
      </c>
      <c r="E451" s="2">
        <v>43089</v>
      </c>
      <c r="F451" s="6">
        <v>74.849224629679739</v>
      </c>
    </row>
    <row r="452" spans="1:6">
      <c r="A452" s="1">
        <v>9122650</v>
      </c>
      <c r="B452" s="1">
        <v>7.9819254832372177E-2</v>
      </c>
      <c r="C452" s="1">
        <v>451</v>
      </c>
      <c r="D452" s="1">
        <v>66</v>
      </c>
      <c r="E452" s="2">
        <v>43084</v>
      </c>
      <c r="F452" s="6">
        <v>16.226776424656052</v>
      </c>
    </row>
    <row r="453" spans="1:6">
      <c r="A453" s="1">
        <v>9122653</v>
      </c>
      <c r="B453" s="1">
        <v>225.900250690055</v>
      </c>
      <c r="C453" s="1">
        <v>452</v>
      </c>
      <c r="D453" s="1">
        <v>582</v>
      </c>
      <c r="E453" s="2">
        <v>43339</v>
      </c>
      <c r="F453" s="6">
        <v>3.2315503537463175</v>
      </c>
    </row>
    <row r="454" spans="1:6">
      <c r="A454" s="1">
        <v>9122656</v>
      </c>
      <c r="B454" s="1">
        <v>0.6804832016371174</v>
      </c>
      <c r="C454" s="1">
        <v>453</v>
      </c>
      <c r="D454" s="1">
        <v>583</v>
      </c>
      <c r="E454" s="2">
        <v>43474</v>
      </c>
      <c r="F454" s="6">
        <v>53.243738260322679</v>
      </c>
    </row>
    <row r="455" spans="1:6">
      <c r="A455" s="1">
        <v>9122659</v>
      </c>
      <c r="B455" s="1">
        <v>226.900250690055</v>
      </c>
      <c r="C455" s="1">
        <v>454</v>
      </c>
      <c r="D455" s="1">
        <v>166</v>
      </c>
      <c r="E455" s="2">
        <v>43405</v>
      </c>
      <c r="F455" s="6">
        <v>16.443230759884575</v>
      </c>
    </row>
    <row r="456" spans="1:6">
      <c r="A456" s="1">
        <v>9122662</v>
      </c>
      <c r="B456" s="1">
        <v>0.78551186770666959</v>
      </c>
      <c r="C456" s="1">
        <v>455</v>
      </c>
      <c r="D456" s="1">
        <v>295</v>
      </c>
      <c r="E456" s="2">
        <v>42903</v>
      </c>
      <c r="F456" s="6">
        <v>99.350928653257242</v>
      </c>
    </row>
    <row r="457" spans="1:6">
      <c r="A457" s="1">
        <v>9122665</v>
      </c>
      <c r="B457" s="1">
        <v>227.900250690055</v>
      </c>
      <c r="C457" s="1">
        <v>456</v>
      </c>
      <c r="D457" s="1">
        <v>23</v>
      </c>
      <c r="E457" s="2">
        <v>43104</v>
      </c>
      <c r="F457" s="6">
        <v>363.74224102335717</v>
      </c>
    </row>
    <row r="458" spans="1:6">
      <c r="A458" s="1">
        <v>9122668</v>
      </c>
      <c r="B458" s="1">
        <v>0.23044451202573679</v>
      </c>
      <c r="C458" s="1">
        <v>457</v>
      </c>
      <c r="D458" s="1">
        <v>82</v>
      </c>
      <c r="E458" s="2">
        <v>43447</v>
      </c>
      <c r="F458" s="6">
        <v>130.10036368549135</v>
      </c>
    </row>
    <row r="459" spans="1:6">
      <c r="A459" s="1">
        <v>9122671</v>
      </c>
      <c r="B459" s="1">
        <v>228.900250690055</v>
      </c>
      <c r="C459" s="1">
        <v>458</v>
      </c>
      <c r="D459" s="1">
        <v>419</v>
      </c>
      <c r="E459" s="2">
        <v>43360</v>
      </c>
      <c r="F459" s="6">
        <v>316.53552489711956</v>
      </c>
    </row>
    <row r="460" spans="1:6">
      <c r="A460" s="1">
        <v>9122674</v>
      </c>
      <c r="B460" s="1">
        <v>0.59057666652159335</v>
      </c>
      <c r="C460" s="1">
        <v>459</v>
      </c>
      <c r="D460" s="1">
        <v>565</v>
      </c>
      <c r="E460" s="2">
        <v>43308</v>
      </c>
      <c r="F460" s="6">
        <v>299.96761208303144</v>
      </c>
    </row>
    <row r="461" spans="1:6">
      <c r="A461" s="1">
        <v>9122677</v>
      </c>
      <c r="B461" s="1">
        <v>229.900250690055</v>
      </c>
      <c r="C461" s="1">
        <v>460</v>
      </c>
      <c r="D461" s="1">
        <v>528</v>
      </c>
      <c r="E461" s="2">
        <v>43286</v>
      </c>
      <c r="F461" s="6">
        <v>92.344095997438345</v>
      </c>
    </row>
    <row r="462" spans="1:6">
      <c r="A462" s="1">
        <v>9122680</v>
      </c>
      <c r="B462" s="1">
        <v>0.47065739745465396</v>
      </c>
      <c r="C462" s="1">
        <v>461</v>
      </c>
      <c r="D462" s="1">
        <v>567</v>
      </c>
      <c r="E462" s="2">
        <v>42751</v>
      </c>
      <c r="F462" s="6">
        <v>24.505764511914354</v>
      </c>
    </row>
    <row r="463" spans="1:6">
      <c r="A463" s="1">
        <v>9122683</v>
      </c>
      <c r="B463" s="1">
        <v>230.900250690055</v>
      </c>
      <c r="C463" s="1">
        <v>462</v>
      </c>
      <c r="D463" s="1">
        <v>595</v>
      </c>
      <c r="E463" s="2">
        <v>42994</v>
      </c>
      <c r="F463" s="6">
        <v>20.134571693070974</v>
      </c>
    </row>
    <row r="464" spans="1:6">
      <c r="A464" s="1">
        <v>9122686</v>
      </c>
      <c r="B464" s="1">
        <v>0.14305106234447029</v>
      </c>
      <c r="C464" s="1">
        <v>463</v>
      </c>
      <c r="D464" s="1">
        <v>566</v>
      </c>
      <c r="E464" s="2">
        <v>43326</v>
      </c>
      <c r="F464" s="6">
        <v>14.764554220259086</v>
      </c>
    </row>
    <row r="465" spans="1:6">
      <c r="A465" s="1">
        <v>9122689</v>
      </c>
      <c r="B465" s="1">
        <v>231.900250690055</v>
      </c>
      <c r="C465" s="1">
        <v>464</v>
      </c>
      <c r="D465" s="1">
        <v>351</v>
      </c>
      <c r="E465" s="2">
        <v>43082</v>
      </c>
      <c r="F465" s="6">
        <v>58.240922934376293</v>
      </c>
    </row>
    <row r="466" spans="1:6">
      <c r="A466" s="1">
        <v>9122692</v>
      </c>
      <c r="B466" s="1">
        <v>0.35199867475096291</v>
      </c>
      <c r="C466" s="1">
        <v>465</v>
      </c>
      <c r="D466" s="1">
        <v>308</v>
      </c>
      <c r="E466" s="2">
        <v>43266</v>
      </c>
      <c r="F466" s="6">
        <v>11.364572872871221</v>
      </c>
    </row>
    <row r="467" spans="1:6">
      <c r="A467" s="1">
        <v>9122695</v>
      </c>
      <c r="B467" s="1">
        <v>232.900250690055</v>
      </c>
      <c r="C467" s="1">
        <v>466</v>
      </c>
      <c r="D467" s="1">
        <v>311</v>
      </c>
      <c r="E467" s="2">
        <v>43132</v>
      </c>
      <c r="F467" s="6">
        <v>7.7091162295007205</v>
      </c>
    </row>
    <row r="468" spans="1:6">
      <c r="A468" s="1">
        <v>9122698</v>
      </c>
      <c r="B468" s="1">
        <v>0.19759177871562983</v>
      </c>
      <c r="C468" s="1">
        <v>467</v>
      </c>
      <c r="D468" s="1">
        <v>237</v>
      </c>
      <c r="E468" s="2">
        <v>43191</v>
      </c>
      <c r="F468" s="6">
        <v>3.1946221559858454</v>
      </c>
    </row>
    <row r="469" spans="1:6">
      <c r="A469" s="1">
        <v>9122701</v>
      </c>
      <c r="B469" s="1">
        <v>233.900250690055</v>
      </c>
      <c r="C469" s="1">
        <v>468</v>
      </c>
      <c r="D469" s="1">
        <v>85</v>
      </c>
      <c r="E469" s="2">
        <v>42755</v>
      </c>
      <c r="F469" s="6">
        <v>30.898166094570943</v>
      </c>
    </row>
    <row r="470" spans="1:6">
      <c r="A470" s="1">
        <v>9122704</v>
      </c>
      <c r="B470" s="1">
        <v>0.89371373662831033</v>
      </c>
      <c r="C470" s="1">
        <v>469</v>
      </c>
      <c r="D470" s="1">
        <v>569</v>
      </c>
      <c r="E470" s="2">
        <v>43245</v>
      </c>
      <c r="F470" s="6">
        <v>120.98349117320728</v>
      </c>
    </row>
    <row r="471" spans="1:6">
      <c r="A471" s="1">
        <v>9122707</v>
      </c>
      <c r="B471" s="1">
        <v>234.900250690055</v>
      </c>
      <c r="C471" s="1">
        <v>470</v>
      </c>
      <c r="D471" s="1">
        <v>362</v>
      </c>
      <c r="E471" s="2">
        <v>43423</v>
      </c>
      <c r="F471" s="6">
        <v>87.481620216059213</v>
      </c>
    </row>
    <row r="472" spans="1:6">
      <c r="A472" s="1">
        <v>9122710</v>
      </c>
      <c r="B472" s="1">
        <v>0.2350501666342073</v>
      </c>
      <c r="C472" s="1">
        <v>471</v>
      </c>
      <c r="D472" s="1">
        <v>174</v>
      </c>
      <c r="E472" s="2">
        <v>42755</v>
      </c>
      <c r="F472" s="6">
        <v>40.246464997969007</v>
      </c>
    </row>
    <row r="473" spans="1:6">
      <c r="A473" s="1">
        <v>9122713</v>
      </c>
      <c r="B473" s="1">
        <v>235.900250690055</v>
      </c>
      <c r="C473" s="1">
        <v>472</v>
      </c>
      <c r="D473" s="1">
        <v>131</v>
      </c>
      <c r="E473" s="2">
        <v>42846</v>
      </c>
      <c r="F473" s="6">
        <v>19.908327976627923</v>
      </c>
    </row>
    <row r="474" spans="1:6">
      <c r="A474" s="1">
        <v>9122716</v>
      </c>
      <c r="B474" s="1">
        <v>0.18996610624082499</v>
      </c>
      <c r="C474" s="1">
        <v>473</v>
      </c>
      <c r="D474" s="1">
        <v>387</v>
      </c>
      <c r="E474" s="2">
        <v>43008</v>
      </c>
      <c r="F474" s="6">
        <v>5.2560997556729872</v>
      </c>
    </row>
    <row r="475" spans="1:6">
      <c r="A475" s="1">
        <v>9122719</v>
      </c>
      <c r="B475" s="1">
        <v>236.900250690055</v>
      </c>
      <c r="C475" s="1">
        <v>474</v>
      </c>
      <c r="D475" s="1">
        <v>277</v>
      </c>
      <c r="E475" s="2">
        <v>43134</v>
      </c>
      <c r="F475" s="6">
        <v>13.804946910571251</v>
      </c>
    </row>
    <row r="476" spans="1:6">
      <c r="A476" s="1">
        <v>9122722</v>
      </c>
      <c r="B476" s="1">
        <v>0.23969085016326064</v>
      </c>
      <c r="C476" s="1">
        <v>475</v>
      </c>
      <c r="D476" s="1">
        <v>310</v>
      </c>
      <c r="E476" s="2">
        <v>42789</v>
      </c>
      <c r="F476" s="6">
        <v>7.6682179755953319</v>
      </c>
    </row>
    <row r="477" spans="1:6">
      <c r="A477" s="1">
        <v>9122725</v>
      </c>
      <c r="B477" s="1">
        <v>237.900250690055</v>
      </c>
      <c r="C477" s="1">
        <v>476</v>
      </c>
      <c r="D477" s="1">
        <v>57</v>
      </c>
      <c r="E477" s="2">
        <v>43008</v>
      </c>
      <c r="F477" s="6">
        <v>57.610668489933666</v>
      </c>
    </row>
    <row r="478" spans="1:6">
      <c r="A478" s="1">
        <v>9122728</v>
      </c>
      <c r="B478" s="1">
        <v>0.28719718471692068</v>
      </c>
      <c r="C478" s="1">
        <v>477</v>
      </c>
      <c r="D478" s="1">
        <v>136</v>
      </c>
      <c r="E478" s="2">
        <v>43444</v>
      </c>
      <c r="F478" s="6">
        <v>27.827334042191232</v>
      </c>
    </row>
    <row r="479" spans="1:6">
      <c r="A479" s="1">
        <v>9122731</v>
      </c>
      <c r="B479" s="1">
        <v>238.900250690055</v>
      </c>
      <c r="C479" s="1">
        <v>478</v>
      </c>
      <c r="D479" s="1">
        <v>223</v>
      </c>
      <c r="E479" s="2">
        <v>43092</v>
      </c>
      <c r="F479" s="6">
        <v>4.8109207497691759</v>
      </c>
    </row>
    <row r="480" spans="1:6">
      <c r="A480" s="1">
        <v>9122734</v>
      </c>
      <c r="B480" s="1">
        <v>2.8934309826948001E-2</v>
      </c>
      <c r="C480" s="1">
        <v>479</v>
      </c>
      <c r="D480" s="1">
        <v>571</v>
      </c>
      <c r="E480" s="2">
        <v>42780</v>
      </c>
      <c r="F480" s="6">
        <v>142.15063205725124</v>
      </c>
    </row>
    <row r="481" spans="1:6">
      <c r="A481" s="1">
        <v>9122737</v>
      </c>
      <c r="B481" s="1">
        <v>239.900250690055</v>
      </c>
      <c r="C481" s="1">
        <v>480</v>
      </c>
      <c r="D481" s="1">
        <v>464</v>
      </c>
      <c r="E481" s="2">
        <v>43003</v>
      </c>
      <c r="F481" s="6">
        <v>60.338732024987294</v>
      </c>
    </row>
    <row r="482" spans="1:6">
      <c r="A482" s="1">
        <v>9122740</v>
      </c>
      <c r="B482" s="1">
        <v>0.19170321657884448</v>
      </c>
      <c r="C482" s="1">
        <v>481</v>
      </c>
      <c r="D482" s="1">
        <v>96</v>
      </c>
      <c r="E482" s="2">
        <v>43390</v>
      </c>
      <c r="F482" s="6">
        <v>203.46201373487395</v>
      </c>
    </row>
    <row r="483" spans="1:6">
      <c r="A483" s="1">
        <v>9122743</v>
      </c>
      <c r="B483" s="1">
        <v>240.900250690055</v>
      </c>
      <c r="C483" s="1">
        <v>482</v>
      </c>
      <c r="D483" s="1">
        <v>396</v>
      </c>
      <c r="E483" s="2">
        <v>42987</v>
      </c>
      <c r="F483" s="6">
        <v>5.2035330688649726</v>
      </c>
    </row>
    <row r="484" spans="1:6">
      <c r="A484" s="1">
        <v>9122746</v>
      </c>
      <c r="B484" s="1">
        <v>0.6210343337742692</v>
      </c>
      <c r="C484" s="1">
        <v>483</v>
      </c>
      <c r="D484" s="1">
        <v>497</v>
      </c>
      <c r="E484" s="2">
        <v>43199</v>
      </c>
      <c r="F484" s="6">
        <v>17.727893534260716</v>
      </c>
    </row>
    <row r="485" spans="1:6">
      <c r="A485" s="1">
        <v>9122749</v>
      </c>
      <c r="B485" s="1">
        <v>241.900250690055</v>
      </c>
      <c r="C485" s="1">
        <v>484</v>
      </c>
      <c r="D485" s="1">
        <v>297</v>
      </c>
      <c r="E485" s="2">
        <v>42979</v>
      </c>
      <c r="F485" s="6">
        <v>8.029257665344911</v>
      </c>
    </row>
    <row r="486" spans="1:6">
      <c r="A486" s="1">
        <v>9122752</v>
      </c>
      <c r="B486" s="1">
        <v>0.11009177292758565</v>
      </c>
      <c r="C486" s="1">
        <v>485</v>
      </c>
      <c r="D486" s="1">
        <v>469</v>
      </c>
      <c r="E486" s="2">
        <v>42974</v>
      </c>
      <c r="F486" s="6">
        <v>15.356238872788367</v>
      </c>
    </row>
    <row r="487" spans="1:6">
      <c r="A487" s="1">
        <v>9122755</v>
      </c>
      <c r="B487" s="1">
        <v>242.900250690055</v>
      </c>
      <c r="C487" s="1">
        <v>486</v>
      </c>
      <c r="D487" s="1">
        <v>549</v>
      </c>
      <c r="E487" s="2">
        <v>43112</v>
      </c>
      <c r="F487" s="6">
        <v>10.440999923485954</v>
      </c>
    </row>
    <row r="488" spans="1:6">
      <c r="A488" s="1">
        <v>9122758</v>
      </c>
      <c r="B488" s="1">
        <v>0.85146323465502272</v>
      </c>
      <c r="C488" s="1">
        <v>487</v>
      </c>
      <c r="D488" s="1">
        <v>539</v>
      </c>
      <c r="E488" s="2">
        <v>42747</v>
      </c>
      <c r="F488" s="6">
        <v>18.59414098721598</v>
      </c>
    </row>
    <row r="489" spans="1:6">
      <c r="A489" s="1">
        <v>9122761</v>
      </c>
      <c r="B489" s="1">
        <v>243.900250690055</v>
      </c>
      <c r="C489" s="1">
        <v>488</v>
      </c>
      <c r="D489" s="1">
        <v>15</v>
      </c>
      <c r="E489" s="2">
        <v>43274</v>
      </c>
      <c r="F489" s="6">
        <v>84.538476134761282</v>
      </c>
    </row>
    <row r="490" spans="1:6">
      <c r="A490" s="1">
        <v>9122764</v>
      </c>
      <c r="B490" s="1">
        <v>0.88012664958399189</v>
      </c>
      <c r="C490" s="1">
        <v>489</v>
      </c>
      <c r="D490" s="1">
        <v>142</v>
      </c>
      <c r="E490" s="2">
        <v>42950</v>
      </c>
      <c r="F490" s="6">
        <v>217.41648673672685</v>
      </c>
    </row>
    <row r="491" spans="1:6">
      <c r="A491" s="1">
        <v>9122767</v>
      </c>
      <c r="B491" s="1">
        <v>244.900250690055</v>
      </c>
      <c r="C491" s="1">
        <v>490</v>
      </c>
      <c r="D491" s="1">
        <v>161</v>
      </c>
      <c r="E491" s="2">
        <v>43363</v>
      </c>
      <c r="F491" s="6">
        <v>44.928401110031501</v>
      </c>
    </row>
    <row r="492" spans="1:6">
      <c r="A492" s="1">
        <v>9122770</v>
      </c>
      <c r="B492" s="1">
        <v>0.7583498979347747</v>
      </c>
      <c r="C492" s="1">
        <v>491</v>
      </c>
      <c r="D492" s="1">
        <v>325</v>
      </c>
      <c r="E492" s="2">
        <v>42742</v>
      </c>
      <c r="F492" s="6">
        <v>4.7676506052943033</v>
      </c>
    </row>
    <row r="493" spans="1:6">
      <c r="A493" s="1">
        <v>9122773</v>
      </c>
      <c r="B493" s="1">
        <v>245.900250690055</v>
      </c>
      <c r="C493" s="1">
        <v>492</v>
      </c>
      <c r="D493" s="1">
        <v>52</v>
      </c>
      <c r="E493" s="2">
        <v>43041</v>
      </c>
      <c r="F493" s="6">
        <v>29.616766741902332</v>
      </c>
    </row>
    <row r="494" spans="1:6">
      <c r="A494" s="1">
        <v>9122776</v>
      </c>
      <c r="B494" s="1">
        <v>0.39596399987949249</v>
      </c>
      <c r="C494" s="1">
        <v>493</v>
      </c>
      <c r="D494" s="1">
        <v>291</v>
      </c>
      <c r="E494" s="2">
        <v>43269</v>
      </c>
      <c r="F494" s="6">
        <v>50.709709195439096</v>
      </c>
    </row>
    <row r="495" spans="1:6">
      <c r="A495" s="1">
        <v>9122779</v>
      </c>
      <c r="B495" s="1">
        <v>246.900250690055</v>
      </c>
      <c r="C495" s="1">
        <v>494</v>
      </c>
      <c r="D495" s="1">
        <v>279</v>
      </c>
      <c r="E495" s="2">
        <v>42988</v>
      </c>
      <c r="F495" s="6">
        <v>39.616696801050644</v>
      </c>
    </row>
    <row r="496" spans="1:6">
      <c r="A496" s="1">
        <v>9122782</v>
      </c>
      <c r="B496" s="1">
        <v>4.3181860570875696E-2</v>
      </c>
      <c r="C496" s="1">
        <v>495</v>
      </c>
      <c r="D496" s="1">
        <v>384</v>
      </c>
      <c r="E496" s="2">
        <v>42964</v>
      </c>
      <c r="F496" s="6">
        <v>25.590417841425364</v>
      </c>
    </row>
    <row r="497" spans="1:6">
      <c r="A497" s="1">
        <v>9122785</v>
      </c>
      <c r="B497" s="1">
        <v>247.900250690055</v>
      </c>
      <c r="C497" s="1">
        <v>496</v>
      </c>
      <c r="D497" s="1">
        <v>446</v>
      </c>
      <c r="E497" s="2">
        <v>43460</v>
      </c>
      <c r="F497" s="6">
        <v>101.07526308357774</v>
      </c>
    </row>
    <row r="498" spans="1:6">
      <c r="A498" s="1">
        <v>9122788</v>
      </c>
      <c r="B498" s="1">
        <v>0.22044519935833939</v>
      </c>
      <c r="C498" s="1">
        <v>497</v>
      </c>
      <c r="D498" s="1">
        <v>191</v>
      </c>
      <c r="E498" s="2">
        <v>43251</v>
      </c>
      <c r="F498" s="6">
        <v>10.352634155087332</v>
      </c>
    </row>
    <row r="499" spans="1:6">
      <c r="A499" s="1">
        <v>9122791</v>
      </c>
      <c r="B499" s="1">
        <v>248.900250690055</v>
      </c>
      <c r="C499" s="1">
        <v>498</v>
      </c>
      <c r="D499" s="1">
        <v>305</v>
      </c>
      <c r="E499" s="2">
        <v>43214</v>
      </c>
      <c r="F499" s="6">
        <v>4.1041879944094912</v>
      </c>
    </row>
    <row r="500" spans="1:6">
      <c r="A500" s="1">
        <v>9122794</v>
      </c>
      <c r="B500" s="1">
        <v>0.32164332366073067</v>
      </c>
      <c r="C500" s="1">
        <v>499</v>
      </c>
      <c r="D500" s="1">
        <v>99</v>
      </c>
      <c r="E500" s="2">
        <v>43121</v>
      </c>
      <c r="F500" s="6">
        <v>4.9197910166710148</v>
      </c>
    </row>
    <row r="501" spans="1:6">
      <c r="A501" s="1">
        <v>9122797</v>
      </c>
      <c r="B501" s="1">
        <v>249.900250690055</v>
      </c>
      <c r="C501" s="1">
        <v>500</v>
      </c>
      <c r="D501" s="1">
        <v>60</v>
      </c>
      <c r="E501" s="2">
        <v>42870</v>
      </c>
      <c r="F501" s="6">
        <v>25.290610618910129</v>
      </c>
    </row>
    <row r="502" spans="1:6">
      <c r="A502" s="1">
        <v>9122800</v>
      </c>
      <c r="B502" s="1">
        <v>2.1218180597459835E-3</v>
      </c>
      <c r="C502" s="1">
        <v>501</v>
      </c>
      <c r="D502" s="1">
        <v>538</v>
      </c>
      <c r="E502" s="2">
        <v>43164</v>
      </c>
      <c r="F502" s="6">
        <v>51.190041582340641</v>
      </c>
    </row>
    <row r="503" spans="1:6">
      <c r="A503" s="1">
        <v>9122803</v>
      </c>
      <c r="B503" s="1">
        <v>250.900250690055</v>
      </c>
      <c r="C503" s="1">
        <v>502</v>
      </c>
      <c r="D503" s="1">
        <v>304</v>
      </c>
      <c r="E503" s="2">
        <v>43365</v>
      </c>
      <c r="F503" s="6">
        <v>181.58315487032786</v>
      </c>
    </row>
    <row r="504" spans="1:6">
      <c r="A504" s="1">
        <v>9122806</v>
      </c>
      <c r="B504" s="1">
        <v>0.31918726380736151</v>
      </c>
      <c r="C504" s="1">
        <v>503</v>
      </c>
      <c r="D504" s="1">
        <v>183</v>
      </c>
      <c r="E504" s="2">
        <v>43493</v>
      </c>
      <c r="F504" s="6">
        <v>58.926676550999296</v>
      </c>
    </row>
    <row r="505" spans="1:6">
      <c r="A505" s="1">
        <v>9122809</v>
      </c>
      <c r="B505" s="1">
        <v>251.900250690055</v>
      </c>
      <c r="C505" s="1">
        <v>504</v>
      </c>
      <c r="D505" s="1">
        <v>508</v>
      </c>
      <c r="E505" s="2">
        <v>42878</v>
      </c>
      <c r="F505" s="6">
        <v>25.033179684174339</v>
      </c>
    </row>
    <row r="506" spans="1:6">
      <c r="A506" s="1">
        <v>9122812</v>
      </c>
      <c r="B506" s="1">
        <v>0.18323938628658409</v>
      </c>
      <c r="C506" s="1">
        <v>505</v>
      </c>
      <c r="D506" s="1">
        <v>59</v>
      </c>
      <c r="E506" s="2">
        <v>43488</v>
      </c>
      <c r="F506" s="6">
        <v>163.06379281391747</v>
      </c>
    </row>
    <row r="507" spans="1:6">
      <c r="A507" s="1">
        <v>9122815</v>
      </c>
      <c r="B507" s="1">
        <v>252.900250690055</v>
      </c>
      <c r="C507" s="1">
        <v>506</v>
      </c>
      <c r="D507" s="1">
        <v>224</v>
      </c>
      <c r="E507" s="2">
        <v>42806</v>
      </c>
      <c r="F507" s="6">
        <v>68.434713752832479</v>
      </c>
    </row>
    <row r="508" spans="1:6">
      <c r="A508" s="1">
        <v>9122818</v>
      </c>
      <c r="B508" s="1">
        <v>0.47999801646611084</v>
      </c>
      <c r="C508" s="1">
        <v>507</v>
      </c>
      <c r="D508" s="1">
        <v>209</v>
      </c>
      <c r="E508" s="2">
        <v>43228</v>
      </c>
      <c r="F508" s="6">
        <v>19.510248037083407</v>
      </c>
    </row>
    <row r="509" spans="1:6">
      <c r="A509" s="1">
        <v>9122821</v>
      </c>
      <c r="B509" s="1">
        <v>253.900250690055</v>
      </c>
      <c r="C509" s="1">
        <v>508</v>
      </c>
      <c r="D509" s="1">
        <v>193</v>
      </c>
      <c r="E509" s="2">
        <v>43426</v>
      </c>
      <c r="F509" s="6">
        <v>196.56197882682517</v>
      </c>
    </row>
    <row r="510" spans="1:6">
      <c r="A510" s="1">
        <v>9122824</v>
      </c>
      <c r="B510" s="1">
        <v>0.7109474208561678</v>
      </c>
      <c r="C510" s="1">
        <v>509</v>
      </c>
      <c r="D510" s="1">
        <v>25</v>
      </c>
      <c r="E510" s="2">
        <v>43096</v>
      </c>
      <c r="F510" s="6">
        <v>84.823303035777883</v>
      </c>
    </row>
    <row r="511" spans="1:6">
      <c r="A511" s="1">
        <v>9122827</v>
      </c>
      <c r="B511" s="1">
        <v>254.900250690055</v>
      </c>
      <c r="C511" s="1">
        <v>510</v>
      </c>
      <c r="D511" s="1">
        <v>118</v>
      </c>
      <c r="E511" s="2">
        <v>42812</v>
      </c>
      <c r="F511" s="6">
        <v>81.164042959389434</v>
      </c>
    </row>
    <row r="512" spans="1:6">
      <c r="A512" s="1">
        <v>9122830</v>
      </c>
      <c r="B512" s="1">
        <v>0.47353332603053844</v>
      </c>
      <c r="C512" s="1">
        <v>511</v>
      </c>
      <c r="D512" s="1">
        <v>587</v>
      </c>
      <c r="E512" s="2">
        <v>43220</v>
      </c>
      <c r="F512" s="6">
        <v>55.521673702206343</v>
      </c>
    </row>
    <row r="513" spans="1:6">
      <c r="A513" s="1">
        <v>9122833</v>
      </c>
      <c r="B513" s="1">
        <v>255.900250690055</v>
      </c>
      <c r="C513" s="1">
        <v>512</v>
      </c>
      <c r="D513" s="1">
        <v>292</v>
      </c>
      <c r="E513" s="2">
        <v>43048</v>
      </c>
      <c r="F513" s="6">
        <v>26.127609483307975</v>
      </c>
    </row>
    <row r="514" spans="1:6">
      <c r="A514" s="1">
        <v>9122836</v>
      </c>
      <c r="B514" s="1">
        <v>0.93343886151302524</v>
      </c>
      <c r="C514" s="1">
        <v>513</v>
      </c>
      <c r="D514" s="1">
        <v>507</v>
      </c>
      <c r="E514" s="2">
        <v>43191</v>
      </c>
      <c r="F514" s="6">
        <v>115.86251619715237</v>
      </c>
    </row>
    <row r="515" spans="1:6">
      <c r="A515" s="1">
        <v>9122839</v>
      </c>
      <c r="B515" s="1">
        <v>256.90025069005497</v>
      </c>
      <c r="C515" s="1">
        <v>514</v>
      </c>
      <c r="D515" s="1">
        <v>10</v>
      </c>
      <c r="E515" s="2">
        <v>43474</v>
      </c>
      <c r="F515" s="6">
        <v>139.18378523406457</v>
      </c>
    </row>
    <row r="516" spans="1:6">
      <c r="A516" s="1">
        <v>9122842</v>
      </c>
      <c r="B516" s="1">
        <v>0.64783077716128723</v>
      </c>
      <c r="C516" s="1">
        <v>515</v>
      </c>
      <c r="D516" s="1">
        <v>249</v>
      </c>
      <c r="E516" s="2">
        <v>43171</v>
      </c>
      <c r="F516" s="6">
        <v>41.060941936467778</v>
      </c>
    </row>
    <row r="517" spans="1:6">
      <c r="A517" s="1">
        <v>9122845</v>
      </c>
      <c r="B517" s="1">
        <v>257.90025069005497</v>
      </c>
      <c r="C517" s="1">
        <v>516</v>
      </c>
      <c r="D517" s="1">
        <v>81</v>
      </c>
      <c r="E517" s="2">
        <v>42894</v>
      </c>
      <c r="F517" s="6">
        <v>11.137737296222641</v>
      </c>
    </row>
    <row r="518" spans="1:6">
      <c r="A518" s="1">
        <v>9122848</v>
      </c>
      <c r="B518" s="1">
        <v>0.33176360972346941</v>
      </c>
      <c r="C518" s="1">
        <v>517</v>
      </c>
      <c r="D518" s="1">
        <v>55</v>
      </c>
      <c r="E518" s="2">
        <v>42895</v>
      </c>
      <c r="F518" s="6">
        <v>29.641485155064164</v>
      </c>
    </row>
    <row r="519" spans="1:6">
      <c r="A519" s="1">
        <v>9122851</v>
      </c>
      <c r="B519" s="1">
        <v>258.90025069005497</v>
      </c>
      <c r="C519" s="1">
        <v>518</v>
      </c>
      <c r="D519" s="1">
        <v>496</v>
      </c>
      <c r="E519" s="2">
        <v>43193</v>
      </c>
      <c r="F519" s="6">
        <v>23.848491303344392</v>
      </c>
    </row>
    <row r="520" spans="1:6">
      <c r="A520" s="1">
        <v>9122854</v>
      </c>
      <c r="B520" s="1">
        <v>0.19936806078402647</v>
      </c>
      <c r="C520" s="1">
        <v>519</v>
      </c>
      <c r="D520" s="1">
        <v>171</v>
      </c>
      <c r="E520" s="2">
        <v>43359</v>
      </c>
      <c r="F520" s="6">
        <v>183.89316167612611</v>
      </c>
    </row>
    <row r="521" spans="1:6">
      <c r="A521" s="1">
        <v>9122857</v>
      </c>
      <c r="B521" s="1">
        <v>259.90025069005497</v>
      </c>
      <c r="C521" s="1">
        <v>520</v>
      </c>
      <c r="D521" s="1">
        <v>441</v>
      </c>
      <c r="E521" s="2">
        <v>42810</v>
      </c>
      <c r="F521" s="6">
        <v>233.13218515178414</v>
      </c>
    </row>
    <row r="522" spans="1:6">
      <c r="A522" s="1">
        <v>9122860</v>
      </c>
      <c r="B522" s="1">
        <v>0.29739384664771584</v>
      </c>
      <c r="C522" s="1">
        <v>521</v>
      </c>
      <c r="D522" s="1">
        <v>206</v>
      </c>
      <c r="E522" s="2">
        <v>43096</v>
      </c>
      <c r="F522" s="6">
        <v>44.608380408854366</v>
      </c>
    </row>
    <row r="523" spans="1:6">
      <c r="A523" s="1">
        <v>9122863</v>
      </c>
      <c r="B523" s="1">
        <v>260.90025069005497</v>
      </c>
      <c r="C523" s="1">
        <v>522</v>
      </c>
      <c r="D523" s="1">
        <v>294</v>
      </c>
      <c r="E523" s="2">
        <v>43440</v>
      </c>
      <c r="F523" s="6">
        <v>4.7024209382455524</v>
      </c>
    </row>
    <row r="524" spans="1:6">
      <c r="A524" s="1">
        <v>9122866</v>
      </c>
      <c r="B524" s="1">
        <v>0.43225383172686083</v>
      </c>
      <c r="C524" s="1">
        <v>523</v>
      </c>
      <c r="D524" s="1">
        <v>196</v>
      </c>
      <c r="E524" s="2">
        <v>43039</v>
      </c>
      <c r="F524" s="6">
        <v>68.342159782515722</v>
      </c>
    </row>
    <row r="525" spans="1:6">
      <c r="A525" s="1">
        <v>9122869</v>
      </c>
      <c r="B525" s="1">
        <v>261.90025069005497</v>
      </c>
      <c r="C525" s="1">
        <v>524</v>
      </c>
      <c r="D525" s="1">
        <v>423</v>
      </c>
      <c r="E525" s="2">
        <v>43305</v>
      </c>
      <c r="F525" s="6">
        <v>54.000897555064086</v>
      </c>
    </row>
    <row r="526" spans="1:6">
      <c r="A526" s="1">
        <v>9122872</v>
      </c>
      <c r="B526" s="1">
        <v>0.44975370207241361</v>
      </c>
      <c r="C526" s="1">
        <v>525</v>
      </c>
      <c r="D526" s="1">
        <v>378</v>
      </c>
      <c r="E526" s="2">
        <v>42785</v>
      </c>
      <c r="F526" s="6">
        <v>129.67575591361691</v>
      </c>
    </row>
    <row r="527" spans="1:6">
      <c r="A527" s="1">
        <v>9122875</v>
      </c>
      <c r="B527" s="1">
        <v>262.90025069005497</v>
      </c>
      <c r="C527" s="1">
        <v>526</v>
      </c>
      <c r="D527" s="1">
        <v>194</v>
      </c>
      <c r="E527" s="2">
        <v>43001</v>
      </c>
      <c r="F527" s="6">
        <v>344.26979566645883</v>
      </c>
    </row>
    <row r="528" spans="1:6">
      <c r="A528" s="1">
        <v>9122878</v>
      </c>
      <c r="B528" s="1">
        <v>0.40920586604286147</v>
      </c>
      <c r="C528" s="1">
        <v>527</v>
      </c>
      <c r="D528" s="1">
        <v>465</v>
      </c>
      <c r="E528" s="2">
        <v>42961</v>
      </c>
      <c r="F528" s="6">
        <v>48.294123224910827</v>
      </c>
    </row>
    <row r="529" spans="1:6">
      <c r="A529" s="1">
        <v>9122881</v>
      </c>
      <c r="B529" s="1">
        <v>263.90025069005497</v>
      </c>
      <c r="C529" s="1">
        <v>528</v>
      </c>
      <c r="D529" s="1">
        <v>400</v>
      </c>
      <c r="E529" s="2">
        <v>43138</v>
      </c>
      <c r="F529" s="6">
        <v>72.358731604612416</v>
      </c>
    </row>
    <row r="530" spans="1:6">
      <c r="A530" s="1">
        <v>9122884</v>
      </c>
      <c r="B530" s="1">
        <v>0.62069814421271641</v>
      </c>
      <c r="C530" s="1">
        <v>529</v>
      </c>
      <c r="D530" s="1">
        <v>454</v>
      </c>
      <c r="E530" s="2">
        <v>43171</v>
      </c>
      <c r="F530" s="6">
        <v>29.584372289390721</v>
      </c>
    </row>
    <row r="531" spans="1:6">
      <c r="A531" s="1">
        <v>9122887</v>
      </c>
      <c r="B531" s="1">
        <v>264.90025069005497</v>
      </c>
      <c r="C531" s="1">
        <v>530</v>
      </c>
      <c r="D531" s="1">
        <v>62</v>
      </c>
      <c r="E531" s="2">
        <v>43015</v>
      </c>
      <c r="F531" s="6">
        <v>32.005977540240053</v>
      </c>
    </row>
    <row r="532" spans="1:6">
      <c r="A532" s="1">
        <v>9122890</v>
      </c>
      <c r="B532" s="1">
        <v>0.81613599338963772</v>
      </c>
      <c r="C532" s="1">
        <v>531</v>
      </c>
      <c r="D532" s="1">
        <v>349</v>
      </c>
      <c r="E532" s="2">
        <v>43186</v>
      </c>
      <c r="F532" s="6">
        <v>89.048106503322927</v>
      </c>
    </row>
    <row r="533" spans="1:6">
      <c r="A533" s="1">
        <v>9122893</v>
      </c>
      <c r="B533" s="1">
        <v>265.90025069005497</v>
      </c>
      <c r="C533" s="1">
        <v>532</v>
      </c>
      <c r="D533" s="1">
        <v>2</v>
      </c>
      <c r="E533" s="2">
        <v>42834</v>
      </c>
      <c r="F533" s="6">
        <v>6.4796154367340355</v>
      </c>
    </row>
    <row r="534" spans="1:6">
      <c r="A534" s="1">
        <v>9122896</v>
      </c>
      <c r="B534" s="1">
        <v>0.34309595065294041</v>
      </c>
      <c r="C534" s="1">
        <v>533</v>
      </c>
      <c r="D534" s="1">
        <v>20</v>
      </c>
      <c r="E534" s="2">
        <v>43016</v>
      </c>
      <c r="F534" s="6">
        <v>19.056895940475773</v>
      </c>
    </row>
    <row r="535" spans="1:6">
      <c r="A535" s="1">
        <v>9122899</v>
      </c>
      <c r="B535" s="1">
        <v>266.90025069005497</v>
      </c>
      <c r="C535" s="1">
        <v>534</v>
      </c>
      <c r="D535" s="1">
        <v>436</v>
      </c>
      <c r="E535" s="2">
        <v>43129</v>
      </c>
      <c r="F535" s="6">
        <v>87.556699154958253</v>
      </c>
    </row>
    <row r="536" spans="1:6">
      <c r="A536" s="1">
        <v>9122902</v>
      </c>
      <c r="B536" s="1">
        <v>0.12499539962474959</v>
      </c>
      <c r="C536" s="1">
        <v>535</v>
      </c>
      <c r="D536" s="1">
        <v>165</v>
      </c>
      <c r="E536" s="2">
        <v>42790</v>
      </c>
      <c r="F536" s="6">
        <v>21.219439712376065</v>
      </c>
    </row>
    <row r="537" spans="1:6">
      <c r="A537" s="1">
        <v>9122905</v>
      </c>
      <c r="B537" s="1">
        <v>267.90025069005497</v>
      </c>
      <c r="C537" s="1">
        <v>536</v>
      </c>
      <c r="D537" s="1">
        <v>392</v>
      </c>
      <c r="E537" s="2">
        <v>43409</v>
      </c>
      <c r="F537" s="6">
        <v>64.654692816921411</v>
      </c>
    </row>
    <row r="538" spans="1:6">
      <c r="A538" s="1">
        <v>9122908</v>
      </c>
      <c r="B538" s="1">
        <v>0.51169580728792674</v>
      </c>
      <c r="C538" s="1">
        <v>537</v>
      </c>
      <c r="D538" s="1">
        <v>250</v>
      </c>
      <c r="E538" s="2">
        <v>43272</v>
      </c>
      <c r="F538" s="6">
        <v>24.693593217032195</v>
      </c>
    </row>
    <row r="539" spans="1:6">
      <c r="A539" s="1">
        <v>9122911</v>
      </c>
      <c r="B539" s="1">
        <v>268.90025069005497</v>
      </c>
      <c r="C539" s="1">
        <v>538</v>
      </c>
      <c r="D539" s="1">
        <v>74</v>
      </c>
      <c r="E539" s="2">
        <v>42960</v>
      </c>
      <c r="F539" s="6">
        <v>66.251398094713963</v>
      </c>
    </row>
    <row r="540" spans="1:6">
      <c r="A540" s="1">
        <v>9122914</v>
      </c>
      <c r="B540" s="1">
        <v>1.2389312378664363E-2</v>
      </c>
      <c r="C540" s="1">
        <v>539</v>
      </c>
      <c r="D540" s="1">
        <v>501</v>
      </c>
      <c r="E540" s="2">
        <v>43111</v>
      </c>
      <c r="F540" s="6">
        <v>10.111374913895318</v>
      </c>
    </row>
    <row r="541" spans="1:6">
      <c r="A541" s="1">
        <v>9122917</v>
      </c>
      <c r="B541" s="1">
        <v>269.90025069005497</v>
      </c>
      <c r="C541" s="1">
        <v>540</v>
      </c>
      <c r="D541" s="1">
        <v>339</v>
      </c>
      <c r="E541" s="2">
        <v>43052</v>
      </c>
      <c r="F541" s="6">
        <v>231.18181518048948</v>
      </c>
    </row>
    <row r="542" spans="1:6">
      <c r="A542" s="1">
        <v>9122920</v>
      </c>
      <c r="B542" s="1">
        <v>0.67314109554981616</v>
      </c>
      <c r="C542" s="1">
        <v>541</v>
      </c>
      <c r="D542" s="1">
        <v>470</v>
      </c>
      <c r="E542" s="2">
        <v>42847</v>
      </c>
      <c r="F542" s="6">
        <v>56.239608638126391</v>
      </c>
    </row>
    <row r="543" spans="1:6">
      <c r="A543" s="1">
        <v>9122923</v>
      </c>
      <c r="B543" s="1">
        <v>270.90025069005497</v>
      </c>
      <c r="C543" s="1">
        <v>542</v>
      </c>
      <c r="D543" s="1">
        <v>280</v>
      </c>
      <c r="E543" s="2">
        <v>42899</v>
      </c>
      <c r="F543" s="6">
        <v>118.40714862015496</v>
      </c>
    </row>
    <row r="544" spans="1:6">
      <c r="A544" s="1">
        <v>9122926</v>
      </c>
      <c r="B544" s="1">
        <v>0.54625576127448938</v>
      </c>
      <c r="C544" s="1">
        <v>543</v>
      </c>
      <c r="D544" s="1">
        <v>35</v>
      </c>
      <c r="E544" s="2">
        <v>42741</v>
      </c>
      <c r="F544" s="6">
        <v>4.4976430640682841</v>
      </c>
    </row>
    <row r="545" spans="1:6">
      <c r="A545" s="1">
        <v>9122929</v>
      </c>
      <c r="B545" s="1">
        <v>271.90025069005497</v>
      </c>
      <c r="C545" s="1">
        <v>544</v>
      </c>
      <c r="D545" s="1">
        <v>157</v>
      </c>
      <c r="E545" s="2">
        <v>43118</v>
      </c>
      <c r="F545" s="6">
        <v>44.175713862769015</v>
      </c>
    </row>
    <row r="546" spans="1:6">
      <c r="A546" s="1">
        <v>9122932</v>
      </c>
      <c r="B546" s="1">
        <v>0.5269958214171353</v>
      </c>
      <c r="C546" s="1">
        <v>545</v>
      </c>
      <c r="D546" s="1">
        <v>547</v>
      </c>
      <c r="E546" s="2">
        <v>42828</v>
      </c>
      <c r="F546" s="6">
        <v>3.5740029070743646</v>
      </c>
    </row>
    <row r="547" spans="1:6">
      <c r="A547" s="1">
        <v>9122935</v>
      </c>
      <c r="B547" s="1">
        <v>272.90025069005497</v>
      </c>
      <c r="C547" s="1">
        <v>546</v>
      </c>
      <c r="D547" s="1">
        <v>261</v>
      </c>
      <c r="E547" s="2">
        <v>43338</v>
      </c>
      <c r="F547" s="6">
        <v>86.91278870826568</v>
      </c>
    </row>
    <row r="548" spans="1:6">
      <c r="A548" s="1">
        <v>9122938</v>
      </c>
      <c r="B548" s="1">
        <v>0.88331729940844672</v>
      </c>
      <c r="C548" s="1">
        <v>547</v>
      </c>
      <c r="D548" s="1">
        <v>354</v>
      </c>
      <c r="E548" s="2">
        <v>43125</v>
      </c>
      <c r="F548" s="6">
        <v>36.881969902970717</v>
      </c>
    </row>
    <row r="549" spans="1:6">
      <c r="A549" s="1">
        <v>9122941</v>
      </c>
      <c r="B549" s="1">
        <v>273.90025069005497</v>
      </c>
      <c r="C549" s="1">
        <v>548</v>
      </c>
      <c r="D549" s="1">
        <v>437</v>
      </c>
      <c r="E549" s="2">
        <v>43349</v>
      </c>
      <c r="F549" s="6">
        <v>3.3877815357977026</v>
      </c>
    </row>
    <row r="550" spans="1:6">
      <c r="A550" s="1">
        <v>9122944</v>
      </c>
      <c r="B550" s="1">
        <v>0.29286583273619837</v>
      </c>
      <c r="C550" s="1">
        <v>549</v>
      </c>
      <c r="D550" s="1">
        <v>531</v>
      </c>
      <c r="E550" s="2">
        <v>42993</v>
      </c>
      <c r="F550" s="6">
        <v>92.645628392890202</v>
      </c>
    </row>
    <row r="551" spans="1:6">
      <c r="A551" s="1">
        <v>9122947</v>
      </c>
      <c r="B551" s="1">
        <v>274.90025069005497</v>
      </c>
      <c r="C551" s="1">
        <v>550</v>
      </c>
      <c r="D551" s="1">
        <v>375</v>
      </c>
      <c r="E551" s="2">
        <v>43078</v>
      </c>
      <c r="F551" s="6">
        <v>69.665861180984976</v>
      </c>
    </row>
    <row r="552" spans="1:6">
      <c r="A552" s="1">
        <v>9122950</v>
      </c>
      <c r="B552" s="1">
        <v>0.97179799529030431</v>
      </c>
      <c r="C552" s="1">
        <v>551</v>
      </c>
      <c r="D552" s="1">
        <v>42</v>
      </c>
      <c r="E552" s="2">
        <v>43440</v>
      </c>
      <c r="F552" s="6">
        <v>113.34847436978082</v>
      </c>
    </row>
    <row r="553" spans="1:6">
      <c r="A553" s="1">
        <v>9122953</v>
      </c>
      <c r="B553" s="1">
        <v>275.90025069005497</v>
      </c>
      <c r="C553" s="1">
        <v>552</v>
      </c>
      <c r="D553" s="1">
        <v>472</v>
      </c>
      <c r="E553" s="2">
        <v>43101</v>
      </c>
      <c r="F553" s="6">
        <v>52.570565409283567</v>
      </c>
    </row>
    <row r="554" spans="1:6">
      <c r="A554" s="1">
        <v>9122956</v>
      </c>
      <c r="B554" s="1">
        <v>0.81526214288842536</v>
      </c>
      <c r="C554" s="1">
        <v>553</v>
      </c>
      <c r="D554" s="1">
        <v>500</v>
      </c>
      <c r="E554" s="2">
        <v>43372</v>
      </c>
      <c r="F554" s="6">
        <v>4.5977202892406437</v>
      </c>
    </row>
    <row r="555" spans="1:6">
      <c r="A555" s="1">
        <v>9122959</v>
      </c>
      <c r="B555" s="1">
        <v>276.90025069005497</v>
      </c>
      <c r="C555" s="1">
        <v>554</v>
      </c>
      <c r="D555" s="1">
        <v>240</v>
      </c>
      <c r="E555" s="2">
        <v>42953</v>
      </c>
      <c r="F555" s="6">
        <v>216.33124264799372</v>
      </c>
    </row>
    <row r="556" spans="1:6">
      <c r="A556" s="1">
        <v>9122962</v>
      </c>
      <c r="B556" s="1">
        <v>0.90682674361575444</v>
      </c>
      <c r="C556" s="1">
        <v>555</v>
      </c>
      <c r="D556" s="1">
        <v>76</v>
      </c>
      <c r="E556" s="2">
        <v>43032</v>
      </c>
      <c r="F556" s="6">
        <v>6.7192087963570106</v>
      </c>
    </row>
    <row r="557" spans="1:6">
      <c r="A557" s="1">
        <v>9122965</v>
      </c>
      <c r="B557" s="1">
        <v>277.90025069005497</v>
      </c>
      <c r="C557" s="1">
        <v>556</v>
      </c>
      <c r="D557" s="1">
        <v>504</v>
      </c>
      <c r="E557" s="2">
        <v>43258</v>
      </c>
      <c r="F557" s="6">
        <v>56.912734397875603</v>
      </c>
    </row>
    <row r="558" spans="1:6">
      <c r="A558" s="1">
        <v>9122968</v>
      </c>
      <c r="B558" s="1">
        <v>0.1395714425489617</v>
      </c>
      <c r="C558" s="1">
        <v>557</v>
      </c>
      <c r="D558" s="1">
        <v>24</v>
      </c>
      <c r="E558" s="2">
        <v>43187</v>
      </c>
      <c r="F558" s="6">
        <v>70.102287560789975</v>
      </c>
    </row>
    <row r="559" spans="1:6">
      <c r="A559" s="1">
        <v>9122971</v>
      </c>
      <c r="B559" s="1">
        <v>278.90025069005497</v>
      </c>
      <c r="C559" s="1">
        <v>558</v>
      </c>
      <c r="D559" s="1">
        <v>484</v>
      </c>
      <c r="E559" s="2">
        <v>43342</v>
      </c>
      <c r="F559" s="6">
        <v>26.926420943230863</v>
      </c>
    </row>
    <row r="560" spans="1:6">
      <c r="A560" s="1">
        <v>9122974</v>
      </c>
      <c r="B560" s="1">
        <v>0.67338707198913683</v>
      </c>
      <c r="C560" s="1">
        <v>559</v>
      </c>
      <c r="D560" s="1">
        <v>270</v>
      </c>
      <c r="E560" s="2">
        <v>42892</v>
      </c>
      <c r="F560" s="6">
        <v>411.89768426678125</v>
      </c>
    </row>
    <row r="561" spans="1:6">
      <c r="A561" s="1">
        <v>9122977</v>
      </c>
      <c r="B561" s="1">
        <v>279.90025069005497</v>
      </c>
      <c r="C561" s="1">
        <v>560</v>
      </c>
      <c r="D561" s="1">
        <v>173</v>
      </c>
      <c r="E561" s="2">
        <v>43099</v>
      </c>
      <c r="F561" s="6">
        <v>6.6342633416554655</v>
      </c>
    </row>
    <row r="562" spans="1:6">
      <c r="A562" s="1">
        <v>9122980</v>
      </c>
      <c r="B562" s="1">
        <v>0.53279613454201957</v>
      </c>
      <c r="C562" s="1">
        <v>561</v>
      </c>
      <c r="D562" s="1">
        <v>69</v>
      </c>
      <c r="E562" s="2">
        <v>43222</v>
      </c>
      <c r="F562" s="6">
        <v>40.803300833485281</v>
      </c>
    </row>
    <row r="563" spans="1:6">
      <c r="A563" s="1">
        <v>9122983</v>
      </c>
      <c r="B563" s="1">
        <v>280.90025069005497</v>
      </c>
      <c r="C563" s="1">
        <v>562</v>
      </c>
      <c r="D563" s="1">
        <v>600</v>
      </c>
      <c r="E563" s="2">
        <v>43343</v>
      </c>
      <c r="F563" s="6">
        <v>30.592549071076832</v>
      </c>
    </row>
    <row r="564" spans="1:6">
      <c r="A564" s="1">
        <v>9122986</v>
      </c>
      <c r="B564" s="1">
        <v>0.39301753232268344</v>
      </c>
      <c r="C564" s="1">
        <v>563</v>
      </c>
      <c r="D564" s="1">
        <v>283</v>
      </c>
      <c r="E564" s="2">
        <v>43001</v>
      </c>
      <c r="F564" s="6">
        <v>116.14542245949302</v>
      </c>
    </row>
    <row r="565" spans="1:6">
      <c r="A565" s="1">
        <v>9122989</v>
      </c>
      <c r="B565" s="1">
        <v>281.90025069005497</v>
      </c>
      <c r="C565" s="1">
        <v>564</v>
      </c>
      <c r="D565" s="1">
        <v>481</v>
      </c>
      <c r="E565" s="2">
        <v>43432</v>
      </c>
      <c r="F565" s="6">
        <v>5.4055503799677425</v>
      </c>
    </row>
    <row r="566" spans="1:6">
      <c r="A566" s="1">
        <v>9122992</v>
      </c>
      <c r="B566" s="1">
        <v>0.5489186514163098</v>
      </c>
      <c r="C566" s="1">
        <v>565</v>
      </c>
      <c r="D566" s="1">
        <v>256</v>
      </c>
      <c r="E566" s="2">
        <v>43360</v>
      </c>
      <c r="F566" s="6">
        <v>60.440191618463921</v>
      </c>
    </row>
    <row r="567" spans="1:6">
      <c r="A567" s="1">
        <v>9122995</v>
      </c>
      <c r="B567" s="1">
        <v>282.90025069005497</v>
      </c>
      <c r="C567" s="1">
        <v>566</v>
      </c>
      <c r="D567" s="1">
        <v>525</v>
      </c>
      <c r="E567" s="2">
        <v>42827</v>
      </c>
      <c r="F567" s="6">
        <v>71.002151740864619</v>
      </c>
    </row>
    <row r="568" spans="1:6">
      <c r="A568" s="1">
        <v>9122998</v>
      </c>
      <c r="B568" s="1">
        <v>7.0336550590289759E-2</v>
      </c>
      <c r="C568" s="1">
        <v>567</v>
      </c>
      <c r="D568" s="1">
        <v>596</v>
      </c>
      <c r="E568" s="2">
        <v>43438</v>
      </c>
      <c r="F568" s="6">
        <v>110.58009557582272</v>
      </c>
    </row>
    <row r="569" spans="1:6">
      <c r="A569" s="1">
        <v>9123001</v>
      </c>
      <c r="B569" s="1">
        <v>283.90025069005497</v>
      </c>
      <c r="C569" s="1">
        <v>568</v>
      </c>
      <c r="D569" s="1">
        <v>199</v>
      </c>
      <c r="E569" s="2">
        <v>43080</v>
      </c>
      <c r="F569" s="6">
        <v>20.532242146637387</v>
      </c>
    </row>
    <row r="570" spans="1:6">
      <c r="A570" s="1">
        <v>9123004</v>
      </c>
      <c r="B570" s="1">
        <v>0.35790846249206032</v>
      </c>
      <c r="C570" s="1">
        <v>569</v>
      </c>
      <c r="D570" s="1">
        <v>8</v>
      </c>
      <c r="E570" s="2">
        <v>43014</v>
      </c>
      <c r="F570" s="6">
        <v>190.34762541468589</v>
      </c>
    </row>
    <row r="571" spans="1:6">
      <c r="A571" s="1">
        <v>9123007</v>
      </c>
      <c r="B571" s="1">
        <v>284.90025069005497</v>
      </c>
      <c r="C571" s="1">
        <v>570</v>
      </c>
      <c r="D571" s="1">
        <v>106</v>
      </c>
      <c r="E571" s="2">
        <v>43081</v>
      </c>
      <c r="F571" s="6">
        <v>16.675359724009731</v>
      </c>
    </row>
    <row r="572" spans="1:6">
      <c r="A572" s="1">
        <v>9123010</v>
      </c>
      <c r="B572" s="1">
        <v>0.92716978179861287</v>
      </c>
      <c r="C572" s="1">
        <v>571</v>
      </c>
      <c r="D572" s="1">
        <v>341</v>
      </c>
      <c r="E572" s="2">
        <v>43138</v>
      </c>
      <c r="F572" s="6">
        <v>3.9848014063312904</v>
      </c>
    </row>
    <row r="573" spans="1:6">
      <c r="A573" s="1">
        <v>9123013</v>
      </c>
      <c r="B573" s="1">
        <v>285.90025069005497</v>
      </c>
      <c r="C573" s="1">
        <v>572</v>
      </c>
      <c r="D573" s="1">
        <v>241</v>
      </c>
      <c r="E573" s="2">
        <v>43021</v>
      </c>
      <c r="F573" s="6">
        <v>38.06194341170665</v>
      </c>
    </row>
    <row r="574" spans="1:6">
      <c r="A574" s="1">
        <v>9123016</v>
      </c>
      <c r="B574" s="1">
        <v>0.25669260937005467</v>
      </c>
      <c r="C574" s="1">
        <v>573</v>
      </c>
      <c r="D574" s="1">
        <v>480</v>
      </c>
      <c r="E574" s="2">
        <v>43309</v>
      </c>
      <c r="F574" s="6">
        <v>73.314446794831085</v>
      </c>
    </row>
    <row r="575" spans="1:6">
      <c r="A575" s="1">
        <v>9123019</v>
      </c>
      <c r="B575" s="1">
        <v>286.90025069005497</v>
      </c>
      <c r="C575" s="1">
        <v>574</v>
      </c>
      <c r="D575" s="1">
        <v>284</v>
      </c>
      <c r="E575" s="2">
        <v>43396</v>
      </c>
      <c r="F575" s="6">
        <v>25.044862698400909</v>
      </c>
    </row>
    <row r="576" spans="1:6">
      <c r="A576" s="1">
        <v>9123022</v>
      </c>
      <c r="B576" s="1">
        <v>0.29646457719872954</v>
      </c>
      <c r="C576" s="1">
        <v>575</v>
      </c>
      <c r="D576" s="1">
        <v>475</v>
      </c>
      <c r="E576" s="2">
        <v>42956</v>
      </c>
      <c r="F576" s="6">
        <v>36.984989751343228</v>
      </c>
    </row>
    <row r="577" spans="1:6">
      <c r="A577" s="1">
        <v>9123025</v>
      </c>
      <c r="B577" s="1">
        <v>287.90025069005497</v>
      </c>
      <c r="C577" s="1">
        <v>576</v>
      </c>
      <c r="D577" s="1">
        <v>410</v>
      </c>
      <c r="E577" s="2">
        <v>43180</v>
      </c>
      <c r="F577" s="6">
        <v>47.7591725484031</v>
      </c>
    </row>
    <row r="578" spans="1:6">
      <c r="A578" s="1">
        <v>9123028</v>
      </c>
      <c r="B578" s="1">
        <v>4.9603859153026897E-2</v>
      </c>
      <c r="C578" s="1">
        <v>577</v>
      </c>
      <c r="D578" s="1">
        <v>518</v>
      </c>
      <c r="E578" s="2">
        <v>43014</v>
      </c>
      <c r="F578" s="6">
        <v>194.88325407471908</v>
      </c>
    </row>
    <row r="579" spans="1:6">
      <c r="A579" s="1">
        <v>9123031</v>
      </c>
      <c r="B579" s="1">
        <v>288.90025069005497</v>
      </c>
      <c r="C579" s="1">
        <v>578</v>
      </c>
      <c r="D579" s="1">
        <v>416</v>
      </c>
      <c r="E579" s="2">
        <v>42964</v>
      </c>
      <c r="F579" s="6">
        <v>50.160034782531028</v>
      </c>
    </row>
    <row r="580" spans="1:6">
      <c r="A580" s="1">
        <v>9123034</v>
      </c>
      <c r="B580" s="1">
        <v>0.72894715724269088</v>
      </c>
      <c r="C580" s="1">
        <v>579</v>
      </c>
      <c r="D580" s="1">
        <v>425</v>
      </c>
      <c r="E580" s="2">
        <v>43384</v>
      </c>
      <c r="F580" s="6">
        <v>30.571449969518486</v>
      </c>
    </row>
    <row r="581" spans="1:6">
      <c r="A581" s="1">
        <v>9123037</v>
      </c>
      <c r="B581" s="1">
        <v>289.90025069005497</v>
      </c>
      <c r="C581" s="1">
        <v>580</v>
      </c>
      <c r="D581" s="1">
        <v>398</v>
      </c>
      <c r="E581" s="2">
        <v>43288</v>
      </c>
      <c r="F581" s="6">
        <v>66.97041613612268</v>
      </c>
    </row>
    <row r="582" spans="1:6">
      <c r="A582" s="1">
        <v>9123040</v>
      </c>
      <c r="B582" s="1">
        <v>0.19217745127662944</v>
      </c>
      <c r="C582" s="1">
        <v>581</v>
      </c>
      <c r="D582" s="1">
        <v>483</v>
      </c>
      <c r="E582" s="2">
        <v>43175</v>
      </c>
      <c r="F582" s="6">
        <v>55.004541173966665</v>
      </c>
    </row>
    <row r="583" spans="1:6">
      <c r="A583" s="1">
        <v>9123043</v>
      </c>
      <c r="B583" s="1">
        <v>290.90025069005497</v>
      </c>
      <c r="C583" s="1">
        <v>582</v>
      </c>
      <c r="D583" s="1">
        <v>444</v>
      </c>
      <c r="E583" s="2">
        <v>43164</v>
      </c>
      <c r="F583" s="6">
        <v>3.0478217180155083</v>
      </c>
    </row>
    <row r="584" spans="1:6">
      <c r="A584" s="1">
        <v>9123046</v>
      </c>
      <c r="B584" s="1">
        <v>0.99183571318530006</v>
      </c>
      <c r="C584" s="1">
        <v>583</v>
      </c>
      <c r="D584" s="1">
        <v>49</v>
      </c>
      <c r="E584" s="2">
        <v>43081</v>
      </c>
      <c r="F584" s="6">
        <v>84.53350766870598</v>
      </c>
    </row>
    <row r="585" spans="1:6">
      <c r="A585" s="1">
        <v>9123049</v>
      </c>
      <c r="B585" s="1">
        <v>291.90025069005497</v>
      </c>
      <c r="C585" s="1">
        <v>584</v>
      </c>
      <c r="D585" s="1">
        <v>210</v>
      </c>
      <c r="E585" s="2">
        <v>43309</v>
      </c>
      <c r="F585" s="6">
        <v>53.488363545024043</v>
      </c>
    </row>
    <row r="586" spans="1:6">
      <c r="A586" s="1">
        <v>9123052</v>
      </c>
      <c r="B586" s="1">
        <v>0.60387147351152215</v>
      </c>
      <c r="C586" s="1">
        <v>585</v>
      </c>
      <c r="D586" s="1">
        <v>328</v>
      </c>
      <c r="E586" s="2">
        <v>43205</v>
      </c>
      <c r="F586" s="6">
        <v>124.89970848452533</v>
      </c>
    </row>
    <row r="587" spans="1:6">
      <c r="A587" s="1">
        <v>9123055</v>
      </c>
      <c r="B587" s="1">
        <v>292.90025069005497</v>
      </c>
      <c r="C587" s="1">
        <v>586</v>
      </c>
      <c r="D587" s="1">
        <v>491</v>
      </c>
      <c r="E587" s="2">
        <v>42996</v>
      </c>
      <c r="F587" s="6">
        <v>42.606229825628688</v>
      </c>
    </row>
    <row r="588" spans="1:6">
      <c r="A588" s="1">
        <v>9123058</v>
      </c>
      <c r="B588" s="1">
        <v>2.0409301608737218E-2</v>
      </c>
      <c r="C588" s="1">
        <v>587</v>
      </c>
      <c r="D588" s="1">
        <v>212</v>
      </c>
      <c r="E588" s="2">
        <v>43138</v>
      </c>
      <c r="F588" s="6">
        <v>90.60393675709355</v>
      </c>
    </row>
    <row r="589" spans="1:6">
      <c r="A589" s="1">
        <v>9123061</v>
      </c>
      <c r="B589" s="1">
        <v>293.90025069005497</v>
      </c>
      <c r="C589" s="1">
        <v>588</v>
      </c>
      <c r="D589" s="1">
        <v>32</v>
      </c>
      <c r="E589" s="2">
        <v>43344</v>
      </c>
      <c r="F589" s="6">
        <v>77.468452912321197</v>
      </c>
    </row>
    <row r="590" spans="1:6">
      <c r="A590" s="1">
        <v>9123064</v>
      </c>
      <c r="B590" s="1">
        <v>0.2890965143266232</v>
      </c>
      <c r="C590" s="1">
        <v>589</v>
      </c>
      <c r="D590" s="1">
        <v>533</v>
      </c>
      <c r="E590" s="2">
        <v>43256</v>
      </c>
      <c r="F590" s="6">
        <v>431.21749168441022</v>
      </c>
    </row>
    <row r="591" spans="1:6">
      <c r="A591" s="1">
        <v>9123067</v>
      </c>
      <c r="B591" s="1">
        <v>294.90025069005497</v>
      </c>
      <c r="C591" s="1">
        <v>590</v>
      </c>
      <c r="D591" s="1">
        <v>545</v>
      </c>
      <c r="E591" s="2">
        <v>43418</v>
      </c>
      <c r="F591" s="6">
        <v>8.6986939845748967</v>
      </c>
    </row>
    <row r="592" spans="1:6">
      <c r="A592" s="1">
        <v>9123070</v>
      </c>
      <c r="B592" s="1">
        <v>9.7205631619144972E-3</v>
      </c>
      <c r="C592" s="1">
        <v>591</v>
      </c>
      <c r="D592" s="1">
        <v>435</v>
      </c>
      <c r="E592" s="2">
        <v>42967</v>
      </c>
      <c r="F592" s="6">
        <v>44.092809339664875</v>
      </c>
    </row>
    <row r="593" spans="1:6">
      <c r="A593" s="1">
        <v>9123073</v>
      </c>
      <c r="B593" s="1">
        <v>295.90025069005497</v>
      </c>
      <c r="C593" s="1">
        <v>592</v>
      </c>
      <c r="D593" s="1">
        <v>559</v>
      </c>
      <c r="E593" s="2">
        <v>43309</v>
      </c>
      <c r="F593" s="6">
        <v>243.52905579977971</v>
      </c>
    </row>
    <row r="594" spans="1:6">
      <c r="A594" s="1">
        <v>9123076</v>
      </c>
      <c r="B594" s="1">
        <v>0.11883687623413119</v>
      </c>
      <c r="C594" s="1">
        <v>593</v>
      </c>
      <c r="D594" s="1">
        <v>187</v>
      </c>
      <c r="E594" s="2">
        <v>43030</v>
      </c>
      <c r="F594" s="6">
        <v>325.02453890749854</v>
      </c>
    </row>
    <row r="595" spans="1:6">
      <c r="A595" s="1">
        <v>9123079</v>
      </c>
      <c r="B595" s="1">
        <v>296.90025069005497</v>
      </c>
      <c r="C595" s="1">
        <v>594</v>
      </c>
      <c r="D595" s="1">
        <v>498</v>
      </c>
      <c r="E595" s="2">
        <v>42919</v>
      </c>
      <c r="F595" s="6">
        <v>9.6235179022071122</v>
      </c>
    </row>
    <row r="596" spans="1:6">
      <c r="A596" s="1">
        <v>9123082</v>
      </c>
      <c r="B596" s="1">
        <v>0.58486063855550419</v>
      </c>
      <c r="C596" s="1">
        <v>595</v>
      </c>
      <c r="D596" s="1">
        <v>109</v>
      </c>
      <c r="E596" s="2">
        <v>43323</v>
      </c>
      <c r="F596" s="6">
        <v>333.67060848943771</v>
      </c>
    </row>
    <row r="597" spans="1:6">
      <c r="A597" s="1">
        <v>9123085</v>
      </c>
      <c r="B597" s="1">
        <v>297.90025069005497</v>
      </c>
      <c r="C597" s="1">
        <v>596</v>
      </c>
      <c r="D597" s="1">
        <v>91</v>
      </c>
      <c r="E597" s="2">
        <v>43295</v>
      </c>
      <c r="F597" s="6">
        <v>3.8632026301103064</v>
      </c>
    </row>
    <row r="598" spans="1:6">
      <c r="A598" s="1">
        <v>9123088</v>
      </c>
      <c r="B598" s="1">
        <v>0.42698489689551722</v>
      </c>
      <c r="C598" s="1">
        <v>597</v>
      </c>
      <c r="D598" s="1">
        <v>114</v>
      </c>
      <c r="E598" s="2">
        <v>42883</v>
      </c>
      <c r="F598" s="6">
        <v>23.690259789320017</v>
      </c>
    </row>
    <row r="599" spans="1:6">
      <c r="A599" s="1">
        <v>9123091</v>
      </c>
      <c r="B599" s="1">
        <v>298.90025069005497</v>
      </c>
      <c r="C599" s="1">
        <v>598</v>
      </c>
      <c r="D599" s="1">
        <v>466</v>
      </c>
      <c r="E599" s="2">
        <v>43420</v>
      </c>
      <c r="F599" s="6">
        <v>6.4157761512634091</v>
      </c>
    </row>
    <row r="600" spans="1:6">
      <c r="A600" s="1">
        <v>9123094</v>
      </c>
      <c r="B600" s="1">
        <v>0.3563813621981794</v>
      </c>
      <c r="C600" s="1">
        <v>599</v>
      </c>
      <c r="D600" s="1">
        <v>414</v>
      </c>
      <c r="E600" s="2">
        <v>42934</v>
      </c>
      <c r="F600" s="6">
        <v>6.6680203460657967</v>
      </c>
    </row>
    <row r="601" spans="1:6">
      <c r="A601" s="1">
        <v>9123097</v>
      </c>
      <c r="B601" s="1">
        <v>299.90025069005497</v>
      </c>
      <c r="C601" s="1">
        <v>600</v>
      </c>
      <c r="D601" s="1">
        <v>352</v>
      </c>
      <c r="E601" s="2">
        <v>42926</v>
      </c>
      <c r="F601" s="6">
        <v>58.869668683021587</v>
      </c>
    </row>
    <row r="602" spans="1:6">
      <c r="A602" s="1">
        <v>9123100</v>
      </c>
      <c r="B602" s="1">
        <v>0.84638760291505355</v>
      </c>
      <c r="C602" s="1">
        <v>1</v>
      </c>
      <c r="D602" s="1">
        <v>564</v>
      </c>
      <c r="E602" s="2">
        <v>43177</v>
      </c>
      <c r="F602" s="6">
        <v>3.2768126788007752</v>
      </c>
    </row>
    <row r="603" spans="1:6">
      <c r="A603" s="1">
        <v>9123103</v>
      </c>
      <c r="B603" s="1">
        <v>0.61189371770836332</v>
      </c>
      <c r="C603" s="1">
        <v>211</v>
      </c>
      <c r="D603" s="1">
        <v>474</v>
      </c>
      <c r="E603" s="2">
        <v>43399</v>
      </c>
      <c r="F603" s="6">
        <v>94.195363382242533</v>
      </c>
    </row>
    <row r="604" spans="1:6">
      <c r="A604" s="1">
        <v>9123106</v>
      </c>
      <c r="B604" s="1">
        <v>6.3918530057403E-2</v>
      </c>
      <c r="C604" s="1">
        <v>28</v>
      </c>
      <c r="D604" s="1">
        <v>458</v>
      </c>
      <c r="E604" s="2">
        <v>43187</v>
      </c>
      <c r="F604" s="6">
        <v>177.19165332011801</v>
      </c>
    </row>
    <row r="605" spans="1:6">
      <c r="A605" s="1">
        <v>9123109</v>
      </c>
      <c r="B605" s="1">
        <v>0.2259349968822898</v>
      </c>
      <c r="C605" s="1">
        <v>5</v>
      </c>
      <c r="D605" s="1">
        <v>575</v>
      </c>
      <c r="E605" s="2">
        <v>43313</v>
      </c>
      <c r="F605" s="6">
        <v>290.69233514566827</v>
      </c>
    </row>
    <row r="606" spans="1:6">
      <c r="A606" s="1">
        <v>9123112</v>
      </c>
      <c r="B606" s="1">
        <v>0.27642603455241466</v>
      </c>
      <c r="C606" s="1">
        <v>27</v>
      </c>
      <c r="D606" s="1">
        <v>417</v>
      </c>
      <c r="E606" s="2">
        <v>43099</v>
      </c>
      <c r="F606" s="6">
        <v>240.67214144504121</v>
      </c>
    </row>
    <row r="607" spans="1:6">
      <c r="A607" s="1">
        <v>9123115</v>
      </c>
      <c r="B607" s="1">
        <v>8.1425729979963113E-2</v>
      </c>
      <c r="C607" s="1">
        <v>63</v>
      </c>
      <c r="D607" s="1">
        <v>592</v>
      </c>
      <c r="E607" s="2">
        <v>43269</v>
      </c>
      <c r="F607" s="6">
        <v>5.766095494132454</v>
      </c>
    </row>
    <row r="608" spans="1:6">
      <c r="A608" s="1">
        <v>9123118</v>
      </c>
      <c r="B608" s="1">
        <v>0.35495202981742791</v>
      </c>
      <c r="C608" s="1">
        <v>1</v>
      </c>
      <c r="D608" s="1">
        <v>139</v>
      </c>
      <c r="E608" s="2">
        <v>43043</v>
      </c>
      <c r="F608" s="6">
        <v>141.64133381841125</v>
      </c>
    </row>
    <row r="609" spans="1:6">
      <c r="A609" s="1">
        <v>9123121</v>
      </c>
      <c r="B609" s="1">
        <v>0.83101748116875318</v>
      </c>
      <c r="C609" s="1">
        <v>68</v>
      </c>
      <c r="D609" s="1">
        <v>258</v>
      </c>
      <c r="E609" s="2">
        <v>43060</v>
      </c>
      <c r="F609" s="6">
        <v>207.87477317633528</v>
      </c>
    </row>
    <row r="610" spans="1:6">
      <c r="A610" s="1">
        <v>9123124</v>
      </c>
      <c r="B610" s="1">
        <v>0.29714114033376393</v>
      </c>
      <c r="C610" s="1">
        <v>1</v>
      </c>
      <c r="D610" s="1">
        <v>553</v>
      </c>
      <c r="E610" s="2">
        <v>42997</v>
      </c>
      <c r="F610" s="6">
        <v>75.433222992013597</v>
      </c>
    </row>
    <row r="611" spans="1:6">
      <c r="A611" s="1">
        <v>9123127</v>
      </c>
      <c r="B611" s="1">
        <v>0.46714313882520653</v>
      </c>
      <c r="C611" s="1">
        <v>65</v>
      </c>
      <c r="D611" s="1">
        <v>139</v>
      </c>
      <c r="E611" s="2">
        <v>43322</v>
      </c>
      <c r="F611" s="6">
        <v>39.497226162930794</v>
      </c>
    </row>
    <row r="612" spans="1:6">
      <c r="A612" s="1">
        <v>9123130</v>
      </c>
      <c r="B612" s="1">
        <v>0.87362525438867566</v>
      </c>
      <c r="C612" s="1">
        <v>49</v>
      </c>
      <c r="D612" s="1">
        <v>90</v>
      </c>
      <c r="E612" s="2">
        <v>42825</v>
      </c>
      <c r="F612" s="6">
        <v>54.714196382674558</v>
      </c>
    </row>
    <row r="613" spans="1:6">
      <c r="A613" s="1">
        <v>9123133</v>
      </c>
      <c r="B613" s="1">
        <v>0.15194648353936391</v>
      </c>
      <c r="C613" s="1">
        <v>2</v>
      </c>
      <c r="D613" s="1">
        <v>564</v>
      </c>
      <c r="E613" s="2">
        <v>43040</v>
      </c>
      <c r="F613" s="6">
        <v>92.610790681537551</v>
      </c>
    </row>
    <row r="614" spans="1:6">
      <c r="A614" s="1">
        <v>9123136</v>
      </c>
      <c r="B614" s="1">
        <v>0.88634289045220915</v>
      </c>
      <c r="C614" s="1">
        <v>35</v>
      </c>
      <c r="D614" s="1">
        <v>510</v>
      </c>
      <c r="E614" s="2">
        <v>43262</v>
      </c>
      <c r="F614" s="6">
        <v>4.7915555386907132</v>
      </c>
    </row>
    <row r="615" spans="1:6">
      <c r="A615" s="1">
        <v>9123139</v>
      </c>
      <c r="B615" s="1">
        <v>0.70733772105720405</v>
      </c>
      <c r="C615" s="1">
        <v>438</v>
      </c>
      <c r="D615" s="1">
        <v>145</v>
      </c>
      <c r="E615" s="2">
        <v>43175</v>
      </c>
      <c r="F615" s="6">
        <v>37.383676453079445</v>
      </c>
    </row>
    <row r="616" spans="1:6">
      <c r="A616" s="1">
        <v>9123142</v>
      </c>
      <c r="B616" s="1">
        <v>0.43538825364872302</v>
      </c>
      <c r="C616" s="1">
        <v>174</v>
      </c>
      <c r="D616" s="1">
        <v>145</v>
      </c>
      <c r="E616" s="2">
        <v>42898</v>
      </c>
      <c r="F616" s="6">
        <v>45.885418780435572</v>
      </c>
    </row>
    <row r="617" spans="1:6">
      <c r="A617" s="1">
        <v>9123145</v>
      </c>
      <c r="B617" s="1">
        <v>0.37944524470865937</v>
      </c>
      <c r="C617" s="1">
        <v>5</v>
      </c>
      <c r="D617" s="1">
        <v>409</v>
      </c>
      <c r="E617" s="2">
        <v>43140</v>
      </c>
      <c r="F617" s="6">
        <v>108.12851384398351</v>
      </c>
    </row>
    <row r="618" spans="1:6">
      <c r="A618" s="1">
        <v>9123148</v>
      </c>
      <c r="B618" s="1">
        <v>0.63552750233633637</v>
      </c>
      <c r="C618" s="1">
        <v>4</v>
      </c>
      <c r="D618" s="1">
        <v>234</v>
      </c>
      <c r="E618" s="2">
        <v>42936</v>
      </c>
      <c r="F618" s="6">
        <v>73.164954581824816</v>
      </c>
    </row>
    <row r="619" spans="1:6">
      <c r="A619" s="1">
        <v>9123151</v>
      </c>
      <c r="B619" s="1">
        <v>0.15197731490107957</v>
      </c>
      <c r="C619" s="1">
        <v>66</v>
      </c>
      <c r="D619" s="1">
        <v>267</v>
      </c>
      <c r="E619" s="2">
        <v>42772</v>
      </c>
      <c r="F619" s="6">
        <v>7.8865125319368516</v>
      </c>
    </row>
    <row r="620" spans="1:6">
      <c r="A620" s="1">
        <v>9123154</v>
      </c>
      <c r="B620" s="1">
        <v>0.85935352813370824</v>
      </c>
      <c r="C620" s="1">
        <v>64</v>
      </c>
      <c r="D620" s="1">
        <v>252</v>
      </c>
      <c r="E620" s="2">
        <v>43155</v>
      </c>
      <c r="F620" s="6">
        <v>94.759061462859222</v>
      </c>
    </row>
    <row r="621" spans="1:6">
      <c r="A621" s="1">
        <v>9123157</v>
      </c>
      <c r="B621" s="1">
        <v>5.0237083660562565E-2</v>
      </c>
      <c r="C621" s="1">
        <v>33</v>
      </c>
      <c r="D621" s="1">
        <v>197</v>
      </c>
      <c r="E621" s="2">
        <v>43302</v>
      </c>
      <c r="F621" s="6">
        <v>211.06585958826145</v>
      </c>
    </row>
    <row r="622" spans="1:6">
      <c r="A622" s="1">
        <v>9123160</v>
      </c>
      <c r="B622" s="1">
        <v>0.64522859384032694</v>
      </c>
      <c r="C622" s="1">
        <v>106</v>
      </c>
      <c r="D622" s="1">
        <v>458</v>
      </c>
      <c r="E622" s="2">
        <v>42980</v>
      </c>
      <c r="F622" s="6">
        <v>18.974834777814731</v>
      </c>
    </row>
    <row r="623" spans="1:6">
      <c r="A623" s="1">
        <v>9123163</v>
      </c>
      <c r="B623" s="1">
        <v>0.49358932690396795</v>
      </c>
      <c r="C623" s="1">
        <v>1</v>
      </c>
      <c r="D623" s="1">
        <v>22</v>
      </c>
      <c r="E623" s="2">
        <v>42809</v>
      </c>
      <c r="F623" s="6">
        <v>251.37923779281249</v>
      </c>
    </row>
    <row r="624" spans="1:6">
      <c r="A624" s="1">
        <v>9123166</v>
      </c>
      <c r="B624" s="1">
        <v>0.59536242326737621</v>
      </c>
      <c r="C624" s="1">
        <v>3</v>
      </c>
      <c r="D624" s="1">
        <v>348</v>
      </c>
      <c r="E624" s="2">
        <v>43363</v>
      </c>
      <c r="F624" s="6">
        <v>79.982805997086942</v>
      </c>
    </row>
    <row r="625" spans="1:6">
      <c r="A625" s="1">
        <v>9123169</v>
      </c>
      <c r="B625" s="1">
        <v>0.53735138727281828</v>
      </c>
      <c r="C625" s="1">
        <v>52</v>
      </c>
      <c r="D625" s="1">
        <v>88</v>
      </c>
      <c r="E625" s="2">
        <v>42862</v>
      </c>
      <c r="F625" s="6">
        <v>4.2071262859205829</v>
      </c>
    </row>
    <row r="626" spans="1:6">
      <c r="A626" s="1">
        <v>9123172</v>
      </c>
      <c r="B626" s="1">
        <v>0.54358463234331955</v>
      </c>
      <c r="C626" s="1">
        <v>15</v>
      </c>
      <c r="D626" s="1">
        <v>553</v>
      </c>
      <c r="E626" s="2">
        <v>43410</v>
      </c>
      <c r="F626" s="6">
        <v>54.205537349627846</v>
      </c>
    </row>
    <row r="627" spans="1:6">
      <c r="A627" s="1">
        <v>9123175</v>
      </c>
      <c r="B627" s="1">
        <v>0.41653007401987618</v>
      </c>
      <c r="C627" s="1">
        <v>10</v>
      </c>
      <c r="D627" s="1">
        <v>259</v>
      </c>
      <c r="E627" s="2">
        <v>43362</v>
      </c>
      <c r="F627" s="6">
        <v>51.151712043756859</v>
      </c>
    </row>
    <row r="628" spans="1:6">
      <c r="A628" s="1">
        <v>9123178</v>
      </c>
      <c r="B628" s="1">
        <v>6.3328919933353545E-2</v>
      </c>
      <c r="C628" s="1">
        <v>94</v>
      </c>
      <c r="D628" s="1">
        <v>40</v>
      </c>
      <c r="E628" s="2">
        <v>42951</v>
      </c>
      <c r="F628" s="6">
        <v>132.89790416639613</v>
      </c>
    </row>
    <row r="629" spans="1:6">
      <c r="A629" s="1">
        <v>9123181</v>
      </c>
      <c r="B629" s="1">
        <v>0.21842214295381723</v>
      </c>
      <c r="C629" s="1">
        <v>30</v>
      </c>
      <c r="D629" s="1">
        <v>492</v>
      </c>
      <c r="E629" s="2">
        <v>43431</v>
      </c>
      <c r="F629" s="6">
        <v>18.904172347095891</v>
      </c>
    </row>
    <row r="630" spans="1:6">
      <c r="A630" s="1">
        <v>9123184</v>
      </c>
      <c r="B630" s="1">
        <v>0.44853649752431035</v>
      </c>
      <c r="C630" s="1">
        <v>123</v>
      </c>
      <c r="D630" s="1">
        <v>348</v>
      </c>
      <c r="E630" s="2">
        <v>43051</v>
      </c>
      <c r="F630" s="6">
        <v>110.35581239042631</v>
      </c>
    </row>
    <row r="631" spans="1:6">
      <c r="A631" s="1">
        <v>9123187</v>
      </c>
      <c r="B631" s="1">
        <v>0.65415254585235161</v>
      </c>
      <c r="C631" s="1">
        <v>19</v>
      </c>
      <c r="D631" s="1">
        <v>597</v>
      </c>
      <c r="E631" s="2">
        <v>43045</v>
      </c>
      <c r="F631" s="6">
        <v>40.844608915807491</v>
      </c>
    </row>
    <row r="632" spans="1:6">
      <c r="A632" s="1">
        <v>9123190</v>
      </c>
      <c r="B632" s="1">
        <v>0.9329413156110814</v>
      </c>
      <c r="C632" s="1">
        <v>8</v>
      </c>
      <c r="D632" s="1">
        <v>510</v>
      </c>
      <c r="E632" s="2">
        <v>42981</v>
      </c>
      <c r="F632" s="6">
        <v>3.3502222121234708</v>
      </c>
    </row>
    <row r="633" spans="1:6">
      <c r="A633" s="1">
        <v>9123193</v>
      </c>
      <c r="B633" s="1">
        <v>0.86056237999689944</v>
      </c>
      <c r="C633" s="1">
        <v>1</v>
      </c>
      <c r="D633" s="1">
        <v>573</v>
      </c>
      <c r="E633" s="2">
        <v>42831</v>
      </c>
      <c r="F633" s="6">
        <v>88.062267224579799</v>
      </c>
    </row>
    <row r="634" spans="1:6">
      <c r="A634" s="1">
        <v>9123196</v>
      </c>
      <c r="B634" s="1">
        <v>0.389054246738198</v>
      </c>
      <c r="C634" s="1">
        <v>2</v>
      </c>
      <c r="D634" s="1">
        <v>510</v>
      </c>
      <c r="E634" s="2">
        <v>42923</v>
      </c>
      <c r="F634" s="6">
        <v>60.56144021832047</v>
      </c>
    </row>
    <row r="635" spans="1:6">
      <c r="A635" s="1">
        <v>9123199</v>
      </c>
      <c r="B635" s="1">
        <v>0.40262984926325662</v>
      </c>
      <c r="C635" s="1">
        <v>5</v>
      </c>
      <c r="D635" s="1">
        <v>592</v>
      </c>
      <c r="E635" s="2">
        <v>43052</v>
      </c>
      <c r="F635" s="6">
        <v>71.116590918696588</v>
      </c>
    </row>
    <row r="636" spans="1:6">
      <c r="A636" s="1">
        <v>9123202</v>
      </c>
      <c r="B636" s="1">
        <v>0.49202816075631417</v>
      </c>
      <c r="C636" s="1">
        <v>43</v>
      </c>
      <c r="D636" s="1">
        <v>124</v>
      </c>
      <c r="E636" s="2">
        <v>43224</v>
      </c>
      <c r="F636" s="6">
        <v>135.0728588352394</v>
      </c>
    </row>
    <row r="637" spans="1:6">
      <c r="A637" s="1">
        <v>9123205</v>
      </c>
      <c r="B637" s="1">
        <v>0.6729160493509907</v>
      </c>
      <c r="C637" s="1">
        <v>100</v>
      </c>
      <c r="D637" s="1">
        <v>176</v>
      </c>
      <c r="E637" s="2">
        <v>43136</v>
      </c>
      <c r="F637" s="6">
        <v>136.68177049357465</v>
      </c>
    </row>
    <row r="638" spans="1:6">
      <c r="A638" s="1">
        <v>9123208</v>
      </c>
      <c r="B638" s="1">
        <v>0.34486034311523783</v>
      </c>
      <c r="C638" s="1">
        <v>5</v>
      </c>
      <c r="D638" s="1">
        <v>197</v>
      </c>
      <c r="E638" s="2">
        <v>43213</v>
      </c>
      <c r="F638" s="6">
        <v>8.148240830917036</v>
      </c>
    </row>
    <row r="639" spans="1:6">
      <c r="A639" s="1">
        <v>9123211</v>
      </c>
      <c r="B639" s="1">
        <v>0.63859651005700535</v>
      </c>
      <c r="C639" s="1">
        <v>7</v>
      </c>
      <c r="D639" s="1">
        <v>320</v>
      </c>
      <c r="E639" s="2">
        <v>43349</v>
      </c>
      <c r="F639" s="6">
        <v>7.8124616706797552</v>
      </c>
    </row>
    <row r="640" spans="1:6">
      <c r="A640" s="1">
        <v>9123214</v>
      </c>
      <c r="B640" s="1">
        <v>0.63929839613224315</v>
      </c>
      <c r="C640" s="1">
        <v>80</v>
      </c>
      <c r="D640" s="1">
        <v>98</v>
      </c>
      <c r="E640" s="2">
        <v>43377</v>
      </c>
      <c r="F640" s="6">
        <v>4.9361300338616161</v>
      </c>
    </row>
    <row r="641" spans="1:6">
      <c r="A641" s="1">
        <v>9123217</v>
      </c>
      <c r="B641" s="1">
        <v>0.4174236280689132</v>
      </c>
      <c r="C641" s="1">
        <v>60</v>
      </c>
      <c r="D641" s="1">
        <v>564</v>
      </c>
      <c r="E641" s="2">
        <v>43200</v>
      </c>
      <c r="F641" s="6">
        <v>23.828180390642483</v>
      </c>
    </row>
    <row r="642" spans="1:6">
      <c r="A642" s="1">
        <v>9123220</v>
      </c>
      <c r="B642" s="1">
        <v>0.6827872572147331</v>
      </c>
      <c r="C642" s="1">
        <v>147</v>
      </c>
      <c r="D642" s="1">
        <v>12</v>
      </c>
      <c r="E642" s="2">
        <v>42736</v>
      </c>
      <c r="F642" s="6">
        <v>155.91084530287128</v>
      </c>
    </row>
    <row r="643" spans="1:6">
      <c r="A643" s="1">
        <v>9123223</v>
      </c>
      <c r="B643" s="1">
        <v>0.88405540764295709</v>
      </c>
      <c r="C643" s="1">
        <v>223</v>
      </c>
      <c r="D643" s="1">
        <v>145</v>
      </c>
      <c r="E643" s="2">
        <v>42859</v>
      </c>
      <c r="F643" s="6">
        <v>79.849513971582979</v>
      </c>
    </row>
    <row r="644" spans="1:6">
      <c r="A644" s="1">
        <v>9123226</v>
      </c>
      <c r="B644" s="1">
        <v>0.40175062623275237</v>
      </c>
      <c r="C644" s="1">
        <v>30</v>
      </c>
      <c r="D644" s="1">
        <v>359</v>
      </c>
      <c r="E644" s="2">
        <v>43488</v>
      </c>
      <c r="F644" s="6">
        <v>76.648029852598512</v>
      </c>
    </row>
    <row r="645" spans="1:6">
      <c r="A645" s="1">
        <v>9123229</v>
      </c>
      <c r="B645" s="1">
        <v>9.5395461375530122E-2</v>
      </c>
      <c r="C645" s="1">
        <v>1</v>
      </c>
      <c r="D645" s="1">
        <v>493</v>
      </c>
      <c r="E645" s="2">
        <v>43018</v>
      </c>
      <c r="F645" s="6">
        <v>9.0450863837425448</v>
      </c>
    </row>
    <row r="646" spans="1:6">
      <c r="A646" s="1">
        <v>9123232</v>
      </c>
      <c r="B646" s="1">
        <v>0.65470313712172434</v>
      </c>
      <c r="C646" s="1">
        <v>1</v>
      </c>
      <c r="D646" s="1">
        <v>176</v>
      </c>
      <c r="E646" s="2">
        <v>43066</v>
      </c>
      <c r="F646" s="6">
        <v>3.2660103541071068</v>
      </c>
    </row>
    <row r="647" spans="1:6">
      <c r="A647" s="1">
        <v>9123235</v>
      </c>
      <c r="B647" s="1">
        <v>0.23890639546640369</v>
      </c>
      <c r="C647" s="1">
        <v>3</v>
      </c>
      <c r="D647" s="1">
        <v>510</v>
      </c>
      <c r="E647" s="2">
        <v>42827</v>
      </c>
      <c r="F647" s="6">
        <v>15.356874717878556</v>
      </c>
    </row>
    <row r="648" spans="1:6">
      <c r="A648" s="1">
        <v>9123238</v>
      </c>
      <c r="B648" s="1">
        <v>0.65177638115481806</v>
      </c>
      <c r="C648" s="1">
        <v>79</v>
      </c>
      <c r="D648" s="1">
        <v>88</v>
      </c>
      <c r="E648" s="2">
        <v>43207</v>
      </c>
      <c r="F648" s="6">
        <v>70.627151394409495</v>
      </c>
    </row>
    <row r="649" spans="1:6">
      <c r="A649" s="1">
        <v>9123241</v>
      </c>
      <c r="B649" s="1">
        <v>0.87096318655269978</v>
      </c>
      <c r="C649" s="1">
        <v>35</v>
      </c>
      <c r="D649" s="1">
        <v>231</v>
      </c>
      <c r="E649" s="2">
        <v>42881</v>
      </c>
      <c r="F649" s="6">
        <v>21.621417251367266</v>
      </c>
    </row>
    <row r="650" spans="1:6">
      <c r="A650" s="1">
        <v>9123244</v>
      </c>
      <c r="B650" s="1">
        <v>0.58314545193123835</v>
      </c>
      <c r="C650" s="1">
        <v>36</v>
      </c>
      <c r="D650" s="1">
        <v>248</v>
      </c>
      <c r="E650" s="2">
        <v>42845</v>
      </c>
      <c r="F650" s="6">
        <v>148.67708068580239</v>
      </c>
    </row>
    <row r="651" spans="1:6">
      <c r="A651" s="1">
        <v>9123247</v>
      </c>
      <c r="B651" s="1">
        <v>0.11137694013191402</v>
      </c>
      <c r="C651" s="1">
        <v>36</v>
      </c>
      <c r="D651" s="1">
        <v>394</v>
      </c>
      <c r="E651" s="2">
        <v>43416</v>
      </c>
      <c r="F651" s="6">
        <v>6.300115096808744</v>
      </c>
    </row>
    <row r="652" spans="1:6">
      <c r="A652" s="1">
        <v>9123250</v>
      </c>
      <c r="B652" s="1">
        <v>0.72662417882822727</v>
      </c>
      <c r="C652" s="1">
        <v>47</v>
      </c>
      <c r="D652" s="1">
        <v>176</v>
      </c>
      <c r="E652" s="2">
        <v>43307</v>
      </c>
      <c r="F652" s="6">
        <v>17.904771062183357</v>
      </c>
    </row>
    <row r="653" spans="1:6">
      <c r="A653" s="1">
        <v>9123253</v>
      </c>
      <c r="B653" s="1">
        <v>0.35536810198663205</v>
      </c>
      <c r="C653" s="1">
        <v>51</v>
      </c>
      <c r="D653" s="1">
        <v>115</v>
      </c>
      <c r="E653" s="2">
        <v>43308</v>
      </c>
      <c r="F653" s="6">
        <v>49.012664048619264</v>
      </c>
    </row>
    <row r="654" spans="1:6">
      <c r="A654" s="1">
        <v>9123256</v>
      </c>
      <c r="B654" s="1">
        <v>8.3489853151364257E-2</v>
      </c>
      <c r="C654" s="1">
        <v>201</v>
      </c>
      <c r="D654" s="1">
        <v>38</v>
      </c>
      <c r="E654" s="2">
        <v>42872</v>
      </c>
      <c r="F654" s="6">
        <v>65.786717395406271</v>
      </c>
    </row>
    <row r="655" spans="1:6">
      <c r="A655" s="1">
        <v>9123259</v>
      </c>
      <c r="B655" s="1">
        <v>0.82111789098032772</v>
      </c>
      <c r="C655" s="1">
        <v>11</v>
      </c>
      <c r="D655" s="1">
        <v>453</v>
      </c>
      <c r="E655" s="2">
        <v>42751</v>
      </c>
      <c r="F655" s="6">
        <v>15.1882001359489</v>
      </c>
    </row>
    <row r="656" spans="1:6">
      <c r="A656" s="1">
        <v>9123262</v>
      </c>
      <c r="B656" s="1">
        <v>0.58355686767737736</v>
      </c>
      <c r="C656" s="1">
        <v>53</v>
      </c>
      <c r="D656" s="1">
        <v>541</v>
      </c>
      <c r="E656" s="2">
        <v>43223</v>
      </c>
      <c r="F656" s="6">
        <v>109.15353243863473</v>
      </c>
    </row>
    <row r="657" spans="1:6">
      <c r="A657" s="1">
        <v>9123265</v>
      </c>
      <c r="B657" s="1">
        <v>0.24772344428540249</v>
      </c>
      <c r="C657" s="1">
        <v>23</v>
      </c>
      <c r="D657" s="1">
        <v>197</v>
      </c>
      <c r="E657" s="2">
        <v>43121</v>
      </c>
      <c r="F657" s="6">
        <v>21.844271552956087</v>
      </c>
    </row>
    <row r="658" spans="1:6">
      <c r="A658" s="1">
        <v>9123268</v>
      </c>
      <c r="B658" s="1">
        <v>0.89182462905321691</v>
      </c>
      <c r="C658" s="1">
        <v>72</v>
      </c>
      <c r="D658" s="1">
        <v>510</v>
      </c>
      <c r="E658" s="2">
        <v>42739</v>
      </c>
      <c r="F658" s="6">
        <v>35.861575402462776</v>
      </c>
    </row>
    <row r="659" spans="1:6">
      <c r="A659" s="1">
        <v>9123271</v>
      </c>
      <c r="B659" s="1">
        <v>0.50432585639472616</v>
      </c>
      <c r="C659" s="1">
        <v>57</v>
      </c>
      <c r="D659" s="1">
        <v>420</v>
      </c>
      <c r="E659" s="2">
        <v>42924</v>
      </c>
      <c r="F659" s="6">
        <v>203.79294702198968</v>
      </c>
    </row>
    <row r="660" spans="1:6">
      <c r="A660" s="1">
        <v>9123274</v>
      </c>
      <c r="B660" s="1">
        <v>0.62137078678895485</v>
      </c>
      <c r="C660" s="1">
        <v>1</v>
      </c>
      <c r="D660" s="1">
        <v>599</v>
      </c>
      <c r="E660" s="2">
        <v>43438</v>
      </c>
      <c r="F660" s="6">
        <v>117.82943385051014</v>
      </c>
    </row>
    <row r="661" spans="1:6">
      <c r="A661" s="1">
        <v>9123277</v>
      </c>
      <c r="B661" s="1">
        <v>0.49317188707874615</v>
      </c>
      <c r="C661" s="1">
        <v>1</v>
      </c>
      <c r="D661" s="1">
        <v>164</v>
      </c>
      <c r="E661" s="2">
        <v>43312</v>
      </c>
      <c r="F661" s="6">
        <v>18.334772665107401</v>
      </c>
    </row>
    <row r="662" spans="1:6">
      <c r="A662" s="1">
        <v>9123280</v>
      </c>
      <c r="B662" s="1">
        <v>0.62940797978178065</v>
      </c>
      <c r="C662" s="1">
        <v>7</v>
      </c>
      <c r="D662" s="1">
        <v>334</v>
      </c>
      <c r="E662" s="2">
        <v>43024</v>
      </c>
      <c r="F662" s="6">
        <v>103.95137568681042</v>
      </c>
    </row>
    <row r="663" spans="1:6">
      <c r="A663" s="1">
        <v>9123283</v>
      </c>
      <c r="B663" s="1">
        <v>0.30694312772521792</v>
      </c>
      <c r="C663" s="1">
        <v>2</v>
      </c>
      <c r="D663" s="1">
        <v>248</v>
      </c>
      <c r="E663" s="2">
        <v>43448</v>
      </c>
      <c r="F663" s="6">
        <v>3.5827716896859849</v>
      </c>
    </row>
    <row r="664" spans="1:6">
      <c r="A664" s="1">
        <v>9123286</v>
      </c>
      <c r="B664" s="1">
        <v>0.74969388953110649</v>
      </c>
      <c r="C664" s="1">
        <v>38</v>
      </c>
      <c r="D664" s="1">
        <v>273</v>
      </c>
      <c r="E664" s="2">
        <v>42972</v>
      </c>
      <c r="F664" s="6">
        <v>101.37754124295466</v>
      </c>
    </row>
    <row r="665" spans="1:6">
      <c r="A665" s="1">
        <v>9123289</v>
      </c>
      <c r="B665" s="1">
        <v>0.45922631614401777</v>
      </c>
      <c r="C665" s="1">
        <v>2</v>
      </c>
      <c r="D665" s="1">
        <v>510</v>
      </c>
      <c r="E665" s="2">
        <v>43151</v>
      </c>
      <c r="F665" s="6">
        <v>89.59440010140564</v>
      </c>
    </row>
    <row r="666" spans="1:6">
      <c r="A666" s="1">
        <v>9123292</v>
      </c>
      <c r="B666" s="1">
        <v>0.73056709552399568</v>
      </c>
      <c r="C666" s="1">
        <v>24</v>
      </c>
      <c r="D666" s="1">
        <v>221</v>
      </c>
      <c r="E666" s="2">
        <v>42877</v>
      </c>
      <c r="F666" s="6">
        <v>14.385752892593521</v>
      </c>
    </row>
    <row r="667" spans="1:6">
      <c r="A667" s="1">
        <v>9123295</v>
      </c>
      <c r="B667" s="1">
        <v>0.40922403483852876</v>
      </c>
      <c r="C667" s="1">
        <v>1</v>
      </c>
      <c r="D667" s="1">
        <v>84</v>
      </c>
      <c r="E667" s="2">
        <v>43125</v>
      </c>
      <c r="F667" s="6">
        <v>23.704563590112052</v>
      </c>
    </row>
    <row r="668" spans="1:6">
      <c r="A668" s="1">
        <v>9123298</v>
      </c>
      <c r="B668" s="1">
        <v>0.57572594082217698</v>
      </c>
      <c r="C668" s="1">
        <v>7</v>
      </c>
      <c r="D668" s="1">
        <v>597</v>
      </c>
      <c r="E668" s="2">
        <v>43243</v>
      </c>
      <c r="F668" s="6">
        <v>3.0437289101621241</v>
      </c>
    </row>
    <row r="669" spans="1:6">
      <c r="A669" s="1">
        <v>9123301</v>
      </c>
      <c r="B669" s="1">
        <v>0.25259565878295653</v>
      </c>
      <c r="C669" s="1">
        <v>57</v>
      </c>
      <c r="D669" s="1">
        <v>90</v>
      </c>
      <c r="E669" s="2">
        <v>43218</v>
      </c>
      <c r="F669" s="6">
        <v>53.336869960145755</v>
      </c>
    </row>
    <row r="670" spans="1:6">
      <c r="A670" s="1">
        <v>9123304</v>
      </c>
      <c r="B670" s="1">
        <v>0.7078338937143841</v>
      </c>
      <c r="C670" s="1">
        <v>1</v>
      </c>
      <c r="D670" s="1">
        <v>592</v>
      </c>
      <c r="E670" s="2">
        <v>43225</v>
      </c>
      <c r="F670" s="6">
        <v>11.195478139633588</v>
      </c>
    </row>
    <row r="671" spans="1:6">
      <c r="A671" s="1">
        <v>9123307</v>
      </c>
      <c r="B671" s="1">
        <v>0.54962858084437838</v>
      </c>
      <c r="C671" s="1">
        <v>26</v>
      </c>
      <c r="D671" s="1">
        <v>564</v>
      </c>
      <c r="E671" s="2">
        <v>43274</v>
      </c>
      <c r="F671" s="6">
        <v>22.732911164997059</v>
      </c>
    </row>
    <row r="672" spans="1:6">
      <c r="A672" s="1">
        <v>9123310</v>
      </c>
      <c r="B672" s="1">
        <v>5.2557891995668071E-2</v>
      </c>
      <c r="C672" s="1">
        <v>25</v>
      </c>
      <c r="D672" s="1">
        <v>564</v>
      </c>
      <c r="E672" s="2">
        <v>43368</v>
      </c>
      <c r="F672" s="6">
        <v>96.543364990069406</v>
      </c>
    </row>
    <row r="673" spans="1:6">
      <c r="A673" s="1">
        <v>9123313</v>
      </c>
      <c r="B673" s="1">
        <v>0.12122383235285572</v>
      </c>
      <c r="C673" s="1">
        <v>3</v>
      </c>
      <c r="D673" s="1">
        <v>568</v>
      </c>
      <c r="E673" s="2">
        <v>43451</v>
      </c>
      <c r="F673" s="6">
        <v>49.893932268445468</v>
      </c>
    </row>
    <row r="674" spans="1:6">
      <c r="A674" s="1">
        <v>9123316</v>
      </c>
      <c r="B674" s="1">
        <v>0.27148246594669034</v>
      </c>
      <c r="C674" s="1">
        <v>231</v>
      </c>
      <c r="D674" s="1">
        <v>450</v>
      </c>
      <c r="E674" s="2">
        <v>42951</v>
      </c>
      <c r="F674" s="6">
        <v>129.3419289732899</v>
      </c>
    </row>
    <row r="675" spans="1:6">
      <c r="A675" s="1">
        <v>9123319</v>
      </c>
      <c r="B675" s="1">
        <v>0.55155650768927089</v>
      </c>
      <c r="C675" s="1">
        <v>1</v>
      </c>
      <c r="D675" s="1">
        <v>514</v>
      </c>
      <c r="E675" s="2">
        <v>42796</v>
      </c>
      <c r="F675" s="6">
        <v>162.82305760139184</v>
      </c>
    </row>
    <row r="676" spans="1:6">
      <c r="A676" s="1">
        <v>9123322</v>
      </c>
      <c r="B676" s="1">
        <v>0.81047383950507323</v>
      </c>
      <c r="C676" s="1">
        <v>36</v>
      </c>
      <c r="D676" s="1">
        <v>34</v>
      </c>
      <c r="E676" s="2">
        <v>43437</v>
      </c>
      <c r="F676" s="6">
        <v>14.053117340775406</v>
      </c>
    </row>
    <row r="677" spans="1:6">
      <c r="A677" s="1">
        <v>9123325</v>
      </c>
      <c r="B677" s="1">
        <v>0.68741529506714616</v>
      </c>
      <c r="C677" s="1">
        <v>10</v>
      </c>
      <c r="D677" s="1">
        <v>358</v>
      </c>
      <c r="E677" s="2">
        <v>43356</v>
      </c>
      <c r="F677" s="6">
        <v>10.555799865054041</v>
      </c>
    </row>
    <row r="678" spans="1:6">
      <c r="A678" s="1">
        <v>9123328</v>
      </c>
      <c r="B678" s="1">
        <v>0.89125355626975644</v>
      </c>
      <c r="C678" s="1">
        <v>8</v>
      </c>
      <c r="D678" s="1">
        <v>67</v>
      </c>
      <c r="E678" s="2">
        <v>43320</v>
      </c>
      <c r="F678" s="6">
        <v>207.19402880731957</v>
      </c>
    </row>
    <row r="679" spans="1:6">
      <c r="A679" s="1">
        <v>9123331</v>
      </c>
      <c r="B679" s="1">
        <v>3.6042223681216345E-3</v>
      </c>
      <c r="C679" s="1">
        <v>6</v>
      </c>
      <c r="D679" s="1">
        <v>22</v>
      </c>
      <c r="E679" s="2">
        <v>43209</v>
      </c>
      <c r="F679" s="6">
        <v>127.8533253456775</v>
      </c>
    </row>
    <row r="680" spans="1:6">
      <c r="A680" s="1">
        <v>9123334</v>
      </c>
      <c r="B680" s="1">
        <v>4.5510953207697047E-2</v>
      </c>
      <c r="C680" s="1">
        <v>1</v>
      </c>
      <c r="D680" s="1">
        <v>492</v>
      </c>
      <c r="E680" s="2">
        <v>43208</v>
      </c>
      <c r="F680" s="6">
        <v>55.629812265555152</v>
      </c>
    </row>
    <row r="681" spans="1:6">
      <c r="A681" s="1">
        <v>9123337</v>
      </c>
      <c r="B681" s="1">
        <v>0.75017528249189536</v>
      </c>
      <c r="C681" s="1">
        <v>98</v>
      </c>
      <c r="D681" s="1">
        <v>420</v>
      </c>
      <c r="E681" s="2">
        <v>43373</v>
      </c>
      <c r="F681" s="6">
        <v>51.443084507587137</v>
      </c>
    </row>
    <row r="682" spans="1:6">
      <c r="A682" s="1">
        <v>9123340</v>
      </c>
      <c r="B682" s="1">
        <v>0.29331761492588171</v>
      </c>
      <c r="C682" s="1">
        <v>11</v>
      </c>
      <c r="D682" s="1">
        <v>258</v>
      </c>
      <c r="E682" s="2">
        <v>42751</v>
      </c>
      <c r="F682" s="6">
        <v>28.378213383071852</v>
      </c>
    </row>
    <row r="683" spans="1:6">
      <c r="A683" s="1">
        <v>9123343</v>
      </c>
      <c r="B683" s="1">
        <v>0.21941335685278607</v>
      </c>
      <c r="C683" s="1">
        <v>39</v>
      </c>
      <c r="D683" s="1">
        <v>176</v>
      </c>
      <c r="E683" s="2">
        <v>43150</v>
      </c>
      <c r="F683" s="6">
        <v>83.23886849514524</v>
      </c>
    </row>
    <row r="684" spans="1:6">
      <c r="A684" s="1">
        <v>9123346</v>
      </c>
      <c r="B684" s="1">
        <v>0.95350747934522728</v>
      </c>
      <c r="C684" s="1">
        <v>6</v>
      </c>
      <c r="D684" s="1">
        <v>184</v>
      </c>
      <c r="E684" s="2">
        <v>43150</v>
      </c>
      <c r="F684" s="6">
        <v>16.990310735052304</v>
      </c>
    </row>
    <row r="685" spans="1:6">
      <c r="A685" s="1">
        <v>9123349</v>
      </c>
      <c r="B685" s="1">
        <v>0.69405414348483097</v>
      </c>
      <c r="C685" s="1">
        <v>119</v>
      </c>
      <c r="D685" s="1">
        <v>383</v>
      </c>
      <c r="E685" s="2">
        <v>43097</v>
      </c>
      <c r="F685" s="6">
        <v>52.313359378607473</v>
      </c>
    </row>
    <row r="686" spans="1:6">
      <c r="A686" s="1">
        <v>9123352</v>
      </c>
      <c r="B686" s="1">
        <v>0.11218627076374776</v>
      </c>
      <c r="C686" s="1">
        <v>56</v>
      </c>
      <c r="D686" s="1">
        <v>176</v>
      </c>
      <c r="E686" s="2">
        <v>42799</v>
      </c>
      <c r="F686" s="6">
        <v>9.1749393174562535</v>
      </c>
    </row>
    <row r="687" spans="1:6">
      <c r="A687" s="1">
        <v>9123355</v>
      </c>
      <c r="B687" s="1">
        <v>0.80052181271044531</v>
      </c>
      <c r="C687" s="1">
        <v>36</v>
      </c>
      <c r="D687" s="1">
        <v>548</v>
      </c>
      <c r="E687" s="2">
        <v>42948</v>
      </c>
      <c r="F687" s="6">
        <v>139.84795532471193</v>
      </c>
    </row>
    <row r="688" spans="1:6">
      <c r="A688" s="1">
        <v>9123358</v>
      </c>
      <c r="B688" s="1">
        <v>0.94594877379590758</v>
      </c>
      <c r="C688" s="1">
        <v>16</v>
      </c>
      <c r="D688" s="1">
        <v>176</v>
      </c>
      <c r="E688" s="2">
        <v>43435</v>
      </c>
      <c r="F688" s="6">
        <v>162.60136560646541</v>
      </c>
    </row>
    <row r="689" spans="1:6">
      <c r="A689" s="1">
        <v>9123361</v>
      </c>
      <c r="B689" s="1">
        <v>0.43016288725150376</v>
      </c>
      <c r="C689" s="1">
        <v>79</v>
      </c>
      <c r="D689" s="1">
        <v>77</v>
      </c>
      <c r="E689" s="2">
        <v>43189</v>
      </c>
      <c r="F689" s="6">
        <v>6.3980911392754294</v>
      </c>
    </row>
    <row r="690" spans="1:6">
      <c r="A690" s="1">
        <v>9123364</v>
      </c>
      <c r="B690" s="1">
        <v>0.34828918164633693</v>
      </c>
      <c r="C690" s="1">
        <v>44</v>
      </c>
      <c r="D690" s="1">
        <v>358</v>
      </c>
      <c r="E690" s="2">
        <v>42917</v>
      </c>
      <c r="F690" s="6">
        <v>56.091670163771617</v>
      </c>
    </row>
    <row r="691" spans="1:6">
      <c r="A691" s="1">
        <v>9123367</v>
      </c>
      <c r="B691" s="1">
        <v>0.38636173109071259</v>
      </c>
      <c r="C691" s="1">
        <v>22</v>
      </c>
      <c r="D691" s="1">
        <v>334</v>
      </c>
      <c r="E691" s="2">
        <v>42881</v>
      </c>
      <c r="F691" s="6">
        <v>17.239820090334614</v>
      </c>
    </row>
    <row r="692" spans="1:6">
      <c r="A692" s="1">
        <v>9123370</v>
      </c>
      <c r="B692" s="1">
        <v>0.28316495764175209</v>
      </c>
      <c r="C692" s="1">
        <v>91</v>
      </c>
      <c r="D692" s="1">
        <v>83</v>
      </c>
      <c r="E692" s="2">
        <v>43018</v>
      </c>
      <c r="F692" s="6">
        <v>179.46767355529784</v>
      </c>
    </row>
    <row r="693" spans="1:6">
      <c r="A693" s="1">
        <v>9123373</v>
      </c>
      <c r="B693" s="1">
        <v>0.57655145711672251</v>
      </c>
      <c r="C693" s="1">
        <v>7</v>
      </c>
      <c r="D693" s="1">
        <v>448</v>
      </c>
      <c r="E693" s="2">
        <v>42997</v>
      </c>
      <c r="F693" s="6">
        <v>52.880425185433509</v>
      </c>
    </row>
    <row r="694" spans="1:6">
      <c r="A694" s="1">
        <v>9123376</v>
      </c>
      <c r="B694" s="1">
        <v>0.60893259422447499</v>
      </c>
      <c r="C694" s="1">
        <v>1</v>
      </c>
      <c r="D694" s="1">
        <v>592</v>
      </c>
      <c r="E694" s="2">
        <v>43442</v>
      </c>
      <c r="F694" s="6">
        <v>81.361365519653745</v>
      </c>
    </row>
    <row r="695" spans="1:6">
      <c r="A695" s="1">
        <v>9123379</v>
      </c>
      <c r="B695" s="1">
        <v>0.4008631296238041</v>
      </c>
      <c r="C695" s="1">
        <v>28</v>
      </c>
      <c r="D695" s="1">
        <v>495</v>
      </c>
      <c r="E695" s="2">
        <v>42763</v>
      </c>
      <c r="F695" s="6">
        <v>84.551102853923069</v>
      </c>
    </row>
    <row r="696" spans="1:6">
      <c r="A696" s="1">
        <v>9123382</v>
      </c>
      <c r="B696" s="1">
        <v>0.95739235586186167</v>
      </c>
      <c r="C696" s="1">
        <v>1</v>
      </c>
      <c r="D696" s="1">
        <v>176</v>
      </c>
      <c r="E696" s="2">
        <v>43263</v>
      </c>
      <c r="F696" s="6">
        <v>17.132782932746068</v>
      </c>
    </row>
    <row r="697" spans="1:6">
      <c r="A697" s="1">
        <v>9123385</v>
      </c>
      <c r="B697" s="1">
        <v>0.6076422561236936</v>
      </c>
      <c r="C697" s="1">
        <v>18</v>
      </c>
      <c r="D697" s="1">
        <v>494</v>
      </c>
      <c r="E697" s="2">
        <v>43088</v>
      </c>
      <c r="F697" s="6">
        <v>23.025005287456047</v>
      </c>
    </row>
    <row r="698" spans="1:6">
      <c r="A698" s="1">
        <v>9123388</v>
      </c>
      <c r="B698" s="1">
        <v>0.82706778943533199</v>
      </c>
      <c r="C698" s="1">
        <v>1</v>
      </c>
      <c r="D698" s="1">
        <v>458</v>
      </c>
      <c r="E698" s="2">
        <v>42837</v>
      </c>
      <c r="F698" s="6">
        <v>57.598014538825566</v>
      </c>
    </row>
    <row r="699" spans="1:6">
      <c r="A699" s="1">
        <v>9123391</v>
      </c>
      <c r="B699" s="1">
        <v>0.1686353749751146</v>
      </c>
      <c r="C699" s="1">
        <v>1</v>
      </c>
      <c r="D699" s="1">
        <v>458</v>
      </c>
      <c r="E699" s="2">
        <v>43154</v>
      </c>
      <c r="F699" s="6">
        <v>22.034785085754269</v>
      </c>
    </row>
    <row r="700" spans="1:6">
      <c r="A700" s="1">
        <v>9123394</v>
      </c>
      <c r="B700" s="1">
        <v>0.76496611128564029</v>
      </c>
      <c r="C700" s="1">
        <v>47</v>
      </c>
      <c r="D700" s="1">
        <v>366</v>
      </c>
      <c r="E700" s="2">
        <v>42821</v>
      </c>
      <c r="F700" s="6">
        <v>54.265175436646381</v>
      </c>
    </row>
    <row r="701" spans="1:6">
      <c r="A701" s="1">
        <v>9123397</v>
      </c>
      <c r="B701" s="1">
        <v>0.80036647375259207</v>
      </c>
      <c r="C701" s="1">
        <v>2</v>
      </c>
      <c r="D701" s="1">
        <v>176</v>
      </c>
      <c r="E701" s="2">
        <v>43237</v>
      </c>
      <c r="F701" s="6">
        <v>16.022757101048171</v>
      </c>
    </row>
    <row r="702" spans="1:6">
      <c r="A702" s="1">
        <v>9123400</v>
      </c>
      <c r="B702" s="1">
        <v>0.89622787779813418</v>
      </c>
      <c r="C702" s="1">
        <v>72</v>
      </c>
      <c r="D702" s="1">
        <v>145</v>
      </c>
      <c r="E702" s="2">
        <v>43315</v>
      </c>
      <c r="F702" s="6">
        <v>44.171230416602199</v>
      </c>
    </row>
    <row r="703" spans="1:6">
      <c r="A703" s="1">
        <v>9123403</v>
      </c>
      <c r="B703" s="1">
        <v>0.93841855106308292</v>
      </c>
      <c r="C703" s="1">
        <v>82</v>
      </c>
      <c r="D703" s="1">
        <v>258</v>
      </c>
      <c r="E703" s="2">
        <v>43463</v>
      </c>
      <c r="F703" s="6">
        <v>23.654061490559226</v>
      </c>
    </row>
    <row r="704" spans="1:6">
      <c r="A704" s="1">
        <v>9123406</v>
      </c>
      <c r="B704" s="1">
        <v>0.21321984913007797</v>
      </c>
      <c r="C704" s="1">
        <v>115</v>
      </c>
      <c r="D704" s="1">
        <v>358</v>
      </c>
      <c r="E704" s="2">
        <v>42849</v>
      </c>
      <c r="F704" s="6">
        <v>155.35053560028973</v>
      </c>
    </row>
    <row r="705" spans="1:6">
      <c r="A705" s="1">
        <v>9123409</v>
      </c>
      <c r="B705" s="1">
        <v>0.4793831925310913</v>
      </c>
      <c r="C705" s="1">
        <v>2</v>
      </c>
      <c r="D705" s="1">
        <v>492</v>
      </c>
      <c r="E705" s="2">
        <v>42921</v>
      </c>
      <c r="F705" s="6">
        <v>56.532170489615559</v>
      </c>
    </row>
    <row r="706" spans="1:6">
      <c r="A706" s="1">
        <v>9123412</v>
      </c>
      <c r="B706" s="1">
        <v>0.96792518535322281</v>
      </c>
      <c r="C706" s="1">
        <v>51</v>
      </c>
      <c r="D706" s="1">
        <v>366</v>
      </c>
      <c r="E706" s="2">
        <v>42861</v>
      </c>
      <c r="F706" s="6">
        <v>88.982935343573985</v>
      </c>
    </row>
    <row r="707" spans="1:6">
      <c r="A707" s="1">
        <v>9123415</v>
      </c>
      <c r="B707" s="1">
        <v>0.4800639815141986</v>
      </c>
      <c r="C707" s="1">
        <v>2</v>
      </c>
      <c r="D707" s="1">
        <v>572</v>
      </c>
      <c r="E707" s="2">
        <v>43028</v>
      </c>
      <c r="F707" s="6">
        <v>6.815440902929411</v>
      </c>
    </row>
    <row r="708" spans="1:6">
      <c r="A708" s="1">
        <v>9123418</v>
      </c>
      <c r="B708" s="1">
        <v>0.53391795994680136</v>
      </c>
      <c r="C708" s="1">
        <v>9</v>
      </c>
      <c r="D708" s="1">
        <v>197</v>
      </c>
      <c r="E708" s="2">
        <v>43488</v>
      </c>
      <c r="F708" s="6">
        <v>111.72459733338525</v>
      </c>
    </row>
    <row r="709" spans="1:6">
      <c r="A709" s="1">
        <v>9123421</v>
      </c>
      <c r="B709" s="1">
        <v>0.28519624001400745</v>
      </c>
      <c r="C709" s="1">
        <v>17</v>
      </c>
      <c r="D709" s="1">
        <v>575</v>
      </c>
      <c r="E709" s="2">
        <v>43047</v>
      </c>
      <c r="F709" s="6">
        <v>197.92904611422622</v>
      </c>
    </row>
    <row r="710" spans="1:6">
      <c r="A710" s="1">
        <v>9123424</v>
      </c>
      <c r="B710" s="1">
        <v>0.17031125367831368</v>
      </c>
      <c r="C710" s="1">
        <v>3</v>
      </c>
      <c r="D710" s="1">
        <v>67</v>
      </c>
      <c r="E710" s="2">
        <v>43474</v>
      </c>
      <c r="F710" s="6">
        <v>19.592861112635703</v>
      </c>
    </row>
    <row r="711" spans="1:6">
      <c r="A711" s="1">
        <v>9123427</v>
      </c>
      <c r="B711" s="1">
        <v>0.75150306349954288</v>
      </c>
      <c r="C711" s="1">
        <v>107</v>
      </c>
      <c r="D711" s="1">
        <v>359</v>
      </c>
      <c r="E711" s="2">
        <v>43016</v>
      </c>
      <c r="F711" s="6">
        <v>4.7793492697724425</v>
      </c>
    </row>
    <row r="712" spans="1:6">
      <c r="A712" s="1">
        <v>9123430</v>
      </c>
      <c r="B712" s="1">
        <v>0.67787673879203125</v>
      </c>
      <c r="C712" s="1">
        <v>51</v>
      </c>
      <c r="D712" s="1">
        <v>495</v>
      </c>
      <c r="E712" s="2">
        <v>43202</v>
      </c>
      <c r="F712" s="6">
        <v>122.12386965770042</v>
      </c>
    </row>
    <row r="713" spans="1:6">
      <c r="A713" s="1">
        <v>9123433</v>
      </c>
      <c r="B713" s="1">
        <v>0.23057356121539141</v>
      </c>
      <c r="C713" s="1">
        <v>7</v>
      </c>
      <c r="D713" s="1">
        <v>541</v>
      </c>
      <c r="E713" s="2">
        <v>42747</v>
      </c>
      <c r="F713" s="6">
        <v>10.070130280727607</v>
      </c>
    </row>
    <row r="714" spans="1:6">
      <c r="A714" s="1">
        <v>9123436</v>
      </c>
      <c r="B714" s="1">
        <v>0.30039371945627902</v>
      </c>
      <c r="C714" s="1">
        <v>33</v>
      </c>
      <c r="D714" s="1">
        <v>599</v>
      </c>
      <c r="E714" s="2">
        <v>43141</v>
      </c>
      <c r="F714" s="6">
        <v>62.548268150096042</v>
      </c>
    </row>
    <row r="715" spans="1:6">
      <c r="A715" s="1">
        <v>9123439</v>
      </c>
      <c r="B715" s="1">
        <v>0.32930694682325967</v>
      </c>
      <c r="C715" s="1">
        <v>33</v>
      </c>
      <c r="D715" s="1">
        <v>510</v>
      </c>
      <c r="E715" s="2">
        <v>42933</v>
      </c>
      <c r="F715" s="6">
        <v>139.21869017677767</v>
      </c>
    </row>
    <row r="716" spans="1:6">
      <c r="A716" s="1">
        <v>9123442</v>
      </c>
      <c r="B716" s="1">
        <v>0.5692491551548281</v>
      </c>
      <c r="C716" s="1">
        <v>31</v>
      </c>
      <c r="D716" s="1">
        <v>258</v>
      </c>
      <c r="E716" s="2">
        <v>43209</v>
      </c>
      <c r="F716" s="6">
        <v>64.176210980925163</v>
      </c>
    </row>
    <row r="717" spans="1:6">
      <c r="A717" s="1">
        <v>9123445</v>
      </c>
      <c r="B717" s="1">
        <v>0.24324316667709223</v>
      </c>
      <c r="C717" s="1">
        <v>199</v>
      </c>
      <c r="D717" s="1">
        <v>544</v>
      </c>
      <c r="E717" s="2">
        <v>42950</v>
      </c>
      <c r="F717" s="6">
        <v>26.750725249986388</v>
      </c>
    </row>
    <row r="718" spans="1:6">
      <c r="A718" s="1">
        <v>9123448</v>
      </c>
      <c r="B718" s="1">
        <v>0.44513844462275431</v>
      </c>
      <c r="C718" s="1">
        <v>8</v>
      </c>
      <c r="D718" s="1">
        <v>510</v>
      </c>
      <c r="E718" s="2">
        <v>43075</v>
      </c>
      <c r="F718" s="6">
        <v>7.208435237251817</v>
      </c>
    </row>
    <row r="719" spans="1:6">
      <c r="A719" s="1">
        <v>9123451</v>
      </c>
      <c r="B719" s="1">
        <v>0.74632244668137837</v>
      </c>
      <c r="C719" s="1">
        <v>57</v>
      </c>
      <c r="D719" s="1">
        <v>176</v>
      </c>
      <c r="E719" s="2">
        <v>43317</v>
      </c>
      <c r="F719" s="6">
        <v>58.95637055878516</v>
      </c>
    </row>
    <row r="720" spans="1:6">
      <c r="A720" s="1">
        <v>9123454</v>
      </c>
      <c r="B720" s="1">
        <v>0.73458077132365085</v>
      </c>
      <c r="C720" s="1">
        <v>83</v>
      </c>
      <c r="D720" s="1">
        <v>541</v>
      </c>
      <c r="E720" s="2">
        <v>42882</v>
      </c>
      <c r="F720" s="6">
        <v>13.708496892333722</v>
      </c>
    </row>
    <row r="721" spans="1:6">
      <c r="A721" s="1">
        <v>9123457</v>
      </c>
      <c r="B721" s="1">
        <v>0.1183789972664715</v>
      </c>
      <c r="C721" s="1">
        <v>18</v>
      </c>
      <c r="D721" s="1">
        <v>592</v>
      </c>
      <c r="E721" s="2">
        <v>42809</v>
      </c>
      <c r="F721" s="6">
        <v>112.45423289065121</v>
      </c>
    </row>
    <row r="722" spans="1:6">
      <c r="A722" s="1">
        <v>9123460</v>
      </c>
      <c r="B722" s="1">
        <v>8.2541737896569045E-2</v>
      </c>
      <c r="C722" s="1">
        <v>10</v>
      </c>
      <c r="D722" s="1">
        <v>146</v>
      </c>
      <c r="E722" s="2">
        <v>43058</v>
      </c>
      <c r="F722" s="6">
        <v>76.112810356875542</v>
      </c>
    </row>
    <row r="723" spans="1:6">
      <c r="A723" s="1">
        <v>9123463</v>
      </c>
      <c r="B723" s="1">
        <v>0.29304352422237512</v>
      </c>
      <c r="C723" s="1">
        <v>172</v>
      </c>
      <c r="D723" s="1">
        <v>478</v>
      </c>
      <c r="E723" s="2">
        <v>43185</v>
      </c>
      <c r="F723" s="6">
        <v>6.7096176346395051</v>
      </c>
    </row>
    <row r="724" spans="1:6">
      <c r="A724" s="1">
        <v>9123466</v>
      </c>
      <c r="B724" s="1">
        <v>0.42220415514528575</v>
      </c>
      <c r="C724" s="1">
        <v>154</v>
      </c>
      <c r="D724" s="1">
        <v>156</v>
      </c>
      <c r="E724" s="2">
        <v>42736</v>
      </c>
      <c r="F724" s="6">
        <v>12.218192488229992</v>
      </c>
    </row>
    <row r="725" spans="1:6">
      <c r="A725" s="1">
        <v>9123469</v>
      </c>
      <c r="B725" s="1">
        <v>0.84562940318093649</v>
      </c>
      <c r="C725" s="1">
        <v>2</v>
      </c>
      <c r="D725" s="1">
        <v>592</v>
      </c>
      <c r="E725" s="2">
        <v>42900</v>
      </c>
      <c r="F725" s="6">
        <v>104.06565904276046</v>
      </c>
    </row>
    <row r="726" spans="1:6">
      <c r="A726" s="1">
        <v>9123472</v>
      </c>
      <c r="B726" s="1">
        <v>0.47730766740644071</v>
      </c>
      <c r="C726" s="1">
        <v>9</v>
      </c>
      <c r="D726" s="1">
        <v>176</v>
      </c>
      <c r="E726" s="2">
        <v>43281</v>
      </c>
      <c r="F726" s="6">
        <v>224.30303615903716</v>
      </c>
    </row>
    <row r="727" spans="1:6">
      <c r="A727" s="1">
        <v>9123475</v>
      </c>
      <c r="B727" s="1">
        <v>4.1799476707319094E-2</v>
      </c>
      <c r="C727" s="1">
        <v>10</v>
      </c>
      <c r="D727" s="1">
        <v>176</v>
      </c>
      <c r="E727" s="2">
        <v>43142</v>
      </c>
      <c r="F727" s="6">
        <v>26.421898809862117</v>
      </c>
    </row>
    <row r="728" spans="1:6">
      <c r="A728" s="1">
        <v>9123478</v>
      </c>
      <c r="B728" s="1">
        <v>0.87755223418380568</v>
      </c>
      <c r="C728" s="1">
        <v>17</v>
      </c>
      <c r="D728" s="1">
        <v>197</v>
      </c>
      <c r="E728" s="2">
        <v>43292</v>
      </c>
      <c r="F728" s="6">
        <v>164.29985642945766</v>
      </c>
    </row>
    <row r="729" spans="1:6">
      <c r="A729" s="1">
        <v>9123481</v>
      </c>
      <c r="B729" s="1">
        <v>0.87285577793172819</v>
      </c>
      <c r="C729" s="1">
        <v>170</v>
      </c>
      <c r="D729" s="1">
        <v>458</v>
      </c>
      <c r="E729" s="2">
        <v>43487</v>
      </c>
      <c r="F729" s="6">
        <v>23.644283096111863</v>
      </c>
    </row>
    <row r="730" spans="1:6">
      <c r="A730" s="1">
        <v>9123484</v>
      </c>
      <c r="B730" s="1">
        <v>0.23474298412480954</v>
      </c>
      <c r="C730" s="1">
        <v>11</v>
      </c>
      <c r="D730" s="1">
        <v>551</v>
      </c>
      <c r="E730" s="2">
        <v>43287</v>
      </c>
      <c r="F730" s="6">
        <v>253.75089623602204</v>
      </c>
    </row>
    <row r="731" spans="1:6">
      <c r="A731" s="1">
        <v>9123487</v>
      </c>
      <c r="B731" s="1">
        <v>0.50618047165314861</v>
      </c>
      <c r="C731" s="1">
        <v>19</v>
      </c>
      <c r="D731" s="1">
        <v>393</v>
      </c>
      <c r="E731" s="2">
        <v>43235</v>
      </c>
      <c r="F731" s="6">
        <v>35.494793603973768</v>
      </c>
    </row>
    <row r="732" spans="1:6">
      <c r="A732" s="1">
        <v>9123490</v>
      </c>
      <c r="B732" s="1">
        <v>0.20221522770992928</v>
      </c>
      <c r="C732" s="1">
        <v>16</v>
      </c>
      <c r="D732" s="1">
        <v>88</v>
      </c>
      <c r="E732" s="2">
        <v>43000</v>
      </c>
      <c r="F732" s="6">
        <v>10.051998228530447</v>
      </c>
    </row>
    <row r="733" spans="1:6">
      <c r="A733" s="1">
        <v>9123493</v>
      </c>
      <c r="B733" s="1">
        <v>0.88428331769099244</v>
      </c>
      <c r="C733" s="1">
        <v>1</v>
      </c>
      <c r="D733" s="1">
        <v>88</v>
      </c>
      <c r="E733" s="2">
        <v>42904</v>
      </c>
      <c r="F733" s="6">
        <v>65.348313806638743</v>
      </c>
    </row>
    <row r="734" spans="1:6">
      <c r="A734" s="1">
        <v>9123496</v>
      </c>
      <c r="B734" s="1">
        <v>0.31845662364598515</v>
      </c>
      <c r="C734" s="1">
        <v>109</v>
      </c>
      <c r="D734" s="1">
        <v>176</v>
      </c>
      <c r="E734" s="2">
        <v>42888</v>
      </c>
      <c r="F734" s="6">
        <v>125.75430229911851</v>
      </c>
    </row>
    <row r="735" spans="1:6">
      <c r="A735" s="1">
        <v>9123499</v>
      </c>
      <c r="B735" s="1">
        <v>0.64420534697494525</v>
      </c>
      <c r="C735" s="1">
        <v>24</v>
      </c>
      <c r="D735" s="1">
        <v>564</v>
      </c>
      <c r="E735" s="2">
        <v>43420</v>
      </c>
      <c r="F735" s="6">
        <v>36.792865442231196</v>
      </c>
    </row>
    <row r="736" spans="1:6">
      <c r="A736" s="1">
        <v>9123502</v>
      </c>
      <c r="B736" s="1">
        <v>0.54786401631993409</v>
      </c>
      <c r="C736" s="1">
        <v>134</v>
      </c>
      <c r="D736" s="1">
        <v>61</v>
      </c>
      <c r="E736" s="2">
        <v>42804</v>
      </c>
      <c r="F736" s="6">
        <v>97.510946747062746</v>
      </c>
    </row>
    <row r="737" spans="1:6">
      <c r="A737" s="1">
        <v>9123505</v>
      </c>
      <c r="B737" s="1">
        <v>0.73202807912178558</v>
      </c>
      <c r="C737" s="1">
        <v>45</v>
      </c>
      <c r="D737" s="1">
        <v>263</v>
      </c>
      <c r="E737" s="2">
        <v>43257</v>
      </c>
      <c r="F737" s="6">
        <v>103.56394092566666</v>
      </c>
    </row>
    <row r="738" spans="1:6">
      <c r="A738" s="1">
        <v>9123508</v>
      </c>
      <c r="B738" s="1">
        <v>0.97857601757601986</v>
      </c>
      <c r="C738" s="1">
        <v>84</v>
      </c>
      <c r="D738" s="1">
        <v>254</v>
      </c>
      <c r="E738" s="2">
        <v>42775</v>
      </c>
      <c r="F738" s="6">
        <v>78.501136242582305</v>
      </c>
    </row>
    <row r="739" spans="1:6">
      <c r="A739" s="1">
        <v>9123511</v>
      </c>
      <c r="B739" s="1">
        <v>0.43780448794617621</v>
      </c>
      <c r="C739" s="1">
        <v>558</v>
      </c>
      <c r="D739" s="1">
        <v>176</v>
      </c>
      <c r="E739" s="2">
        <v>43026</v>
      </c>
      <c r="F739" s="6">
        <v>61.746758712105532</v>
      </c>
    </row>
    <row r="740" spans="1:6">
      <c r="A740" s="1">
        <v>9123514</v>
      </c>
      <c r="B740" s="1">
        <v>0.77465725130983676</v>
      </c>
      <c r="C740" s="1">
        <v>8</v>
      </c>
      <c r="D740" s="1">
        <v>146</v>
      </c>
      <c r="E740" s="2">
        <v>43044</v>
      </c>
      <c r="F740" s="6">
        <v>14.019974058654373</v>
      </c>
    </row>
    <row r="741" spans="1:6">
      <c r="A741" s="1">
        <v>9123517</v>
      </c>
      <c r="B741" s="1">
        <v>0.26076454552018469</v>
      </c>
      <c r="C741" s="1">
        <v>73</v>
      </c>
      <c r="D741" s="1">
        <v>510</v>
      </c>
      <c r="E741" s="2">
        <v>43341</v>
      </c>
      <c r="F741" s="6">
        <v>10.585279975803699</v>
      </c>
    </row>
    <row r="742" spans="1:6">
      <c r="A742" s="1">
        <v>9123520</v>
      </c>
      <c r="B742" s="1">
        <v>0.44872265463755701</v>
      </c>
      <c r="C742" s="1">
        <v>41</v>
      </c>
      <c r="D742" s="1">
        <v>79</v>
      </c>
      <c r="E742" s="2">
        <v>43403</v>
      </c>
      <c r="F742" s="6">
        <v>25.226069296191412</v>
      </c>
    </row>
    <row r="743" spans="1:6">
      <c r="A743" s="1">
        <v>9123523</v>
      </c>
      <c r="B743" s="1">
        <v>0.49148419526368892</v>
      </c>
      <c r="C743" s="1">
        <v>3</v>
      </c>
      <c r="D743" s="1">
        <v>589</v>
      </c>
      <c r="E743" s="2">
        <v>42901</v>
      </c>
      <c r="F743" s="6">
        <v>28.522216898216648</v>
      </c>
    </row>
    <row r="744" spans="1:6">
      <c r="A744" s="1">
        <v>9123526</v>
      </c>
      <c r="B744" s="1">
        <v>0.2026487040655407</v>
      </c>
      <c r="C744" s="1">
        <v>64</v>
      </c>
      <c r="D744" s="1">
        <v>40</v>
      </c>
      <c r="E744" s="2">
        <v>43489</v>
      </c>
      <c r="F744" s="6">
        <v>54.265892584535791</v>
      </c>
    </row>
    <row r="745" spans="1:6">
      <c r="A745" s="1">
        <v>9123529</v>
      </c>
      <c r="B745" s="1">
        <v>0.80295518351278794</v>
      </c>
      <c r="C745" s="1">
        <v>51</v>
      </c>
      <c r="D745" s="1">
        <v>393</v>
      </c>
      <c r="E745" s="2">
        <v>43023</v>
      </c>
      <c r="F745" s="6">
        <v>6.6083030232334927</v>
      </c>
    </row>
    <row r="746" spans="1:6">
      <c r="A746" s="1">
        <v>9123532</v>
      </c>
      <c r="B746" s="1">
        <v>0.41229409619459656</v>
      </c>
      <c r="C746" s="1">
        <v>131</v>
      </c>
      <c r="D746" s="1">
        <v>451</v>
      </c>
      <c r="E746" s="2">
        <v>43115</v>
      </c>
      <c r="F746" s="6">
        <v>8.9795781402185924</v>
      </c>
    </row>
    <row r="747" spans="1:6">
      <c r="A747" s="1">
        <v>9123535</v>
      </c>
      <c r="B747" s="1">
        <v>0.58349652749857128</v>
      </c>
      <c r="C747" s="1">
        <v>60</v>
      </c>
      <c r="D747" s="1">
        <v>510</v>
      </c>
      <c r="E747" s="2">
        <v>43225</v>
      </c>
      <c r="F747" s="6">
        <v>226.64726178797244</v>
      </c>
    </row>
    <row r="748" spans="1:6">
      <c r="A748" s="1">
        <v>9123538</v>
      </c>
      <c r="B748" s="1">
        <v>6.2244899385853758E-2</v>
      </c>
      <c r="C748" s="1">
        <v>25</v>
      </c>
      <c r="D748" s="1">
        <v>176</v>
      </c>
      <c r="E748" s="2">
        <v>43091</v>
      </c>
      <c r="F748" s="6">
        <v>90.668109126691249</v>
      </c>
    </row>
    <row r="749" spans="1:6">
      <c r="A749" s="1">
        <v>9123541</v>
      </c>
      <c r="B749" s="1">
        <v>0.59454086247407589</v>
      </c>
      <c r="C749" s="1">
        <v>52</v>
      </c>
      <c r="D749" s="1">
        <v>359</v>
      </c>
      <c r="E749" s="2">
        <v>42991</v>
      </c>
      <c r="F749" s="6">
        <v>56.935160369704036</v>
      </c>
    </row>
    <row r="750" spans="1:6">
      <c r="A750" s="1">
        <v>9123544</v>
      </c>
      <c r="B750" s="1">
        <v>0.20903903225777964</v>
      </c>
      <c r="C750" s="1">
        <v>10</v>
      </c>
      <c r="D750" s="1">
        <v>47</v>
      </c>
      <c r="E750" s="2">
        <v>43185</v>
      </c>
      <c r="F750" s="6">
        <v>20.855443101730131</v>
      </c>
    </row>
    <row r="751" spans="1:6">
      <c r="A751" s="1">
        <v>9123547</v>
      </c>
      <c r="B751" s="1">
        <v>0.97622425493364129</v>
      </c>
      <c r="C751" s="1">
        <v>43</v>
      </c>
      <c r="D751" s="1">
        <v>176</v>
      </c>
      <c r="E751" s="2">
        <v>43092</v>
      </c>
      <c r="F751" s="6">
        <v>50.230785635324679</v>
      </c>
    </row>
    <row r="752" spans="1:6">
      <c r="A752" s="1">
        <v>9123550</v>
      </c>
      <c r="B752" s="1">
        <v>0.7200008478617923</v>
      </c>
      <c r="C752" s="1">
        <v>6</v>
      </c>
      <c r="D752" s="1">
        <v>564</v>
      </c>
      <c r="E752" s="2">
        <v>43245</v>
      </c>
      <c r="F752" s="6">
        <v>17.44468915963521</v>
      </c>
    </row>
    <row r="753" spans="1:6">
      <c r="A753" s="1">
        <v>9123553</v>
      </c>
      <c r="B753" s="1">
        <v>0.25885176644370655</v>
      </c>
      <c r="C753" s="1">
        <v>17</v>
      </c>
      <c r="D753" s="1">
        <v>471</v>
      </c>
      <c r="E753" s="2">
        <v>43287</v>
      </c>
      <c r="F753" s="6">
        <v>7.646833645911058</v>
      </c>
    </row>
    <row r="754" spans="1:6">
      <c r="A754" s="1">
        <v>9123556</v>
      </c>
      <c r="B754" s="1">
        <v>0.97979052483915552</v>
      </c>
      <c r="C754" s="1">
        <v>9</v>
      </c>
      <c r="D754" s="1">
        <v>319</v>
      </c>
      <c r="E754" s="2">
        <v>43437</v>
      </c>
      <c r="F754" s="6">
        <v>31.011324256462011</v>
      </c>
    </row>
    <row r="755" spans="1:6">
      <c r="A755" s="1">
        <v>9123559</v>
      </c>
      <c r="B755" s="1">
        <v>0.37076857734316626</v>
      </c>
      <c r="C755" s="1">
        <v>140</v>
      </c>
      <c r="D755" s="1">
        <v>329</v>
      </c>
      <c r="E755" s="2">
        <v>43386</v>
      </c>
      <c r="F755" s="6">
        <v>43.874115936234539</v>
      </c>
    </row>
    <row r="756" spans="1:6">
      <c r="A756" s="1">
        <v>9123562</v>
      </c>
      <c r="B756" s="1">
        <v>0.90809659021473055</v>
      </c>
      <c r="C756" s="1">
        <v>16</v>
      </c>
      <c r="D756" s="1">
        <v>176</v>
      </c>
      <c r="E756" s="2">
        <v>43134</v>
      </c>
      <c r="F756" s="6">
        <v>42.887920329073658</v>
      </c>
    </row>
    <row r="757" spans="1:6">
      <c r="A757" s="1">
        <v>9123565</v>
      </c>
      <c r="B757" s="1">
        <v>0.57676529484031425</v>
      </c>
      <c r="C757" s="1">
        <v>28</v>
      </c>
      <c r="D757" s="1">
        <v>564</v>
      </c>
      <c r="E757" s="2">
        <v>42831</v>
      </c>
      <c r="F757" s="6">
        <v>44.656925767065971</v>
      </c>
    </row>
    <row r="758" spans="1:6">
      <c r="A758" s="1">
        <v>9123568</v>
      </c>
      <c r="B758" s="1">
        <v>0.48228311946451252</v>
      </c>
      <c r="C758" s="1">
        <v>47</v>
      </c>
      <c r="D758" s="1">
        <v>541</v>
      </c>
      <c r="E758" s="2">
        <v>43089</v>
      </c>
      <c r="F758" s="6">
        <v>55.346508742695121</v>
      </c>
    </row>
    <row r="759" spans="1:6">
      <c r="A759" s="1">
        <v>9123571</v>
      </c>
      <c r="B759" s="1">
        <v>0.67566330183015544</v>
      </c>
      <c r="C759" s="1">
        <v>128</v>
      </c>
      <c r="D759" s="1">
        <v>326</v>
      </c>
      <c r="E759" s="2">
        <v>42777</v>
      </c>
      <c r="F759" s="6">
        <v>31.553888292859675</v>
      </c>
    </row>
    <row r="760" spans="1:6">
      <c r="A760" s="1">
        <v>9123574</v>
      </c>
      <c r="B760" s="1">
        <v>0.56840500772225244</v>
      </c>
      <c r="C760" s="1">
        <v>66</v>
      </c>
      <c r="D760" s="1">
        <v>258</v>
      </c>
      <c r="E760" s="2">
        <v>43417</v>
      </c>
      <c r="F760" s="6">
        <v>8.6018472250606521</v>
      </c>
    </row>
    <row r="761" spans="1:6">
      <c r="A761" s="1">
        <v>9123577</v>
      </c>
      <c r="B761" s="1">
        <v>0.2817226710502504</v>
      </c>
      <c r="C761" s="1">
        <v>284</v>
      </c>
      <c r="D761" s="1">
        <v>176</v>
      </c>
      <c r="E761" s="2">
        <v>42875</v>
      </c>
      <c r="F761" s="6">
        <v>12.998864900539537</v>
      </c>
    </row>
    <row r="762" spans="1:6">
      <c r="A762" s="1">
        <v>9123580</v>
      </c>
      <c r="B762" s="1">
        <v>0.87543791095273849</v>
      </c>
      <c r="C762" s="1">
        <v>93</v>
      </c>
      <c r="D762" s="1">
        <v>149</v>
      </c>
      <c r="E762" s="2">
        <v>42909</v>
      </c>
      <c r="F762" s="6">
        <v>34.803012458785986</v>
      </c>
    </row>
    <row r="763" spans="1:6">
      <c r="A763" s="1">
        <v>9123583</v>
      </c>
      <c r="B763" s="1">
        <v>0.72193196628076683</v>
      </c>
      <c r="C763" s="1">
        <v>55</v>
      </c>
      <c r="D763" s="1">
        <v>597</v>
      </c>
      <c r="E763" s="2">
        <v>42824</v>
      </c>
      <c r="F763" s="6">
        <v>97.088689369050655</v>
      </c>
    </row>
    <row r="764" spans="1:6">
      <c r="A764" s="1">
        <v>9123586</v>
      </c>
      <c r="B764" s="1">
        <v>0.96725562167422174</v>
      </c>
      <c r="C764" s="1">
        <v>5</v>
      </c>
      <c r="D764" s="1">
        <v>44</v>
      </c>
      <c r="E764" s="2">
        <v>43187</v>
      </c>
      <c r="F764" s="6">
        <v>4.5006649506747163</v>
      </c>
    </row>
    <row r="765" spans="1:6">
      <c r="A765" s="1">
        <v>9123589</v>
      </c>
      <c r="B765" s="1">
        <v>0.55851906864354972</v>
      </c>
      <c r="C765" s="1">
        <v>189</v>
      </c>
      <c r="D765" s="1">
        <v>562</v>
      </c>
      <c r="E765" s="2">
        <v>42771</v>
      </c>
      <c r="F765" s="6">
        <v>31.512334324045774</v>
      </c>
    </row>
    <row r="766" spans="1:6">
      <c r="A766" s="1">
        <v>9123592</v>
      </c>
      <c r="B766" s="1">
        <v>0.46270532831120081</v>
      </c>
      <c r="C766" s="1">
        <v>9</v>
      </c>
      <c r="D766" s="1">
        <v>359</v>
      </c>
      <c r="E766" s="2">
        <v>42946</v>
      </c>
      <c r="F766" s="6">
        <v>36.109901627619251</v>
      </c>
    </row>
    <row r="767" spans="1:6">
      <c r="A767" s="1">
        <v>9123595</v>
      </c>
      <c r="B767" s="1">
        <v>0.56513248654139692</v>
      </c>
      <c r="C767" s="1">
        <v>5</v>
      </c>
      <c r="D767" s="1">
        <v>51</v>
      </c>
      <c r="E767" s="2">
        <v>43117</v>
      </c>
      <c r="F767" s="6">
        <v>114.08839705430398</v>
      </c>
    </row>
    <row r="768" spans="1:6">
      <c r="A768" s="1">
        <v>9123598</v>
      </c>
      <c r="B768" s="1">
        <v>0.46558042113395204</v>
      </c>
      <c r="C768" s="1">
        <v>22</v>
      </c>
      <c r="D768" s="1">
        <v>510</v>
      </c>
      <c r="E768" s="2">
        <v>43138</v>
      </c>
      <c r="F768" s="6">
        <v>18.629215077059413</v>
      </c>
    </row>
    <row r="769" spans="1:6">
      <c r="A769" s="1">
        <v>9123601</v>
      </c>
      <c r="B769" s="1">
        <v>0.80295575705608035</v>
      </c>
      <c r="C769" s="1">
        <v>24</v>
      </c>
      <c r="D769" s="1">
        <v>591</v>
      </c>
      <c r="E769" s="2">
        <v>42973</v>
      </c>
      <c r="F769" s="6">
        <v>38.688035609381799</v>
      </c>
    </row>
    <row r="770" spans="1:6">
      <c r="A770" s="1">
        <v>9123604</v>
      </c>
      <c r="B770" s="1">
        <v>0.50362129866612881</v>
      </c>
      <c r="C770" s="1">
        <v>1</v>
      </c>
      <c r="D770" s="1">
        <v>47</v>
      </c>
      <c r="E770" s="2">
        <v>42770</v>
      </c>
      <c r="F770" s="6">
        <v>91.980163548076405</v>
      </c>
    </row>
    <row r="771" spans="1:6">
      <c r="A771" s="1">
        <v>9123607</v>
      </c>
      <c r="B771" s="1">
        <v>0.69306373908383823</v>
      </c>
      <c r="C771" s="1">
        <v>4</v>
      </c>
      <c r="D771" s="1">
        <v>248</v>
      </c>
      <c r="E771" s="2">
        <v>43154</v>
      </c>
      <c r="F771" s="6">
        <v>4.2994415626570159</v>
      </c>
    </row>
    <row r="772" spans="1:6">
      <c r="A772" s="1">
        <v>9123610</v>
      </c>
      <c r="B772" s="1">
        <v>0.60500415507505556</v>
      </c>
      <c r="C772" s="1">
        <v>241</v>
      </c>
      <c r="D772" s="1">
        <v>468</v>
      </c>
      <c r="E772" s="2">
        <v>42827</v>
      </c>
      <c r="F772" s="6">
        <v>42.39697617653696</v>
      </c>
    </row>
    <row r="773" spans="1:6">
      <c r="A773" s="1">
        <v>9123613</v>
      </c>
      <c r="B773" s="1">
        <v>0.77037005128347547</v>
      </c>
      <c r="C773" s="1">
        <v>28</v>
      </c>
      <c r="D773" s="1">
        <v>88</v>
      </c>
      <c r="E773" s="2">
        <v>43321</v>
      </c>
      <c r="F773" s="6">
        <v>3.4940072290939477</v>
      </c>
    </row>
    <row r="774" spans="1:6">
      <c r="A774" s="1">
        <v>9123616</v>
      </c>
      <c r="B774" s="1">
        <v>0.24542045894584863</v>
      </c>
      <c r="C774" s="1">
        <v>89</v>
      </c>
      <c r="D774" s="1">
        <v>541</v>
      </c>
      <c r="E774" s="2">
        <v>43194</v>
      </c>
      <c r="F774" s="6">
        <v>19.076893260049893</v>
      </c>
    </row>
    <row r="775" spans="1:6">
      <c r="A775" s="1">
        <v>9123619</v>
      </c>
      <c r="B775" s="1">
        <v>0.63157143719855613</v>
      </c>
      <c r="C775" s="1">
        <v>3</v>
      </c>
      <c r="D775" s="1">
        <v>564</v>
      </c>
      <c r="E775" s="2">
        <v>43203</v>
      </c>
      <c r="F775" s="6">
        <v>200.05544255673658</v>
      </c>
    </row>
    <row r="776" spans="1:6">
      <c r="A776" s="1">
        <v>9123622</v>
      </c>
      <c r="B776" s="1">
        <v>0.66918918149041728</v>
      </c>
      <c r="C776" s="1">
        <v>10</v>
      </c>
      <c r="D776" s="1">
        <v>12</v>
      </c>
      <c r="E776" s="2">
        <v>43012</v>
      </c>
      <c r="F776" s="6">
        <v>50.553328683352348</v>
      </c>
    </row>
    <row r="777" spans="1:6">
      <c r="A777" s="1">
        <v>9123625</v>
      </c>
      <c r="B777" s="1">
        <v>0.64408290747109997</v>
      </c>
      <c r="C777" s="1">
        <v>17</v>
      </c>
      <c r="D777" s="1">
        <v>7</v>
      </c>
      <c r="E777" s="2">
        <v>42953</v>
      </c>
      <c r="F777" s="6">
        <v>11.527381857219156</v>
      </c>
    </row>
    <row r="778" spans="1:6">
      <c r="A778" s="1">
        <v>9123628</v>
      </c>
      <c r="B778" s="1">
        <v>0.14043065415372391</v>
      </c>
      <c r="C778" s="1">
        <v>126</v>
      </c>
      <c r="D778" s="1">
        <v>572</v>
      </c>
      <c r="E778" s="2">
        <v>43091</v>
      </c>
      <c r="F778" s="6">
        <v>176.39132026990319</v>
      </c>
    </row>
    <row r="779" spans="1:6">
      <c r="A779" s="1">
        <v>9123631</v>
      </c>
      <c r="B779" s="1">
        <v>0.28682735734687559</v>
      </c>
      <c r="C779" s="1">
        <v>31</v>
      </c>
      <c r="D779" s="1">
        <v>47</v>
      </c>
      <c r="E779" s="2">
        <v>43226</v>
      </c>
      <c r="F779" s="6">
        <v>25.955821803929499</v>
      </c>
    </row>
    <row r="780" spans="1:6">
      <c r="A780" s="1">
        <v>9123634</v>
      </c>
      <c r="B780" s="1">
        <v>0.61039732000686553</v>
      </c>
      <c r="C780" s="1">
        <v>23</v>
      </c>
      <c r="D780" s="1">
        <v>592</v>
      </c>
      <c r="E780" s="2">
        <v>43079</v>
      </c>
      <c r="F780" s="6">
        <v>38.339063204288472</v>
      </c>
    </row>
    <row r="781" spans="1:6">
      <c r="A781" s="1">
        <v>9123637</v>
      </c>
      <c r="B781" s="1">
        <v>0.69247841097845197</v>
      </c>
      <c r="C781" s="1">
        <v>1</v>
      </c>
      <c r="D781" s="1">
        <v>190</v>
      </c>
      <c r="E781" s="2">
        <v>43140</v>
      </c>
      <c r="F781" s="6">
        <v>13.141412466929008</v>
      </c>
    </row>
    <row r="782" spans="1:6">
      <c r="A782" s="1">
        <v>9123640</v>
      </c>
      <c r="B782" s="1">
        <v>0.90023422731281655</v>
      </c>
      <c r="C782" s="1">
        <v>69</v>
      </c>
      <c r="D782" s="1">
        <v>216</v>
      </c>
      <c r="E782" s="2">
        <v>43337</v>
      </c>
      <c r="F782" s="6">
        <v>10.347770797333663</v>
      </c>
    </row>
    <row r="783" spans="1:6">
      <c r="A783" s="1">
        <v>9123643</v>
      </c>
      <c r="B783" s="1">
        <v>0.15132728072965063</v>
      </c>
      <c r="C783" s="1">
        <v>32</v>
      </c>
      <c r="D783" s="1">
        <v>394</v>
      </c>
      <c r="E783" s="2">
        <v>42865</v>
      </c>
      <c r="F783" s="6">
        <v>83.264319047151375</v>
      </c>
    </row>
    <row r="784" spans="1:6">
      <c r="A784" s="1">
        <v>9123646</v>
      </c>
      <c r="B784" s="1">
        <v>9.6602016795144796E-2</v>
      </c>
      <c r="C784" s="1">
        <v>59</v>
      </c>
      <c r="D784" s="1">
        <v>495</v>
      </c>
      <c r="E784" s="2">
        <v>43318</v>
      </c>
      <c r="F784" s="6">
        <v>11.831563114065489</v>
      </c>
    </row>
    <row r="785" spans="1:6">
      <c r="A785" s="1">
        <v>9123649</v>
      </c>
      <c r="B785" s="1">
        <v>0.982870717914897</v>
      </c>
      <c r="C785" s="1">
        <v>1</v>
      </c>
      <c r="D785" s="1">
        <v>564</v>
      </c>
      <c r="E785" s="2">
        <v>42896</v>
      </c>
      <c r="F785" s="6">
        <v>266.20533555955348</v>
      </c>
    </row>
    <row r="786" spans="1:6">
      <c r="A786" s="1">
        <v>9123652</v>
      </c>
      <c r="B786" s="1">
        <v>0.51316356122065587</v>
      </c>
      <c r="C786" s="1">
        <v>6</v>
      </c>
      <c r="D786" s="1">
        <v>225</v>
      </c>
      <c r="E786" s="2">
        <v>42746</v>
      </c>
      <c r="F786" s="6">
        <v>12.169372616661322</v>
      </c>
    </row>
    <row r="787" spans="1:6">
      <c r="A787" s="1">
        <v>9123655</v>
      </c>
      <c r="B787" s="1">
        <v>0.72252220072805073</v>
      </c>
      <c r="C787" s="1">
        <v>30</v>
      </c>
      <c r="D787" s="1">
        <v>145</v>
      </c>
      <c r="E787" s="2">
        <v>43356</v>
      </c>
      <c r="F787" s="6">
        <v>9.5110475947541957</v>
      </c>
    </row>
    <row r="788" spans="1:6">
      <c r="A788" s="1">
        <v>9123658</v>
      </c>
      <c r="B788" s="1">
        <v>0.93463732112950526</v>
      </c>
      <c r="C788" s="1">
        <v>7</v>
      </c>
      <c r="D788" s="1">
        <v>200</v>
      </c>
      <c r="E788" s="2">
        <v>43405</v>
      </c>
      <c r="F788" s="6">
        <v>12.394279825535689</v>
      </c>
    </row>
    <row r="789" spans="1:6">
      <c r="A789" s="1">
        <v>9123661</v>
      </c>
      <c r="B789" s="1">
        <v>8.9013840275308675E-2</v>
      </c>
      <c r="C789" s="1">
        <v>26</v>
      </c>
      <c r="D789" s="1">
        <v>40</v>
      </c>
      <c r="E789" s="2">
        <v>43189</v>
      </c>
      <c r="F789" s="6">
        <v>18.324173607525658</v>
      </c>
    </row>
    <row r="790" spans="1:6">
      <c r="A790" s="1">
        <v>9123664</v>
      </c>
      <c r="B790" s="1">
        <v>0.40145774752679853</v>
      </c>
      <c r="C790" s="1">
        <v>55</v>
      </c>
      <c r="D790" s="1">
        <v>176</v>
      </c>
      <c r="E790" s="2">
        <v>43108</v>
      </c>
      <c r="F790" s="6">
        <v>466.87703452724026</v>
      </c>
    </row>
    <row r="791" spans="1:6">
      <c r="A791" s="1">
        <v>9123667</v>
      </c>
      <c r="B791" s="1">
        <v>0.65428344891571855</v>
      </c>
      <c r="C791" s="1">
        <v>45</v>
      </c>
      <c r="D791" s="1">
        <v>564</v>
      </c>
      <c r="E791" s="2">
        <v>43053</v>
      </c>
      <c r="F791" s="6">
        <v>160.45472204346714</v>
      </c>
    </row>
    <row r="792" spans="1:6">
      <c r="A792" s="1">
        <v>9123670</v>
      </c>
      <c r="B792" s="1">
        <v>0.86409202631632887</v>
      </c>
      <c r="C792" s="1">
        <v>3</v>
      </c>
      <c r="D792" s="1">
        <v>592</v>
      </c>
      <c r="E792" s="2">
        <v>42929</v>
      </c>
      <c r="F792" s="6">
        <v>12.005557151761057</v>
      </c>
    </row>
    <row r="793" spans="1:6">
      <c r="A793" s="1">
        <v>9123673</v>
      </c>
      <c r="B793" s="1">
        <v>0.50920956401406625</v>
      </c>
      <c r="C793" s="1">
        <v>36</v>
      </c>
      <c r="D793" s="1">
        <v>13</v>
      </c>
      <c r="E793" s="2">
        <v>43494</v>
      </c>
      <c r="F793" s="6">
        <v>266.35878672360053</v>
      </c>
    </row>
    <row r="794" spans="1:6">
      <c r="A794" s="1">
        <v>9123676</v>
      </c>
      <c r="B794" s="1">
        <v>0.39433060412314058</v>
      </c>
      <c r="C794" s="1">
        <v>106</v>
      </c>
      <c r="D794" s="1">
        <v>420</v>
      </c>
      <c r="E794" s="2">
        <v>43032</v>
      </c>
      <c r="F794" s="6">
        <v>15.066835161591095</v>
      </c>
    </row>
    <row r="795" spans="1:6">
      <c r="A795" s="1">
        <v>9123679</v>
      </c>
      <c r="B795" s="1">
        <v>0.11650184572241462</v>
      </c>
      <c r="C795" s="1">
        <v>91</v>
      </c>
      <c r="D795" s="1">
        <v>235</v>
      </c>
      <c r="E795" s="2">
        <v>43227</v>
      </c>
      <c r="F795" s="6">
        <v>102.07482159449114</v>
      </c>
    </row>
    <row r="796" spans="1:6">
      <c r="A796" s="1">
        <v>9123682</v>
      </c>
      <c r="B796" s="1">
        <v>0.25281771226169403</v>
      </c>
      <c r="C796" s="1">
        <v>173</v>
      </c>
      <c r="D796" s="1">
        <v>359</v>
      </c>
      <c r="E796" s="2">
        <v>43301</v>
      </c>
      <c r="F796" s="6">
        <v>6.7530865032709029</v>
      </c>
    </row>
    <row r="797" spans="1:6">
      <c r="A797" s="1">
        <v>9123685</v>
      </c>
      <c r="B797" s="1">
        <v>0.33985443309147589</v>
      </c>
      <c r="C797" s="1">
        <v>2</v>
      </c>
      <c r="D797" s="1">
        <v>29</v>
      </c>
      <c r="E797" s="2">
        <v>42943</v>
      </c>
      <c r="F797" s="6">
        <v>88.992803491862162</v>
      </c>
    </row>
    <row r="798" spans="1:6">
      <c r="A798" s="1">
        <v>9123688</v>
      </c>
      <c r="B798" s="1">
        <v>9.7577143496655805E-2</v>
      </c>
      <c r="C798" s="1">
        <v>2</v>
      </c>
      <c r="D798" s="1">
        <v>145</v>
      </c>
      <c r="E798" s="2">
        <v>43171</v>
      </c>
      <c r="F798" s="6">
        <v>133.58287757635014</v>
      </c>
    </row>
    <row r="799" spans="1:6">
      <c r="A799" s="1">
        <v>9123691</v>
      </c>
      <c r="B799" s="1">
        <v>0.87159417071953038</v>
      </c>
      <c r="C799" s="1">
        <v>9</v>
      </c>
      <c r="D799" s="1">
        <v>197</v>
      </c>
      <c r="E799" s="2">
        <v>43236</v>
      </c>
      <c r="F799" s="6">
        <v>11.021748482187107</v>
      </c>
    </row>
    <row r="800" spans="1:6">
      <c r="A800" s="1">
        <v>9123694</v>
      </c>
      <c r="B800" s="1">
        <v>0.50962310194420335</v>
      </c>
      <c r="C800" s="1">
        <v>23</v>
      </c>
      <c r="D800" s="1">
        <v>103</v>
      </c>
      <c r="E800" s="2">
        <v>43288</v>
      </c>
      <c r="F800" s="6">
        <v>5.2573596891459289</v>
      </c>
    </row>
    <row r="801" spans="1:6">
      <c r="A801" s="1">
        <v>9123697</v>
      </c>
      <c r="B801" s="1">
        <v>0.12403411407147735</v>
      </c>
      <c r="C801" s="1">
        <v>7</v>
      </c>
      <c r="D801" s="1">
        <v>215</v>
      </c>
      <c r="E801" s="2">
        <v>43441</v>
      </c>
      <c r="F801" s="6">
        <v>198.67759975245815</v>
      </c>
    </row>
    <row r="802" spans="1:6">
      <c r="A802" s="1">
        <v>9123700</v>
      </c>
      <c r="B802" s="1">
        <v>0.94621991195634936</v>
      </c>
      <c r="C802" s="1">
        <v>1</v>
      </c>
      <c r="D802" s="1">
        <v>149</v>
      </c>
      <c r="E802" s="2">
        <v>42841</v>
      </c>
      <c r="F802" s="6">
        <v>8.71393580701851</v>
      </c>
    </row>
    <row r="803" spans="1:6">
      <c r="A803" s="1">
        <v>9123703</v>
      </c>
      <c r="B803" s="1">
        <v>0.55307980996389783</v>
      </c>
      <c r="C803" s="1">
        <v>1</v>
      </c>
      <c r="D803" s="1">
        <v>115</v>
      </c>
      <c r="E803" s="2">
        <v>42930</v>
      </c>
      <c r="F803" s="6">
        <v>3.4414837433385421</v>
      </c>
    </row>
    <row r="804" spans="1:6">
      <c r="A804" s="1">
        <v>9123706</v>
      </c>
      <c r="B804" s="1">
        <v>0.5685632060845226</v>
      </c>
      <c r="C804" s="1">
        <v>83</v>
      </c>
      <c r="D804" s="1">
        <v>176</v>
      </c>
      <c r="E804" s="2">
        <v>43047</v>
      </c>
      <c r="F804" s="6">
        <v>13.076004963645204</v>
      </c>
    </row>
    <row r="805" spans="1:6">
      <c r="A805" s="1">
        <v>9123709</v>
      </c>
      <c r="B805" s="1">
        <v>0.31953600146848282</v>
      </c>
      <c r="C805" s="1">
        <v>2</v>
      </c>
      <c r="D805" s="1">
        <v>12</v>
      </c>
      <c r="E805" s="2">
        <v>42990</v>
      </c>
      <c r="F805" s="6">
        <v>13.486637223997095</v>
      </c>
    </row>
    <row r="806" spans="1:6">
      <c r="A806" s="1">
        <v>9123712</v>
      </c>
      <c r="B806" s="1">
        <v>0.45188601278229945</v>
      </c>
      <c r="C806" s="1">
        <v>161</v>
      </c>
      <c r="D806" s="1">
        <v>258</v>
      </c>
      <c r="E806" s="2">
        <v>43178</v>
      </c>
      <c r="F806" s="6">
        <v>33.28931470358188</v>
      </c>
    </row>
    <row r="807" spans="1:6">
      <c r="A807" s="1">
        <v>9123715</v>
      </c>
      <c r="B807" s="1">
        <v>0.64112443583622458</v>
      </c>
      <c r="C807" s="1">
        <v>87</v>
      </c>
      <c r="D807" s="1">
        <v>146</v>
      </c>
      <c r="E807" s="2">
        <v>42828</v>
      </c>
      <c r="F807" s="6">
        <v>6.8382467997926053</v>
      </c>
    </row>
    <row r="808" spans="1:6">
      <c r="A808" s="1">
        <v>9123718</v>
      </c>
      <c r="B808" s="1">
        <v>6.166353073841857E-2</v>
      </c>
      <c r="C808" s="1">
        <v>48</v>
      </c>
      <c r="D808" s="1">
        <v>391</v>
      </c>
      <c r="E808" s="2">
        <v>43247</v>
      </c>
      <c r="F808" s="6">
        <v>20.180636752608343</v>
      </c>
    </row>
    <row r="809" spans="1:6">
      <c r="A809" s="1">
        <v>9123721</v>
      </c>
      <c r="B809" s="1">
        <v>0.38617414848037079</v>
      </c>
      <c r="C809" s="1">
        <v>58</v>
      </c>
      <c r="D809" s="1">
        <v>182</v>
      </c>
      <c r="E809" s="2">
        <v>43103</v>
      </c>
      <c r="F809" s="6">
        <v>5.9311313385102933</v>
      </c>
    </row>
    <row r="810" spans="1:6">
      <c r="A810" s="1">
        <v>9123724</v>
      </c>
      <c r="B810" s="1">
        <v>0.43271933739362023</v>
      </c>
      <c r="C810" s="1">
        <v>3</v>
      </c>
      <c r="D810" s="1">
        <v>146</v>
      </c>
      <c r="E810" s="2">
        <v>42836</v>
      </c>
      <c r="F810" s="6">
        <v>51.247076344135294</v>
      </c>
    </row>
    <row r="811" spans="1:6">
      <c r="A811" s="1">
        <v>9123727</v>
      </c>
      <c r="B811" s="1">
        <v>0.11322755045281119</v>
      </c>
      <c r="C811" s="1">
        <v>37</v>
      </c>
      <c r="D811" s="1">
        <v>575</v>
      </c>
      <c r="E811" s="2">
        <v>42932</v>
      </c>
      <c r="F811" s="6">
        <v>127.69019045461447</v>
      </c>
    </row>
    <row r="812" spans="1:6">
      <c r="A812" s="1">
        <v>9123730</v>
      </c>
      <c r="B812" s="1">
        <v>0.22910442360424021</v>
      </c>
      <c r="C812" s="1">
        <v>185</v>
      </c>
      <c r="D812" s="1">
        <v>492</v>
      </c>
      <c r="E812" s="2">
        <v>43005</v>
      </c>
      <c r="F812" s="6">
        <v>42.512958154754365</v>
      </c>
    </row>
    <row r="813" spans="1:6">
      <c r="A813" s="1">
        <v>9123733</v>
      </c>
      <c r="B813" s="1">
        <v>0.72717122395988865</v>
      </c>
      <c r="C813" s="1">
        <v>101</v>
      </c>
      <c r="D813" s="1">
        <v>258</v>
      </c>
      <c r="E813" s="2">
        <v>43317</v>
      </c>
      <c r="F813" s="6">
        <v>4.2751639859247126</v>
      </c>
    </row>
    <row r="814" spans="1:6">
      <c r="A814" s="1">
        <v>9123736</v>
      </c>
      <c r="B814" s="1">
        <v>0.38241583468123486</v>
      </c>
      <c r="C814" s="1">
        <v>1</v>
      </c>
      <c r="D814" s="1">
        <v>182</v>
      </c>
      <c r="E814" s="2">
        <v>43135</v>
      </c>
      <c r="F814" s="6">
        <v>26.331699859689749</v>
      </c>
    </row>
    <row r="815" spans="1:6">
      <c r="A815" s="1">
        <v>9123739</v>
      </c>
      <c r="B815" s="1">
        <v>0.48533403933185038</v>
      </c>
      <c r="C815" s="1">
        <v>1</v>
      </c>
      <c r="D815" s="1">
        <v>451</v>
      </c>
      <c r="E815" s="2">
        <v>42972</v>
      </c>
      <c r="F815" s="6">
        <v>5.1071958632882577</v>
      </c>
    </row>
    <row r="816" spans="1:6">
      <c r="A816" s="1">
        <v>9123742</v>
      </c>
      <c r="B816" s="1">
        <v>0.8860312413501108</v>
      </c>
      <c r="C816" s="1">
        <v>87</v>
      </c>
      <c r="D816" s="1">
        <v>510</v>
      </c>
      <c r="E816" s="2">
        <v>43269</v>
      </c>
      <c r="F816" s="6">
        <v>247.6462809488049</v>
      </c>
    </row>
    <row r="817" spans="1:6">
      <c r="A817" s="1">
        <v>9123745</v>
      </c>
      <c r="B817" s="1">
        <v>0.64362264499152688</v>
      </c>
      <c r="C817" s="1">
        <v>13</v>
      </c>
      <c r="D817" s="1">
        <v>510</v>
      </c>
      <c r="E817" s="2">
        <v>42818</v>
      </c>
      <c r="F817" s="6">
        <v>277.30755802294124</v>
      </c>
    </row>
    <row r="818" spans="1:6">
      <c r="A818" s="1">
        <v>9123748</v>
      </c>
      <c r="B818" s="1">
        <v>0.54181502158830097</v>
      </c>
      <c r="C818" s="1">
        <v>1</v>
      </c>
      <c r="D818" s="1">
        <v>487</v>
      </c>
      <c r="E818" s="2">
        <v>42747</v>
      </c>
      <c r="F818" s="6">
        <v>39.332675617695578</v>
      </c>
    </row>
    <row r="819" spans="1:6">
      <c r="A819" s="1">
        <v>9123751</v>
      </c>
      <c r="B819" s="1">
        <v>0.90636515007725071</v>
      </c>
      <c r="C819" s="1">
        <v>13</v>
      </c>
      <c r="D819" s="1">
        <v>485</v>
      </c>
      <c r="E819" s="2">
        <v>43247</v>
      </c>
      <c r="F819" s="6">
        <v>15.295467413935343</v>
      </c>
    </row>
    <row r="820" spans="1:6">
      <c r="A820" s="1">
        <v>9123754</v>
      </c>
      <c r="B820" s="1">
        <v>0.60774850902282729</v>
      </c>
      <c r="C820" s="1">
        <v>2</v>
      </c>
      <c r="D820" s="1">
        <v>258</v>
      </c>
      <c r="E820" s="2">
        <v>43491</v>
      </c>
      <c r="F820" s="6">
        <v>112.16605593363131</v>
      </c>
    </row>
    <row r="821" spans="1:6">
      <c r="A821" s="1">
        <v>9123757</v>
      </c>
      <c r="B821" s="1">
        <v>0.10910053121936969</v>
      </c>
      <c r="C821" s="1">
        <v>31</v>
      </c>
      <c r="D821" s="1">
        <v>417</v>
      </c>
      <c r="E821" s="2">
        <v>42968</v>
      </c>
      <c r="F821" s="6">
        <v>66.165601667526232</v>
      </c>
    </row>
    <row r="822" spans="1:6">
      <c r="A822" s="1">
        <v>9123760</v>
      </c>
      <c r="B822" s="1">
        <v>2.9577697188895469E-2</v>
      </c>
      <c r="C822" s="1">
        <v>53</v>
      </c>
      <c r="D822" s="1">
        <v>216</v>
      </c>
      <c r="E822" s="2">
        <v>42852</v>
      </c>
      <c r="F822" s="6">
        <v>65.110109061930515</v>
      </c>
    </row>
    <row r="823" spans="1:6">
      <c r="A823" s="1">
        <v>9123763</v>
      </c>
      <c r="B823" s="1">
        <v>2.3062845752815586E-2</v>
      </c>
      <c r="C823" s="1">
        <v>24</v>
      </c>
      <c r="D823" s="1">
        <v>482</v>
      </c>
      <c r="E823" s="2">
        <v>43429</v>
      </c>
      <c r="F823" s="6">
        <v>376.26787629078825</v>
      </c>
    </row>
    <row r="824" spans="1:6">
      <c r="A824" s="1">
        <v>9123766</v>
      </c>
      <c r="B824" s="1">
        <v>0.13922860854744912</v>
      </c>
      <c r="C824" s="1">
        <v>146</v>
      </c>
      <c r="D824" s="1">
        <v>146</v>
      </c>
      <c r="E824" s="2">
        <v>43385</v>
      </c>
      <c r="F824" s="6">
        <v>151.04200453221961</v>
      </c>
    </row>
    <row r="825" spans="1:6">
      <c r="A825" s="1">
        <v>9123769</v>
      </c>
      <c r="B825" s="1">
        <v>0.41157790364231306</v>
      </c>
      <c r="C825" s="1">
        <v>11</v>
      </c>
      <c r="D825" s="1">
        <v>22</v>
      </c>
      <c r="E825" s="2">
        <v>43108</v>
      </c>
      <c r="F825" s="6">
        <v>36.048476129719553</v>
      </c>
    </row>
    <row r="826" spans="1:6">
      <c r="A826" s="1">
        <v>9123772</v>
      </c>
      <c r="B826" s="1">
        <v>0.43206378077986862</v>
      </c>
      <c r="C826" s="1">
        <v>156</v>
      </c>
      <c r="D826" s="1">
        <v>420</v>
      </c>
      <c r="E826" s="2">
        <v>43195</v>
      </c>
      <c r="F826" s="6">
        <v>18.621129972950456</v>
      </c>
    </row>
    <row r="827" spans="1:6">
      <c r="A827" s="1">
        <v>9123775</v>
      </c>
      <c r="B827" s="1">
        <v>0.87976600634994861</v>
      </c>
      <c r="C827" s="1">
        <v>3</v>
      </c>
      <c r="D827" s="1">
        <v>564</v>
      </c>
      <c r="E827" s="2">
        <v>42942</v>
      </c>
      <c r="F827" s="6">
        <v>46.71461747017851</v>
      </c>
    </row>
    <row r="828" spans="1:6">
      <c r="A828" s="1">
        <v>9123778</v>
      </c>
      <c r="B828" s="1">
        <v>0.81942835371289269</v>
      </c>
      <c r="C828" s="1">
        <v>21</v>
      </c>
      <c r="D828" s="1">
        <v>585</v>
      </c>
      <c r="E828" s="2">
        <v>43365</v>
      </c>
      <c r="F828" s="6">
        <v>19.896670100298806</v>
      </c>
    </row>
    <row r="829" spans="1:6">
      <c r="A829" s="1">
        <v>9123781</v>
      </c>
      <c r="B829" s="1">
        <v>0.16927619773718383</v>
      </c>
      <c r="C829" s="1">
        <v>5</v>
      </c>
      <c r="D829" s="1">
        <v>564</v>
      </c>
      <c r="E829" s="2">
        <v>43446</v>
      </c>
      <c r="F829" s="6">
        <v>54.249938321426512</v>
      </c>
    </row>
    <row r="830" spans="1:6">
      <c r="A830" s="1">
        <v>9123784</v>
      </c>
      <c r="B830" s="1">
        <v>0.37557678478406942</v>
      </c>
      <c r="C830" s="1">
        <v>14</v>
      </c>
      <c r="D830" s="1">
        <v>522</v>
      </c>
      <c r="E830" s="2">
        <v>42986</v>
      </c>
      <c r="F830" s="6">
        <v>10.040735255080769</v>
      </c>
    </row>
    <row r="831" spans="1:6">
      <c r="A831" s="1">
        <v>9123787</v>
      </c>
      <c r="B831" s="1">
        <v>0.88269451813352351</v>
      </c>
      <c r="C831" s="1">
        <v>139</v>
      </c>
      <c r="D831" s="1">
        <v>468</v>
      </c>
      <c r="E831" s="2">
        <v>43310</v>
      </c>
      <c r="F831" s="6">
        <v>125.8153364259488</v>
      </c>
    </row>
    <row r="832" spans="1:6">
      <c r="A832" s="1">
        <v>9123790</v>
      </c>
      <c r="B832" s="1">
        <v>0.16549334296001761</v>
      </c>
      <c r="C832" s="1">
        <v>1</v>
      </c>
      <c r="D832" s="1">
        <v>258</v>
      </c>
      <c r="E832" s="2">
        <v>43216</v>
      </c>
      <c r="F832" s="6">
        <v>34.838533240967308</v>
      </c>
    </row>
    <row r="833" spans="1:6">
      <c r="A833" s="1">
        <v>9123793</v>
      </c>
      <c r="B833" s="1">
        <v>0.2365196282352805</v>
      </c>
      <c r="C833" s="1">
        <v>8</v>
      </c>
      <c r="D833" s="1">
        <v>548</v>
      </c>
      <c r="E833" s="2">
        <v>42968</v>
      </c>
      <c r="F833" s="6">
        <v>3.1270912218513747</v>
      </c>
    </row>
    <row r="834" spans="1:6">
      <c r="A834" s="1">
        <v>9123796</v>
      </c>
      <c r="B834" s="1">
        <v>0.6283023399951172</v>
      </c>
      <c r="C834" s="1">
        <v>35</v>
      </c>
      <c r="D834" s="1">
        <v>512</v>
      </c>
      <c r="E834" s="2">
        <v>43229</v>
      </c>
      <c r="F834" s="6">
        <v>111.43236866101647</v>
      </c>
    </row>
    <row r="835" spans="1:6">
      <c r="A835" s="1">
        <v>9123799</v>
      </c>
      <c r="B835" s="1">
        <v>0.66857093486736852</v>
      </c>
      <c r="C835" s="1">
        <v>8</v>
      </c>
      <c r="D835" s="1">
        <v>22</v>
      </c>
      <c r="E835" s="2">
        <v>42988</v>
      </c>
      <c r="F835" s="6">
        <v>112.28351321724661</v>
      </c>
    </row>
    <row r="836" spans="1:6">
      <c r="A836" s="1">
        <v>9123802</v>
      </c>
      <c r="B836" s="1">
        <v>0.21903442628625847</v>
      </c>
      <c r="C836" s="1">
        <v>1</v>
      </c>
      <c r="D836" s="1">
        <v>394</v>
      </c>
      <c r="E836" s="2">
        <v>42989</v>
      </c>
      <c r="F836" s="6">
        <v>196.28246430340218</v>
      </c>
    </row>
    <row r="837" spans="1:6">
      <c r="A837" s="1">
        <v>9123805</v>
      </c>
      <c r="B837" s="1">
        <v>0.25482402563194362</v>
      </c>
      <c r="C837" s="1">
        <v>32</v>
      </c>
      <c r="D837" s="1">
        <v>492</v>
      </c>
      <c r="E837" s="2">
        <v>42900</v>
      </c>
      <c r="F837" s="6">
        <v>38.104236283671071</v>
      </c>
    </row>
    <row r="838" spans="1:6">
      <c r="A838" s="1">
        <v>9123808</v>
      </c>
      <c r="B838" s="1">
        <v>0.6418478459830067</v>
      </c>
      <c r="C838" s="1">
        <v>16</v>
      </c>
      <c r="D838" s="1">
        <v>44</v>
      </c>
      <c r="E838" s="2">
        <v>42881</v>
      </c>
      <c r="F838" s="6">
        <v>9.809378708652952</v>
      </c>
    </row>
    <row r="839" spans="1:6">
      <c r="A839" s="1">
        <v>9123811</v>
      </c>
      <c r="B839" s="1">
        <v>0.47278261251713449</v>
      </c>
      <c r="C839" s="1">
        <v>229</v>
      </c>
      <c r="D839" s="1">
        <v>366</v>
      </c>
      <c r="E839" s="2">
        <v>43036</v>
      </c>
      <c r="F839" s="6">
        <v>48.346974317697772</v>
      </c>
    </row>
    <row r="840" spans="1:6">
      <c r="A840" s="1">
        <v>9123814</v>
      </c>
      <c r="B840" s="1">
        <v>1.8707300094596646E-2</v>
      </c>
      <c r="C840" s="1">
        <v>59</v>
      </c>
      <c r="D840" s="1">
        <v>348</v>
      </c>
      <c r="E840" s="2">
        <v>42958</v>
      </c>
      <c r="F840" s="6">
        <v>112.31686346131943</v>
      </c>
    </row>
    <row r="841" spans="1:6">
      <c r="A841" s="1">
        <v>9123817</v>
      </c>
      <c r="B841" s="1">
        <v>0.24571495873269544</v>
      </c>
      <c r="C841" s="1">
        <v>8</v>
      </c>
      <c r="D841" s="1">
        <v>43</v>
      </c>
      <c r="E841" s="2">
        <v>43482</v>
      </c>
      <c r="F841" s="6">
        <v>41.912708589662529</v>
      </c>
    </row>
    <row r="842" spans="1:6">
      <c r="A842" s="1">
        <v>9123820</v>
      </c>
      <c r="B842" s="1">
        <v>0.55756117170520414</v>
      </c>
      <c r="C842" s="1">
        <v>22</v>
      </c>
      <c r="D842" s="1">
        <v>61</v>
      </c>
      <c r="E842" s="2">
        <v>43093</v>
      </c>
      <c r="F842" s="6">
        <v>61.05029607087868</v>
      </c>
    </row>
    <row r="843" spans="1:6">
      <c r="A843" s="1">
        <v>9123823</v>
      </c>
      <c r="B843" s="1">
        <v>0.13091853789048224</v>
      </c>
      <c r="C843" s="1">
        <v>15</v>
      </c>
      <c r="D843" s="1">
        <v>220</v>
      </c>
      <c r="E843" s="2">
        <v>43143</v>
      </c>
      <c r="F843" s="6">
        <v>12.658403081412255</v>
      </c>
    </row>
    <row r="844" spans="1:6">
      <c r="A844" s="1">
        <v>9123826</v>
      </c>
      <c r="B844" s="1">
        <v>0.53697882276723519</v>
      </c>
      <c r="C844" s="1">
        <v>53</v>
      </c>
      <c r="D844" s="1">
        <v>564</v>
      </c>
      <c r="E844" s="2">
        <v>43312</v>
      </c>
      <c r="F844" s="6">
        <v>11.601944574211409</v>
      </c>
    </row>
    <row r="845" spans="1:6">
      <c r="A845" s="1">
        <v>9123829</v>
      </c>
      <c r="B845" s="1">
        <v>0.30792427685867541</v>
      </c>
      <c r="C845" s="1">
        <v>31</v>
      </c>
      <c r="D845" s="1">
        <v>40</v>
      </c>
      <c r="E845" s="2">
        <v>43174</v>
      </c>
      <c r="F845" s="6">
        <v>216.67153043588542</v>
      </c>
    </row>
    <row r="846" spans="1:6">
      <c r="A846" s="1">
        <v>9123832</v>
      </c>
      <c r="B846" s="1">
        <v>0.41144327807613479</v>
      </c>
      <c r="C846" s="1">
        <v>240</v>
      </c>
      <c r="D846" s="1">
        <v>176</v>
      </c>
      <c r="E846" s="2">
        <v>43178</v>
      </c>
      <c r="F846" s="6">
        <v>35.138988702277629</v>
      </c>
    </row>
    <row r="847" spans="1:6">
      <c r="A847" s="1">
        <v>9123835</v>
      </c>
      <c r="B847" s="1">
        <v>0.71784941656287171</v>
      </c>
      <c r="C847" s="1">
        <v>6</v>
      </c>
      <c r="D847" s="1">
        <v>84</v>
      </c>
      <c r="E847" s="2">
        <v>43296</v>
      </c>
      <c r="F847" s="6">
        <v>69.764237663274614</v>
      </c>
    </row>
    <row r="848" spans="1:6">
      <c r="A848" s="1">
        <v>9123838</v>
      </c>
      <c r="B848" s="1">
        <v>0.36676907348891985</v>
      </c>
      <c r="C848" s="1">
        <v>5</v>
      </c>
      <c r="D848" s="1">
        <v>541</v>
      </c>
      <c r="E848" s="2">
        <v>42740</v>
      </c>
      <c r="F848" s="6">
        <v>52.073054911058911</v>
      </c>
    </row>
    <row r="849" spans="1:6">
      <c r="A849" s="1">
        <v>9123841</v>
      </c>
      <c r="B849" s="1">
        <v>0.74193806253402772</v>
      </c>
      <c r="C849" s="1">
        <v>73</v>
      </c>
      <c r="D849" s="1">
        <v>22</v>
      </c>
      <c r="E849" s="2">
        <v>43017</v>
      </c>
      <c r="F849" s="6">
        <v>134.92577060311038</v>
      </c>
    </row>
    <row r="850" spans="1:6">
      <c r="A850" s="1">
        <v>9123844</v>
      </c>
      <c r="B850" s="1">
        <v>0.46937407767333261</v>
      </c>
      <c r="C850" s="1">
        <v>6</v>
      </c>
      <c r="D850" s="1">
        <v>12</v>
      </c>
      <c r="E850" s="2">
        <v>42772</v>
      </c>
      <c r="F850" s="6">
        <v>24.411162956524276</v>
      </c>
    </row>
    <row r="851" spans="1:6">
      <c r="A851" s="1">
        <v>9123847</v>
      </c>
      <c r="B851" s="1">
        <v>0.71907472773207515</v>
      </c>
      <c r="C851" s="1">
        <v>14</v>
      </c>
      <c r="D851" s="1">
        <v>38</v>
      </c>
      <c r="E851" s="2">
        <v>43489</v>
      </c>
      <c r="F851" s="6">
        <v>23.554661848141638</v>
      </c>
    </row>
    <row r="852" spans="1:6">
      <c r="A852" s="1">
        <v>9123850</v>
      </c>
      <c r="B852" s="1">
        <v>9.3425167134425946E-2</v>
      </c>
      <c r="C852" s="1">
        <v>69</v>
      </c>
      <c r="D852" s="1">
        <v>197</v>
      </c>
      <c r="E852" s="2">
        <v>43218</v>
      </c>
      <c r="F852" s="6">
        <v>23.780325393892547</v>
      </c>
    </row>
    <row r="853" spans="1:6">
      <c r="A853" s="1">
        <v>9123853</v>
      </c>
      <c r="B853" s="1">
        <v>0.72449831450311775</v>
      </c>
      <c r="C853" s="1">
        <v>52</v>
      </c>
      <c r="D853" s="1">
        <v>84</v>
      </c>
      <c r="E853" s="2">
        <v>43107</v>
      </c>
      <c r="F853" s="6">
        <v>5.4036499157175992</v>
      </c>
    </row>
    <row r="854" spans="1:6">
      <c r="A854" s="1">
        <v>9123856</v>
      </c>
      <c r="B854" s="1">
        <v>0.26745711987304754</v>
      </c>
      <c r="C854" s="1">
        <v>9</v>
      </c>
      <c r="D854" s="1">
        <v>41</v>
      </c>
      <c r="E854" s="2">
        <v>42994</v>
      </c>
      <c r="F854" s="6">
        <v>30.34322788259993</v>
      </c>
    </row>
    <row r="855" spans="1:6">
      <c r="A855" s="1">
        <v>9123859</v>
      </c>
      <c r="B855" s="1">
        <v>0.28930201033267455</v>
      </c>
      <c r="C855" s="1">
        <v>270</v>
      </c>
      <c r="D855" s="1">
        <v>448</v>
      </c>
      <c r="E855" s="2">
        <v>42968</v>
      </c>
      <c r="F855" s="6">
        <v>248.90676678954571</v>
      </c>
    </row>
    <row r="856" spans="1:6">
      <c r="A856" s="1">
        <v>9123862</v>
      </c>
      <c r="B856" s="1">
        <v>0.22999851753167644</v>
      </c>
      <c r="C856" s="1">
        <v>41</v>
      </c>
      <c r="D856" s="1">
        <v>169</v>
      </c>
      <c r="E856" s="2">
        <v>43494</v>
      </c>
      <c r="F856" s="6">
        <v>3.4676880160981143</v>
      </c>
    </row>
    <row r="857" spans="1:6">
      <c r="A857" s="1">
        <v>9123865</v>
      </c>
      <c r="B857" s="1">
        <v>0.46452131257646068</v>
      </c>
      <c r="C857" s="1">
        <v>32</v>
      </c>
      <c r="D857" s="1">
        <v>453</v>
      </c>
      <c r="E857" s="2">
        <v>43272</v>
      </c>
      <c r="F857" s="6">
        <v>88.887720042836605</v>
      </c>
    </row>
    <row r="858" spans="1:6">
      <c r="A858" s="1">
        <v>9123868</v>
      </c>
      <c r="B858" s="1">
        <v>0.65531051011718167</v>
      </c>
      <c r="C858" s="1">
        <v>99</v>
      </c>
      <c r="D858" s="1">
        <v>149</v>
      </c>
      <c r="E858" s="2">
        <v>43232</v>
      </c>
      <c r="F858" s="6">
        <v>59.690891006541946</v>
      </c>
    </row>
    <row r="859" spans="1:6">
      <c r="A859" s="1">
        <v>9123871</v>
      </c>
      <c r="B859" s="1">
        <v>7.9118608107010768E-2</v>
      </c>
      <c r="C859" s="1">
        <v>40</v>
      </c>
      <c r="D859" s="1">
        <v>178</v>
      </c>
      <c r="E859" s="2">
        <v>43182</v>
      </c>
      <c r="F859" s="6">
        <v>78.539523212962649</v>
      </c>
    </row>
    <row r="860" spans="1:6">
      <c r="A860" s="1">
        <v>9123874</v>
      </c>
      <c r="B860" s="1">
        <v>0.33848333070737158</v>
      </c>
      <c r="C860" s="1">
        <v>18</v>
      </c>
      <c r="D860" s="1">
        <v>220</v>
      </c>
      <c r="E860" s="2">
        <v>43414</v>
      </c>
      <c r="F860" s="6">
        <v>192.29317876468949</v>
      </c>
    </row>
    <row r="861" spans="1:6">
      <c r="A861" s="1">
        <v>9123877</v>
      </c>
      <c r="B861" s="1">
        <v>0.7606416202079086</v>
      </c>
      <c r="C861" s="1">
        <v>5</v>
      </c>
      <c r="D861" s="1">
        <v>430</v>
      </c>
      <c r="E861" s="2">
        <v>43406</v>
      </c>
      <c r="F861" s="6">
        <v>17.18267308115071</v>
      </c>
    </row>
    <row r="862" spans="1:6">
      <c r="A862" s="1">
        <v>9123880</v>
      </c>
      <c r="B862" s="1">
        <v>0.69065971810165716</v>
      </c>
      <c r="C862" s="1">
        <v>7</v>
      </c>
      <c r="D862" s="1">
        <v>592</v>
      </c>
      <c r="E862" s="2">
        <v>42995</v>
      </c>
      <c r="F862" s="6">
        <v>6.9734496059562696</v>
      </c>
    </row>
    <row r="863" spans="1:6">
      <c r="A863" s="1">
        <v>9123883</v>
      </c>
      <c r="B863" s="1">
        <v>0.23831637883387846</v>
      </c>
      <c r="C863" s="1">
        <v>67</v>
      </c>
      <c r="D863" s="1">
        <v>359</v>
      </c>
      <c r="E863" s="2">
        <v>43139</v>
      </c>
      <c r="F863" s="6">
        <v>57.469642454863767</v>
      </c>
    </row>
    <row r="864" spans="1:6">
      <c r="A864" s="1">
        <v>9123886</v>
      </c>
      <c r="B864" s="1">
        <v>0.51310631244668614</v>
      </c>
      <c r="C864" s="1">
        <v>227</v>
      </c>
      <c r="D864" s="1">
        <v>149</v>
      </c>
      <c r="E864" s="2">
        <v>43079</v>
      </c>
      <c r="F864" s="6">
        <v>379.80697440396619</v>
      </c>
    </row>
    <row r="865" spans="1:6">
      <c r="A865" s="1">
        <v>9123889</v>
      </c>
      <c r="B865" s="1">
        <v>0.58336754191641915</v>
      </c>
      <c r="C865" s="1">
        <v>2</v>
      </c>
      <c r="D865" s="1">
        <v>182</v>
      </c>
      <c r="E865" s="2">
        <v>43269</v>
      </c>
      <c r="F865" s="6">
        <v>101.96086352929575</v>
      </c>
    </row>
    <row r="866" spans="1:6">
      <c r="A866" s="1">
        <v>9123892</v>
      </c>
      <c r="B866" s="1">
        <v>0.79652823937670292</v>
      </c>
      <c r="C866" s="1">
        <v>2</v>
      </c>
      <c r="D866" s="1">
        <v>592</v>
      </c>
      <c r="E866" s="2">
        <v>42933</v>
      </c>
      <c r="F866" s="6">
        <v>18.169091754474721</v>
      </c>
    </row>
    <row r="867" spans="1:6">
      <c r="A867" s="1">
        <v>9123895</v>
      </c>
      <c r="B867" s="1">
        <v>0.36191871773002215</v>
      </c>
      <c r="C867" s="1">
        <v>6</v>
      </c>
      <c r="D867" s="1">
        <v>258</v>
      </c>
      <c r="E867" s="2">
        <v>43113</v>
      </c>
      <c r="F867" s="6">
        <v>10.166483480707466</v>
      </c>
    </row>
    <row r="868" spans="1:6">
      <c r="A868" s="1">
        <v>9123898</v>
      </c>
      <c r="B868" s="1">
        <v>0.12495500771484713</v>
      </c>
      <c r="C868" s="1">
        <v>177</v>
      </c>
      <c r="D868" s="1">
        <v>401</v>
      </c>
      <c r="E868" s="2">
        <v>43337</v>
      </c>
      <c r="F868" s="6">
        <v>3.0003122510550813</v>
      </c>
    </row>
    <row r="869" spans="1:6">
      <c r="A869" s="1">
        <v>9123901</v>
      </c>
      <c r="B869" s="1">
        <v>0.11415917291492994</v>
      </c>
      <c r="C869" s="1">
        <v>92</v>
      </c>
      <c r="D869" s="1">
        <v>146</v>
      </c>
      <c r="E869" s="2">
        <v>43170</v>
      </c>
      <c r="F869" s="6">
        <v>17.712455262415208</v>
      </c>
    </row>
    <row r="870" spans="1:6">
      <c r="A870" s="1">
        <v>9123904</v>
      </c>
      <c r="B870" s="1">
        <v>0.68474536040121037</v>
      </c>
      <c r="C870" s="1">
        <v>52</v>
      </c>
      <c r="D870" s="1">
        <v>510</v>
      </c>
      <c r="E870" s="2">
        <v>42778</v>
      </c>
      <c r="F870" s="6">
        <v>104.42500130423835</v>
      </c>
    </row>
    <row r="871" spans="1:6">
      <c r="A871" s="1">
        <v>9123907</v>
      </c>
      <c r="B871" s="1">
        <v>0.85992708850805455</v>
      </c>
      <c r="C871" s="1">
        <v>57</v>
      </c>
      <c r="D871" s="1">
        <v>248</v>
      </c>
      <c r="E871" s="2">
        <v>43112</v>
      </c>
      <c r="F871" s="6">
        <v>21.036391328290964</v>
      </c>
    </row>
    <row r="872" spans="1:6">
      <c r="A872" s="1">
        <v>9123910</v>
      </c>
      <c r="B872" s="1">
        <v>0.80655660638506521</v>
      </c>
      <c r="C872" s="1">
        <v>72</v>
      </c>
      <c r="D872" s="1">
        <v>40</v>
      </c>
      <c r="E872" s="2">
        <v>43377</v>
      </c>
      <c r="F872" s="6">
        <v>169.82560899103134</v>
      </c>
    </row>
    <row r="873" spans="1:6">
      <c r="A873" s="1">
        <v>9123913</v>
      </c>
      <c r="B873" s="1">
        <v>0.27169188972226055</v>
      </c>
      <c r="C873" s="1">
        <v>5</v>
      </c>
      <c r="D873" s="1">
        <v>474</v>
      </c>
      <c r="E873" s="2">
        <v>42853</v>
      </c>
      <c r="F873" s="6">
        <v>16.465189410725458</v>
      </c>
    </row>
    <row r="874" spans="1:6">
      <c r="A874" s="1">
        <v>9123916</v>
      </c>
      <c r="B874" s="1">
        <v>0.11773727779295606</v>
      </c>
      <c r="C874" s="1">
        <v>5</v>
      </c>
      <c r="D874" s="1">
        <v>248</v>
      </c>
      <c r="E874" s="2">
        <v>43433</v>
      </c>
      <c r="F874" s="6">
        <v>318.5208869106998</v>
      </c>
    </row>
    <row r="875" spans="1:6">
      <c r="A875" s="1">
        <v>9123919</v>
      </c>
      <c r="B875" s="1">
        <v>0.36224073166791804</v>
      </c>
      <c r="C875" s="1">
        <v>112</v>
      </c>
      <c r="D875" s="1">
        <v>492</v>
      </c>
      <c r="E875" s="2">
        <v>42868</v>
      </c>
      <c r="F875" s="6">
        <v>55.493406418901188</v>
      </c>
    </row>
    <row r="876" spans="1:6">
      <c r="A876" s="1">
        <v>9123922</v>
      </c>
      <c r="B876" s="1">
        <v>0.42436341408995526</v>
      </c>
      <c r="C876" s="1">
        <v>28</v>
      </c>
      <c r="D876" s="1">
        <v>299</v>
      </c>
      <c r="E876" s="2">
        <v>43152</v>
      </c>
      <c r="F876" s="6">
        <v>31.688206003904877</v>
      </c>
    </row>
    <row r="877" spans="1:6">
      <c r="A877" s="1">
        <v>9123925</v>
      </c>
      <c r="B877" s="1">
        <v>0.92644246966023192</v>
      </c>
      <c r="C877" s="1">
        <v>60</v>
      </c>
      <c r="D877" s="1">
        <v>420</v>
      </c>
      <c r="E877" s="2">
        <v>43246</v>
      </c>
      <c r="F877" s="6">
        <v>11.101917620964604</v>
      </c>
    </row>
    <row r="878" spans="1:6">
      <c r="A878" s="1">
        <v>9123928</v>
      </c>
      <c r="B878" s="1">
        <v>0.46226513951358073</v>
      </c>
      <c r="C878" s="1">
        <v>146</v>
      </c>
      <c r="D878" s="1">
        <v>510</v>
      </c>
      <c r="E878" s="2">
        <v>42916</v>
      </c>
      <c r="F878" s="6">
        <v>56.403273493131742</v>
      </c>
    </row>
    <row r="879" spans="1:6">
      <c r="A879" s="1">
        <v>9123931</v>
      </c>
      <c r="B879" s="1">
        <v>6.3298101575696375E-2</v>
      </c>
      <c r="C879" s="1">
        <v>22</v>
      </c>
      <c r="D879" s="1">
        <v>599</v>
      </c>
      <c r="E879" s="2">
        <v>43489</v>
      </c>
      <c r="F879" s="6">
        <v>11.200455489824746</v>
      </c>
    </row>
    <row r="880" spans="1:6">
      <c r="A880" s="1">
        <v>9123934</v>
      </c>
      <c r="B880" s="1">
        <v>0.15806947074089395</v>
      </c>
      <c r="C880" s="1">
        <v>56</v>
      </c>
      <c r="D880" s="1">
        <v>258</v>
      </c>
      <c r="E880" s="2">
        <v>43245</v>
      </c>
      <c r="F880" s="6">
        <v>49.971346501461866</v>
      </c>
    </row>
    <row r="881" spans="1:6">
      <c r="A881" s="1">
        <v>9123937</v>
      </c>
      <c r="B881" s="1">
        <v>0.36253750854112421</v>
      </c>
      <c r="C881" s="1">
        <v>7</v>
      </c>
      <c r="D881" s="1">
        <v>47</v>
      </c>
      <c r="E881" s="2">
        <v>43222</v>
      </c>
      <c r="F881" s="6">
        <v>79.847343913008416</v>
      </c>
    </row>
    <row r="882" spans="1:6">
      <c r="A882" s="1">
        <v>9123940</v>
      </c>
      <c r="B882" s="1">
        <v>0.44982928974787206</v>
      </c>
      <c r="C882" s="1">
        <v>1</v>
      </c>
      <c r="D882" s="1">
        <v>242</v>
      </c>
      <c r="E882" s="2">
        <v>43250</v>
      </c>
      <c r="F882" s="6">
        <v>36.864825933855428</v>
      </c>
    </row>
    <row r="883" spans="1:6">
      <c r="A883" s="1">
        <v>9123943</v>
      </c>
      <c r="B883" s="1">
        <v>0.50520851079174356</v>
      </c>
      <c r="C883" s="1">
        <v>1</v>
      </c>
      <c r="D883" s="1">
        <v>430</v>
      </c>
      <c r="E883" s="2">
        <v>43161</v>
      </c>
      <c r="F883" s="6">
        <v>33.010824639446795</v>
      </c>
    </row>
    <row r="884" spans="1:6">
      <c r="A884" s="1">
        <v>9123946</v>
      </c>
      <c r="B884" s="1">
        <v>0.94377326875507217</v>
      </c>
      <c r="C884" s="1">
        <v>37</v>
      </c>
      <c r="D884" s="1">
        <v>541</v>
      </c>
      <c r="E884" s="2">
        <v>43473</v>
      </c>
      <c r="F884" s="6">
        <v>39.635459083684182</v>
      </c>
    </row>
    <row r="885" spans="1:6">
      <c r="A885" s="1">
        <v>9123949</v>
      </c>
      <c r="B885" s="1">
        <v>0.99426499761119846</v>
      </c>
      <c r="C885" s="1">
        <v>1</v>
      </c>
      <c r="D885" s="1">
        <v>155</v>
      </c>
      <c r="E885" s="2">
        <v>43265</v>
      </c>
      <c r="F885" s="6">
        <v>9.5058261352878723</v>
      </c>
    </row>
    <row r="886" spans="1:6">
      <c r="A886" s="1">
        <v>9123952</v>
      </c>
      <c r="B886" s="1">
        <v>2.1648498025806595E-2</v>
      </c>
      <c r="C886" s="1">
        <v>24</v>
      </c>
      <c r="D886" s="1">
        <v>487</v>
      </c>
      <c r="E886" s="2">
        <v>43346</v>
      </c>
      <c r="F886" s="6">
        <v>152.12668154008287</v>
      </c>
    </row>
    <row r="887" spans="1:6">
      <c r="A887" s="1">
        <v>9123955</v>
      </c>
      <c r="B887" s="1">
        <v>0.79404352851044258</v>
      </c>
      <c r="C887" s="1">
        <v>25</v>
      </c>
      <c r="D887" s="1">
        <v>458</v>
      </c>
      <c r="E887" s="2">
        <v>42806</v>
      </c>
      <c r="F887" s="6">
        <v>7.5069899636874249</v>
      </c>
    </row>
    <row r="888" spans="1:6">
      <c r="A888" s="1">
        <v>9123958</v>
      </c>
      <c r="B888" s="1">
        <v>0.57415023700356371</v>
      </c>
      <c r="C888" s="1">
        <v>38</v>
      </c>
      <c r="D888" s="1">
        <v>589</v>
      </c>
      <c r="E888" s="2">
        <v>43337</v>
      </c>
      <c r="F888" s="6">
        <v>9.0068462424603073</v>
      </c>
    </row>
    <row r="889" spans="1:6">
      <c r="A889" s="1">
        <v>9123961</v>
      </c>
      <c r="B889" s="1">
        <v>0.28517484877474508</v>
      </c>
      <c r="C889" s="1">
        <v>10</v>
      </c>
      <c r="D889" s="1">
        <v>514</v>
      </c>
      <c r="E889" s="2">
        <v>43336</v>
      </c>
      <c r="F889" s="6">
        <v>144.73182494219952</v>
      </c>
    </row>
    <row r="890" spans="1:6">
      <c r="A890" s="1">
        <v>9123964</v>
      </c>
      <c r="B890" s="1">
        <v>0.38450045012300182</v>
      </c>
      <c r="C890" s="1">
        <v>7</v>
      </c>
      <c r="D890" s="1">
        <v>592</v>
      </c>
      <c r="E890" s="2">
        <v>42963</v>
      </c>
      <c r="F890" s="6">
        <v>37.41911124558974</v>
      </c>
    </row>
    <row r="891" spans="1:6">
      <c r="A891" s="1">
        <v>9123967</v>
      </c>
      <c r="B891" s="1">
        <v>0.51061063588714306</v>
      </c>
      <c r="C891" s="1">
        <v>31</v>
      </c>
      <c r="D891" s="1">
        <v>83</v>
      </c>
      <c r="E891" s="2">
        <v>42894</v>
      </c>
      <c r="F891" s="6">
        <v>17.358646595979351</v>
      </c>
    </row>
    <row r="892" spans="1:6">
      <c r="A892" s="1">
        <v>9123970</v>
      </c>
      <c r="B892" s="1">
        <v>0.97317226819938896</v>
      </c>
      <c r="C892" s="1">
        <v>48</v>
      </c>
      <c r="D892" s="1">
        <v>510</v>
      </c>
      <c r="E892" s="2">
        <v>43463</v>
      </c>
      <c r="F892" s="6">
        <v>202.72765941435867</v>
      </c>
    </row>
    <row r="893" spans="1:6">
      <c r="A893" s="1">
        <v>9123973</v>
      </c>
      <c r="B893" s="1">
        <v>0.52865565061917175</v>
      </c>
      <c r="C893" s="1">
        <v>4</v>
      </c>
      <c r="D893" s="1">
        <v>263</v>
      </c>
      <c r="E893" s="2">
        <v>43464</v>
      </c>
      <c r="F893" s="6">
        <v>169.73234174015136</v>
      </c>
    </row>
    <row r="894" spans="1:6">
      <c r="A894" s="1">
        <v>9123976</v>
      </c>
      <c r="B894" s="1">
        <v>0.74537446714990552</v>
      </c>
      <c r="C894" s="1">
        <v>3</v>
      </c>
      <c r="D894" s="1">
        <v>248</v>
      </c>
      <c r="E894" s="2">
        <v>42995</v>
      </c>
      <c r="F894" s="6">
        <v>43.016774159954977</v>
      </c>
    </row>
    <row r="895" spans="1:6">
      <c r="A895" s="1">
        <v>9123979</v>
      </c>
      <c r="B895" s="1">
        <v>0.34443230016178394</v>
      </c>
      <c r="C895" s="1">
        <v>10</v>
      </c>
      <c r="D895" s="1">
        <v>573</v>
      </c>
      <c r="E895" s="2">
        <v>42930</v>
      </c>
      <c r="F895" s="6">
        <v>62.457586570722917</v>
      </c>
    </row>
    <row r="896" spans="1:6">
      <c r="A896" s="1">
        <v>9123982</v>
      </c>
      <c r="B896" s="1">
        <v>0.71400047355149654</v>
      </c>
      <c r="C896" s="1">
        <v>1</v>
      </c>
      <c r="D896" s="1">
        <v>359</v>
      </c>
      <c r="E896" s="2">
        <v>42856</v>
      </c>
      <c r="F896" s="6">
        <v>111.41673854182234</v>
      </c>
    </row>
    <row r="897" spans="1:6">
      <c r="A897" s="1">
        <v>9123985</v>
      </c>
      <c r="B897" s="1">
        <v>0.51075023054775959</v>
      </c>
      <c r="C897" s="1">
        <v>89</v>
      </c>
      <c r="D897" s="1">
        <v>176</v>
      </c>
      <c r="E897" s="2">
        <v>43208</v>
      </c>
      <c r="F897" s="6">
        <v>17.453778259076032</v>
      </c>
    </row>
    <row r="898" spans="1:6">
      <c r="A898" s="1">
        <v>9123988</v>
      </c>
      <c r="B898" s="1">
        <v>0.69671076579450242</v>
      </c>
      <c r="C898" s="1">
        <v>34</v>
      </c>
      <c r="D898" s="1">
        <v>512</v>
      </c>
      <c r="E898" s="2">
        <v>43133</v>
      </c>
      <c r="F898" s="6">
        <v>72.534552668272767</v>
      </c>
    </row>
    <row r="899" spans="1:6">
      <c r="A899" s="1">
        <v>9123991</v>
      </c>
      <c r="B899" s="1">
        <v>0.85655030905915863</v>
      </c>
      <c r="C899" s="1">
        <v>32</v>
      </c>
      <c r="D899" s="1">
        <v>451</v>
      </c>
      <c r="E899" s="2">
        <v>43196</v>
      </c>
      <c r="F899" s="6">
        <v>16.063897867622188</v>
      </c>
    </row>
    <row r="900" spans="1:6">
      <c r="A900" s="1">
        <v>9123994</v>
      </c>
      <c r="B900" s="1">
        <v>0.45720056144485355</v>
      </c>
      <c r="C900" s="1">
        <v>18</v>
      </c>
      <c r="D900" s="1">
        <v>163</v>
      </c>
      <c r="E900" s="2">
        <v>43005</v>
      </c>
      <c r="F900" s="6">
        <v>93.727420504090787</v>
      </c>
    </row>
    <row r="901" spans="1:6">
      <c r="A901" s="1">
        <v>9123997</v>
      </c>
      <c r="B901" s="1">
        <v>7.8241735302401194E-2</v>
      </c>
      <c r="C901" s="1">
        <v>6</v>
      </c>
      <c r="D901" s="1">
        <v>98</v>
      </c>
      <c r="E901" s="2">
        <v>43020</v>
      </c>
      <c r="F901" s="6">
        <v>17.389134421182369</v>
      </c>
    </row>
    <row r="902" spans="1:6">
      <c r="A902" s="1">
        <v>9124000</v>
      </c>
      <c r="B902" s="1">
        <v>0.84547887510268882</v>
      </c>
      <c r="C902" s="1">
        <v>33</v>
      </c>
      <c r="D902" s="1">
        <v>326</v>
      </c>
      <c r="E902" s="2">
        <v>42998</v>
      </c>
      <c r="F902" s="6">
        <v>244.2039731743069</v>
      </c>
    </row>
    <row r="903" spans="1:6">
      <c r="A903" s="1">
        <v>9124003</v>
      </c>
      <c r="B903" s="1">
        <v>0.59696900897072391</v>
      </c>
      <c r="C903" s="1">
        <v>4</v>
      </c>
      <c r="D903" s="1">
        <v>564</v>
      </c>
      <c r="E903" s="2">
        <v>42791</v>
      </c>
      <c r="F903" s="6">
        <v>6.9180593599628715</v>
      </c>
    </row>
    <row r="904" spans="1:6">
      <c r="A904" s="1">
        <v>9124006</v>
      </c>
      <c r="B904" s="1">
        <v>0.52293862168216065</v>
      </c>
      <c r="C904" s="1">
        <v>46</v>
      </c>
      <c r="D904" s="1">
        <v>22</v>
      </c>
      <c r="E904" s="2">
        <v>42995</v>
      </c>
      <c r="F904" s="6">
        <v>151.25138370063235</v>
      </c>
    </row>
    <row r="905" spans="1:6">
      <c r="A905" s="1">
        <v>9124009</v>
      </c>
      <c r="B905" s="1">
        <v>0.66639391009837579</v>
      </c>
      <c r="C905" s="1">
        <v>52</v>
      </c>
      <c r="D905" s="1">
        <v>329</v>
      </c>
      <c r="E905" s="2">
        <v>43147</v>
      </c>
      <c r="F905" s="6">
        <v>6.2612909587760157</v>
      </c>
    </row>
    <row r="906" spans="1:6">
      <c r="A906" s="1">
        <v>9124012</v>
      </c>
      <c r="B906" s="1">
        <v>0.95934308842609528</v>
      </c>
      <c r="C906" s="1">
        <v>126</v>
      </c>
      <c r="D906" s="1">
        <v>299</v>
      </c>
      <c r="E906" s="2">
        <v>43135</v>
      </c>
      <c r="F906" s="6">
        <v>101.1631646032685</v>
      </c>
    </row>
    <row r="907" spans="1:6">
      <c r="A907" s="1">
        <v>9124015</v>
      </c>
      <c r="B907" s="1">
        <v>0.90936377731091622</v>
      </c>
      <c r="C907" s="1">
        <v>5</v>
      </c>
      <c r="D907" s="1">
        <v>78</v>
      </c>
      <c r="E907" s="2">
        <v>43163</v>
      </c>
      <c r="F907" s="6">
        <v>26.737306891317761</v>
      </c>
    </row>
    <row r="908" spans="1:6">
      <c r="A908" s="1">
        <v>9124018</v>
      </c>
      <c r="B908" s="1">
        <v>4.0841843039982062E-2</v>
      </c>
      <c r="C908" s="1">
        <v>37</v>
      </c>
      <c r="D908" s="1">
        <v>334</v>
      </c>
      <c r="E908" s="2">
        <v>43270</v>
      </c>
      <c r="F908" s="6">
        <v>24.370131133713681</v>
      </c>
    </row>
    <row r="909" spans="1:6">
      <c r="A909" s="1">
        <v>9124021</v>
      </c>
      <c r="B909" s="1">
        <v>0.15427290700789575</v>
      </c>
      <c r="C909" s="1">
        <v>118</v>
      </c>
      <c r="D909" s="1">
        <v>592</v>
      </c>
      <c r="E909" s="2">
        <v>43304</v>
      </c>
      <c r="F909" s="6">
        <v>12.085305228834939</v>
      </c>
    </row>
    <row r="910" spans="1:6">
      <c r="A910" s="1">
        <v>9124024</v>
      </c>
      <c r="B910" s="1">
        <v>9.4568417035849617E-2</v>
      </c>
      <c r="C910" s="1">
        <v>2</v>
      </c>
      <c r="D910" s="1">
        <v>564</v>
      </c>
      <c r="E910" s="2">
        <v>43014</v>
      </c>
      <c r="F910" s="6">
        <v>3.6740019676790783</v>
      </c>
    </row>
    <row r="911" spans="1:6">
      <c r="A911" s="1">
        <v>9124027</v>
      </c>
      <c r="B911" s="1">
        <v>0.80292962282812252</v>
      </c>
      <c r="C911" s="1">
        <v>7</v>
      </c>
      <c r="D911" s="1">
        <v>47</v>
      </c>
      <c r="E911" s="2">
        <v>42843</v>
      </c>
      <c r="F911" s="6">
        <v>75.703552648701375</v>
      </c>
    </row>
    <row r="912" spans="1:6">
      <c r="A912" s="1">
        <v>9124030</v>
      </c>
      <c r="B912" s="1">
        <v>0.82819824336195036</v>
      </c>
      <c r="C912" s="1">
        <v>11</v>
      </c>
      <c r="D912" s="1">
        <v>592</v>
      </c>
      <c r="E912" s="2">
        <v>43128</v>
      </c>
      <c r="F912" s="6">
        <v>38.857780456128467</v>
      </c>
    </row>
    <row r="913" spans="1:6">
      <c r="A913" s="1">
        <v>9124033</v>
      </c>
      <c r="B913" s="1">
        <v>0.13656609633328243</v>
      </c>
      <c r="C913" s="1">
        <v>2</v>
      </c>
      <c r="D913" s="1">
        <v>453</v>
      </c>
      <c r="E913" s="2">
        <v>43438</v>
      </c>
      <c r="F913" s="6">
        <v>3.3235209555011873</v>
      </c>
    </row>
    <row r="914" spans="1:6">
      <c r="A914" s="1">
        <v>9124036</v>
      </c>
      <c r="B914" s="1">
        <v>0.47892224248787774</v>
      </c>
      <c r="C914" s="1">
        <v>95</v>
      </c>
      <c r="D914" s="1">
        <v>546</v>
      </c>
      <c r="E914" s="2">
        <v>43436</v>
      </c>
      <c r="F914" s="6">
        <v>5.6429018854696134</v>
      </c>
    </row>
    <row r="915" spans="1:6">
      <c r="A915" s="1">
        <v>9124039</v>
      </c>
      <c r="B915" s="1">
        <v>0.24031682874261406</v>
      </c>
      <c r="C915" s="1">
        <v>33</v>
      </c>
      <c r="D915" s="1">
        <v>509</v>
      </c>
      <c r="E915" s="2">
        <v>43432</v>
      </c>
      <c r="F915" s="6">
        <v>7.2156667225005249</v>
      </c>
    </row>
    <row r="916" spans="1:6">
      <c r="A916" s="1">
        <v>9124042</v>
      </c>
      <c r="B916" s="1">
        <v>0.48084524954827634</v>
      </c>
      <c r="C916" s="1">
        <v>110</v>
      </c>
      <c r="D916" s="1">
        <v>361</v>
      </c>
      <c r="E916" s="2">
        <v>43490</v>
      </c>
      <c r="F916" s="6">
        <v>4.85124714034961</v>
      </c>
    </row>
    <row r="917" spans="1:6">
      <c r="A917" s="1">
        <v>9124045</v>
      </c>
      <c r="B917" s="1">
        <v>0.37313079757649237</v>
      </c>
      <c r="C917" s="1">
        <v>55</v>
      </c>
      <c r="D917" s="1">
        <v>64</v>
      </c>
      <c r="E917" s="2">
        <v>43117</v>
      </c>
      <c r="F917" s="6">
        <v>219.662698758452</v>
      </c>
    </row>
    <row r="918" spans="1:6">
      <c r="A918" s="1">
        <v>9124048</v>
      </c>
      <c r="B918" s="1">
        <v>0.96222196765438561</v>
      </c>
      <c r="C918" s="1">
        <v>6</v>
      </c>
      <c r="D918" s="1">
        <v>510</v>
      </c>
      <c r="E918" s="2">
        <v>43362</v>
      </c>
      <c r="F918" s="6">
        <v>20.267857096490083</v>
      </c>
    </row>
    <row r="919" spans="1:6">
      <c r="A919" s="1">
        <v>9124051</v>
      </c>
      <c r="B919" s="1">
        <v>0.11744325843818093</v>
      </c>
      <c r="C919" s="1">
        <v>37</v>
      </c>
      <c r="D919" s="1">
        <v>492</v>
      </c>
      <c r="E919" s="2">
        <v>42874</v>
      </c>
      <c r="F919" s="6">
        <v>23.677370322222494</v>
      </c>
    </row>
    <row r="920" spans="1:6">
      <c r="A920" s="1">
        <v>9124054</v>
      </c>
      <c r="B920" s="1">
        <v>0.92007724708920324</v>
      </c>
      <c r="C920" s="1">
        <v>16</v>
      </c>
      <c r="D920" s="1">
        <v>176</v>
      </c>
      <c r="E920" s="2">
        <v>43412</v>
      </c>
      <c r="F920" s="6">
        <v>43.611484293587985</v>
      </c>
    </row>
    <row r="921" spans="1:6">
      <c r="A921" s="1">
        <v>9124057</v>
      </c>
      <c r="B921" s="1">
        <v>0.33264638950645953</v>
      </c>
      <c r="C921" s="1">
        <v>18</v>
      </c>
      <c r="D921" s="1">
        <v>548</v>
      </c>
      <c r="E921" s="2">
        <v>43191</v>
      </c>
      <c r="F921" s="6">
        <v>18.694912930239923</v>
      </c>
    </row>
    <row r="922" spans="1:6">
      <c r="A922" s="1">
        <v>9124060</v>
      </c>
      <c r="B922" s="1">
        <v>0.26511209781961831</v>
      </c>
      <c r="C922" s="1">
        <v>23</v>
      </c>
      <c r="D922" s="1">
        <v>145</v>
      </c>
      <c r="E922" s="2">
        <v>43199</v>
      </c>
      <c r="F922" s="6">
        <v>52.792969106578965</v>
      </c>
    </row>
    <row r="923" spans="1:6">
      <c r="A923" s="1">
        <v>9124063</v>
      </c>
      <c r="B923" s="1">
        <v>0.74861315637815673</v>
      </c>
      <c r="C923" s="1">
        <v>198</v>
      </c>
      <c r="D923" s="1">
        <v>259</v>
      </c>
      <c r="E923" s="2">
        <v>42934</v>
      </c>
      <c r="F923" s="6">
        <v>56.218663561209588</v>
      </c>
    </row>
    <row r="924" spans="1:6">
      <c r="A924" s="1">
        <v>9124066</v>
      </c>
      <c r="B924" s="1">
        <v>0.66736042309470633</v>
      </c>
      <c r="C924" s="1">
        <v>18</v>
      </c>
      <c r="D924" s="1">
        <v>591</v>
      </c>
      <c r="E924" s="2">
        <v>42815</v>
      </c>
      <c r="F924" s="6">
        <v>316.39616481685169</v>
      </c>
    </row>
    <row r="925" spans="1:6">
      <c r="A925" s="1">
        <v>9124069</v>
      </c>
      <c r="B925" s="1">
        <v>0.45337430323022265</v>
      </c>
      <c r="C925" s="1">
        <v>2</v>
      </c>
      <c r="D925" s="1">
        <v>88</v>
      </c>
      <c r="E925" s="2">
        <v>43061</v>
      </c>
      <c r="F925" s="6">
        <v>31.422648265808125</v>
      </c>
    </row>
    <row r="926" spans="1:6">
      <c r="A926" s="1">
        <v>9124072</v>
      </c>
      <c r="B926" s="1">
        <v>0.40105054339841584</v>
      </c>
      <c r="C926" s="1">
        <v>16</v>
      </c>
      <c r="D926" s="1">
        <v>592</v>
      </c>
      <c r="E926" s="2">
        <v>43221</v>
      </c>
      <c r="F926" s="6">
        <v>4.3155065918607853</v>
      </c>
    </row>
    <row r="927" spans="1:6">
      <c r="A927" s="1">
        <v>9124075</v>
      </c>
      <c r="B927" s="1">
        <v>0.34526171099456904</v>
      </c>
      <c r="C927" s="1">
        <v>140</v>
      </c>
      <c r="D927" s="1">
        <v>510</v>
      </c>
      <c r="E927" s="2">
        <v>43296</v>
      </c>
      <c r="F927" s="6">
        <v>26.459789728686545</v>
      </c>
    </row>
    <row r="928" spans="1:6">
      <c r="A928" s="1">
        <v>9124078</v>
      </c>
      <c r="B928" s="1">
        <v>1.6882398091952688E-2</v>
      </c>
      <c r="C928" s="1">
        <v>289</v>
      </c>
      <c r="D928" s="1">
        <v>40</v>
      </c>
      <c r="E928" s="2">
        <v>43254</v>
      </c>
      <c r="F928" s="6">
        <v>33.122689206646612</v>
      </c>
    </row>
    <row r="929" spans="1:6">
      <c r="A929" s="1">
        <v>9124081</v>
      </c>
      <c r="B929" s="1">
        <v>0.47486244358615537</v>
      </c>
      <c r="C929" s="1">
        <v>15</v>
      </c>
      <c r="D929" s="1">
        <v>592</v>
      </c>
      <c r="E929" s="2">
        <v>42788</v>
      </c>
      <c r="F929" s="6">
        <v>191.42684743696822</v>
      </c>
    </row>
    <row r="930" spans="1:6">
      <c r="A930" s="1">
        <v>9124084</v>
      </c>
      <c r="B930" s="1">
        <v>0.52891000244685094</v>
      </c>
      <c r="C930" s="1">
        <v>77</v>
      </c>
      <c r="D930" s="1">
        <v>149</v>
      </c>
      <c r="E930" s="2">
        <v>43420</v>
      </c>
      <c r="F930" s="6">
        <v>58.907653247466271</v>
      </c>
    </row>
    <row r="931" spans="1:6">
      <c r="A931" s="1">
        <v>9124087</v>
      </c>
      <c r="B931" s="1">
        <v>2.1395611810819504E-2</v>
      </c>
      <c r="C931" s="1">
        <v>1</v>
      </c>
      <c r="D931" s="1">
        <v>273</v>
      </c>
      <c r="E931" s="2">
        <v>43284</v>
      </c>
      <c r="F931" s="6">
        <v>6.2630651360116474</v>
      </c>
    </row>
    <row r="932" spans="1:6">
      <c r="A932" s="1">
        <v>9124090</v>
      </c>
      <c r="B932" s="1">
        <v>0.45483105148713165</v>
      </c>
      <c r="C932" s="1">
        <v>9</v>
      </c>
      <c r="D932" s="1">
        <v>348</v>
      </c>
      <c r="E932" s="2">
        <v>43468</v>
      </c>
      <c r="F932" s="6">
        <v>50.96781097080774</v>
      </c>
    </row>
    <row r="933" spans="1:6">
      <c r="A933" s="1">
        <v>9124093</v>
      </c>
      <c r="B933" s="1">
        <v>0.21107346797214743</v>
      </c>
      <c r="C933" s="1">
        <v>403</v>
      </c>
      <c r="D933" s="1">
        <v>458</v>
      </c>
      <c r="E933" s="2">
        <v>42958</v>
      </c>
      <c r="F933" s="6">
        <v>4.850542966509038</v>
      </c>
    </row>
    <row r="934" spans="1:6">
      <c r="A934" s="1">
        <v>9124096</v>
      </c>
      <c r="B934" s="1">
        <v>0.21120990164122733</v>
      </c>
      <c r="C934" s="1">
        <v>65</v>
      </c>
      <c r="D934" s="1">
        <v>272</v>
      </c>
      <c r="E934" s="2">
        <v>43428</v>
      </c>
      <c r="F934" s="6">
        <v>49.059786159858554</v>
      </c>
    </row>
    <row r="935" spans="1:6">
      <c r="A935" s="1">
        <v>9124099</v>
      </c>
      <c r="B935" s="1">
        <v>0.31608014991182687</v>
      </c>
      <c r="C935" s="1">
        <v>141</v>
      </c>
      <c r="D935" s="1">
        <v>420</v>
      </c>
      <c r="E935" s="2">
        <v>43427</v>
      </c>
      <c r="F935" s="6">
        <v>35.74732661220964</v>
      </c>
    </row>
    <row r="936" spans="1:6">
      <c r="A936" s="1">
        <v>9124102</v>
      </c>
      <c r="B936" s="1">
        <v>0.932096789214792</v>
      </c>
      <c r="C936" s="1">
        <v>4</v>
      </c>
      <c r="D936" s="1">
        <v>167</v>
      </c>
      <c r="E936" s="2">
        <v>42983</v>
      </c>
      <c r="F936" s="6">
        <v>10.224564820814257</v>
      </c>
    </row>
    <row r="937" spans="1:6">
      <c r="A937" s="1">
        <v>9124105</v>
      </c>
      <c r="B937" s="1">
        <v>0.84016783416909957</v>
      </c>
      <c r="C937" s="1">
        <v>2</v>
      </c>
      <c r="D937" s="1">
        <v>102</v>
      </c>
      <c r="E937" s="2">
        <v>43404</v>
      </c>
      <c r="F937" s="6">
        <v>142.97243714921368</v>
      </c>
    </row>
    <row r="938" spans="1:6">
      <c r="A938" s="1">
        <v>9124108</v>
      </c>
      <c r="B938" s="1">
        <v>0.76496876585730189</v>
      </c>
      <c r="C938" s="1">
        <v>22</v>
      </c>
      <c r="D938" s="1">
        <v>176</v>
      </c>
      <c r="E938" s="2">
        <v>43255</v>
      </c>
      <c r="F938" s="6">
        <v>51.6920754725367</v>
      </c>
    </row>
    <row r="939" spans="1:6">
      <c r="A939" s="1">
        <v>9124111</v>
      </c>
      <c r="B939" s="1">
        <v>0.57507079955856411</v>
      </c>
      <c r="C939" s="1">
        <v>28</v>
      </c>
      <c r="D939" s="1">
        <v>521</v>
      </c>
      <c r="E939" s="2">
        <v>42775</v>
      </c>
      <c r="F939" s="6">
        <v>133.69729234095954</v>
      </c>
    </row>
    <row r="940" spans="1:6">
      <c r="A940" s="1">
        <v>9124114</v>
      </c>
      <c r="B940" s="1">
        <v>0.87002529726971001</v>
      </c>
      <c r="C940" s="1">
        <v>1</v>
      </c>
      <c r="D940" s="1">
        <v>231</v>
      </c>
      <c r="E940" s="2">
        <v>42904</v>
      </c>
      <c r="F940" s="6">
        <v>19.906205681061262</v>
      </c>
    </row>
    <row r="941" spans="1:6">
      <c r="A941" s="1">
        <v>9124117</v>
      </c>
      <c r="B941" s="1">
        <v>0.94036998048841114</v>
      </c>
      <c r="C941" s="1">
        <v>110</v>
      </c>
      <c r="D941" s="1">
        <v>78</v>
      </c>
      <c r="E941" s="2">
        <v>43055</v>
      </c>
      <c r="F941" s="6">
        <v>138.19598524757495</v>
      </c>
    </row>
    <row r="942" spans="1:6">
      <c r="A942" s="1">
        <v>9124120</v>
      </c>
      <c r="B942" s="1">
        <v>6.0629708590909326E-2</v>
      </c>
      <c r="C942" s="1">
        <v>4</v>
      </c>
      <c r="D942" s="1">
        <v>564</v>
      </c>
      <c r="E942" s="2">
        <v>43324</v>
      </c>
      <c r="F942" s="6">
        <v>120.34500710297826</v>
      </c>
    </row>
    <row r="943" spans="1:6">
      <c r="A943" s="1">
        <v>9124123</v>
      </c>
      <c r="B943" s="1">
        <v>0.9354752815591183</v>
      </c>
      <c r="C943" s="1">
        <v>9</v>
      </c>
      <c r="D943" s="1">
        <v>258</v>
      </c>
      <c r="E943" s="2">
        <v>42839</v>
      </c>
      <c r="F943" s="6">
        <v>26.606652915141773</v>
      </c>
    </row>
    <row r="944" spans="1:6">
      <c r="A944" s="1">
        <v>9124126</v>
      </c>
      <c r="B944" s="1">
        <v>0.52352018529415711</v>
      </c>
      <c r="C944" s="1">
        <v>9</v>
      </c>
      <c r="D944" s="1">
        <v>139</v>
      </c>
      <c r="E944" s="2">
        <v>43173</v>
      </c>
      <c r="F944" s="6">
        <v>12.164911282084002</v>
      </c>
    </row>
    <row r="945" spans="1:6">
      <c r="A945" s="1">
        <v>9124129</v>
      </c>
      <c r="B945" s="1">
        <v>0.52599401300410753</v>
      </c>
      <c r="C945" s="1">
        <v>386</v>
      </c>
      <c r="D945" s="1">
        <v>115</v>
      </c>
      <c r="E945" s="2">
        <v>42985</v>
      </c>
      <c r="F945" s="6">
        <v>64.065498509186199</v>
      </c>
    </row>
    <row r="946" spans="1:6">
      <c r="A946" s="1">
        <v>9124132</v>
      </c>
      <c r="B946" s="1">
        <v>0.68400631307556914</v>
      </c>
      <c r="C946" s="1">
        <v>90</v>
      </c>
      <c r="D946" s="1">
        <v>592</v>
      </c>
      <c r="E946" s="2">
        <v>43291</v>
      </c>
      <c r="F946" s="6">
        <v>15.8057024338102</v>
      </c>
    </row>
    <row r="947" spans="1:6">
      <c r="A947" s="1">
        <v>9124135</v>
      </c>
      <c r="B947" s="1">
        <v>0.81035518054322897</v>
      </c>
      <c r="C947" s="1">
        <v>386</v>
      </c>
      <c r="D947" s="1">
        <v>258</v>
      </c>
      <c r="E947" s="2">
        <v>42801</v>
      </c>
      <c r="F947" s="6">
        <v>103.44224028705739</v>
      </c>
    </row>
    <row r="948" spans="1:6">
      <c r="A948" s="1">
        <v>9124138</v>
      </c>
      <c r="B948" s="1">
        <v>0.63245448388425274</v>
      </c>
      <c r="C948" s="1">
        <v>26</v>
      </c>
      <c r="D948" s="1">
        <v>468</v>
      </c>
      <c r="E948" s="2">
        <v>43058</v>
      </c>
      <c r="F948" s="6">
        <v>27.438998462119361</v>
      </c>
    </row>
    <row r="949" spans="1:6">
      <c r="A949" s="1">
        <v>9124141</v>
      </c>
      <c r="B949" s="1">
        <v>0.11026562812990504</v>
      </c>
      <c r="C949" s="1">
        <v>24</v>
      </c>
      <c r="D949" s="1">
        <v>494</v>
      </c>
      <c r="E949" s="2">
        <v>43184</v>
      </c>
      <c r="F949" s="6">
        <v>34.03857997632722</v>
      </c>
    </row>
    <row r="950" spans="1:6">
      <c r="A950" s="1">
        <v>9124144</v>
      </c>
      <c r="B950" s="1">
        <v>0.39688352141145622</v>
      </c>
      <c r="C950" s="1">
        <v>8</v>
      </c>
      <c r="D950" s="1">
        <v>258</v>
      </c>
      <c r="E950" s="2">
        <v>43020</v>
      </c>
      <c r="F950" s="6">
        <v>21.881636042782471</v>
      </c>
    </row>
    <row r="951" spans="1:6">
      <c r="A951" s="1">
        <v>9124147</v>
      </c>
      <c r="B951" s="1">
        <v>0.4466219386569954</v>
      </c>
      <c r="C951" s="1">
        <v>2</v>
      </c>
      <c r="D951" s="1">
        <v>12</v>
      </c>
      <c r="E951" s="2">
        <v>43072</v>
      </c>
      <c r="F951" s="6">
        <v>12.252654465350497</v>
      </c>
    </row>
    <row r="952" spans="1:6">
      <c r="A952" s="1">
        <v>9124150</v>
      </c>
      <c r="B952" s="1">
        <v>0.59170706396075878</v>
      </c>
      <c r="C952" s="1">
        <v>91</v>
      </c>
      <c r="D952" s="1">
        <v>330</v>
      </c>
      <c r="E952" s="2">
        <v>43034</v>
      </c>
      <c r="F952" s="6">
        <v>77.609183288735863</v>
      </c>
    </row>
    <row r="953" spans="1:6">
      <c r="A953" s="1">
        <v>9124153</v>
      </c>
      <c r="B953" s="1">
        <v>0.83950298160620873</v>
      </c>
      <c r="C953" s="1">
        <v>11</v>
      </c>
      <c r="D953" s="1">
        <v>376</v>
      </c>
      <c r="E953" s="2">
        <v>43305</v>
      </c>
      <c r="F953" s="6">
        <v>18.914336081668999</v>
      </c>
    </row>
    <row r="954" spans="1:6">
      <c r="A954" s="1">
        <v>9124156</v>
      </c>
      <c r="B954" s="1">
        <v>0.3628098378064859</v>
      </c>
      <c r="C954" s="1">
        <v>34</v>
      </c>
      <c r="D954" s="1">
        <v>510</v>
      </c>
      <c r="E954" s="2">
        <v>42736</v>
      </c>
      <c r="F954" s="6">
        <v>30.239186055570023</v>
      </c>
    </row>
    <row r="955" spans="1:6">
      <c r="A955" s="1">
        <v>9124159</v>
      </c>
      <c r="B955" s="1">
        <v>0.32111980692009967</v>
      </c>
      <c r="C955" s="1">
        <v>2</v>
      </c>
      <c r="D955" s="1">
        <v>458</v>
      </c>
      <c r="E955" s="2">
        <v>43401</v>
      </c>
      <c r="F955" s="6">
        <v>30.851444499439037</v>
      </c>
    </row>
    <row r="956" spans="1:6">
      <c r="A956" s="1">
        <v>9124162</v>
      </c>
      <c r="B956" s="1">
        <v>0.49276213376697331</v>
      </c>
      <c r="C956" s="1">
        <v>247</v>
      </c>
      <c r="D956" s="1">
        <v>541</v>
      </c>
      <c r="E956" s="2">
        <v>43344</v>
      </c>
      <c r="F956" s="6">
        <v>3.8547016546255763</v>
      </c>
    </row>
    <row r="957" spans="1:6">
      <c r="A957" s="1">
        <v>9124165</v>
      </c>
      <c r="B957" s="1">
        <v>0.1679597978741969</v>
      </c>
      <c r="C957" s="1">
        <v>70</v>
      </c>
      <c r="D957" s="1">
        <v>299</v>
      </c>
      <c r="E957" s="2">
        <v>43297</v>
      </c>
      <c r="F957" s="6">
        <v>152.45516237821442</v>
      </c>
    </row>
    <row r="958" spans="1:6">
      <c r="A958" s="1">
        <v>9124168</v>
      </c>
      <c r="B958" s="1">
        <v>0.56159960133268794</v>
      </c>
      <c r="C958" s="1">
        <v>82</v>
      </c>
      <c r="D958" s="1">
        <v>495</v>
      </c>
      <c r="E958" s="2">
        <v>42947</v>
      </c>
      <c r="F958" s="6">
        <v>46.8404691637041</v>
      </c>
    </row>
    <row r="959" spans="1:6">
      <c r="A959" s="1">
        <v>9124171</v>
      </c>
      <c r="B959" s="1">
        <v>0.43686891372287806</v>
      </c>
      <c r="C959" s="1">
        <v>135</v>
      </c>
      <c r="D959" s="1">
        <v>551</v>
      </c>
      <c r="E959" s="2">
        <v>43306</v>
      </c>
      <c r="F959" s="6">
        <v>107.25412943835141</v>
      </c>
    </row>
    <row r="960" spans="1:6">
      <c r="A960" s="1">
        <v>9124174</v>
      </c>
      <c r="B960" s="1">
        <v>0.2548414059937163</v>
      </c>
      <c r="C960" s="1">
        <v>30</v>
      </c>
      <c r="D960" s="1">
        <v>329</v>
      </c>
      <c r="E960" s="2">
        <v>42922</v>
      </c>
      <c r="F960" s="6">
        <v>4.6701697492904088</v>
      </c>
    </row>
    <row r="961" spans="1:6">
      <c r="A961" s="1">
        <v>9124177</v>
      </c>
      <c r="B961" s="1">
        <v>2.4045442349523993E-2</v>
      </c>
      <c r="C961" s="1">
        <v>202</v>
      </c>
      <c r="D961" s="1">
        <v>420</v>
      </c>
      <c r="E961" s="2">
        <v>43261</v>
      </c>
      <c r="F961" s="6">
        <v>31.786866631908133</v>
      </c>
    </row>
    <row r="962" spans="1:6">
      <c r="A962" s="1">
        <v>9124180</v>
      </c>
      <c r="B962" s="1">
        <v>0.24341400233589139</v>
      </c>
      <c r="C962" s="1">
        <v>62</v>
      </c>
      <c r="D962" s="1">
        <v>575</v>
      </c>
      <c r="E962" s="2">
        <v>43301</v>
      </c>
      <c r="F962" s="6">
        <v>23.044257984922158</v>
      </c>
    </row>
    <row r="963" spans="1:6">
      <c r="A963" s="1">
        <v>9124183</v>
      </c>
      <c r="B963" s="1">
        <v>0.42382357817045946</v>
      </c>
      <c r="C963" s="1">
        <v>20</v>
      </c>
      <c r="D963" s="1">
        <v>235</v>
      </c>
      <c r="E963" s="2">
        <v>43432</v>
      </c>
      <c r="F963" s="6">
        <v>16.967099929554486</v>
      </c>
    </row>
    <row r="964" spans="1:6">
      <c r="A964" s="1">
        <v>9124186</v>
      </c>
      <c r="B964" s="1">
        <v>0.55208815172503412</v>
      </c>
      <c r="C964" s="1">
        <v>11</v>
      </c>
      <c r="D964" s="1">
        <v>258</v>
      </c>
      <c r="E964" s="2">
        <v>43480</v>
      </c>
      <c r="F964" s="6">
        <v>3.4209968934186725</v>
      </c>
    </row>
    <row r="965" spans="1:6">
      <c r="A965" s="1">
        <v>9124189</v>
      </c>
      <c r="B965" s="1">
        <v>0.41902321992929503</v>
      </c>
      <c r="C965" s="1">
        <v>12</v>
      </c>
      <c r="D965" s="1">
        <v>368</v>
      </c>
      <c r="E965" s="2">
        <v>43252</v>
      </c>
      <c r="F965" s="6">
        <v>68.779414342864555</v>
      </c>
    </row>
    <row r="966" spans="1:6">
      <c r="A966" s="1">
        <v>9124192</v>
      </c>
      <c r="B966" s="1">
        <v>0.29305599533511462</v>
      </c>
      <c r="C966" s="1">
        <v>231</v>
      </c>
      <c r="D966" s="1">
        <v>182</v>
      </c>
      <c r="E966" s="2">
        <v>43479</v>
      </c>
      <c r="F966" s="6">
        <v>54.492342785057787</v>
      </c>
    </row>
    <row r="967" spans="1:6">
      <c r="A967" s="1">
        <v>9124195</v>
      </c>
      <c r="B967" s="1">
        <v>6.4621026272333792E-2</v>
      </c>
      <c r="C967" s="1">
        <v>205</v>
      </c>
      <c r="D967" s="1">
        <v>560</v>
      </c>
      <c r="E967" s="2">
        <v>43320</v>
      </c>
      <c r="F967" s="6">
        <v>4.206489191778287</v>
      </c>
    </row>
    <row r="968" spans="1:6">
      <c r="A968" s="1">
        <v>9124198</v>
      </c>
      <c r="B968" s="1">
        <v>0.26986661374505738</v>
      </c>
      <c r="C968" s="1">
        <v>3</v>
      </c>
      <c r="D968" s="1">
        <v>358</v>
      </c>
      <c r="E968" s="2">
        <v>43269</v>
      </c>
      <c r="F968" s="6">
        <v>6.0976176996824067</v>
      </c>
    </row>
    <row r="969" spans="1:6">
      <c r="A969" s="1">
        <v>9124201</v>
      </c>
      <c r="B969" s="1">
        <v>0.52254359691599805</v>
      </c>
      <c r="C969" s="1">
        <v>4</v>
      </c>
      <c r="D969" s="1">
        <v>12</v>
      </c>
      <c r="E969" s="2">
        <v>43030</v>
      </c>
      <c r="F969" s="6">
        <v>6.8222445332960504</v>
      </c>
    </row>
    <row r="970" spans="1:6">
      <c r="A970" s="1">
        <v>9124204</v>
      </c>
      <c r="B970" s="1">
        <v>0.22081522926399333</v>
      </c>
      <c r="C970" s="1">
        <v>15</v>
      </c>
      <c r="D970" s="1">
        <v>176</v>
      </c>
      <c r="E970" s="2">
        <v>43209</v>
      </c>
      <c r="F970" s="6">
        <v>49.147609861452125</v>
      </c>
    </row>
    <row r="971" spans="1:6">
      <c r="A971" s="1">
        <v>9124207</v>
      </c>
      <c r="B971" s="1">
        <v>0.51227546308377059</v>
      </c>
      <c r="C971" s="1">
        <v>32</v>
      </c>
      <c r="D971" s="1">
        <v>430</v>
      </c>
      <c r="E971" s="2">
        <v>43145</v>
      </c>
      <c r="F971" s="6">
        <v>50.280750642534549</v>
      </c>
    </row>
    <row r="972" spans="1:6">
      <c r="A972" s="1">
        <v>9124210</v>
      </c>
      <c r="B972" s="1">
        <v>0.86575371270992996</v>
      </c>
      <c r="C972" s="1">
        <v>22</v>
      </c>
      <c r="D972" s="1">
        <v>176</v>
      </c>
      <c r="E972" s="2">
        <v>42969</v>
      </c>
      <c r="F972" s="6">
        <v>172.64464734882426</v>
      </c>
    </row>
    <row r="973" spans="1:6">
      <c r="A973" s="1">
        <v>9124213</v>
      </c>
      <c r="B973" s="1">
        <v>0.26479907418954263</v>
      </c>
      <c r="C973" s="1">
        <v>29</v>
      </c>
      <c r="D973" s="1">
        <v>90</v>
      </c>
      <c r="E973" s="2">
        <v>43484</v>
      </c>
      <c r="F973" s="6">
        <v>84.351974802017125</v>
      </c>
    </row>
    <row r="974" spans="1:6">
      <c r="A974" s="1">
        <v>9124216</v>
      </c>
      <c r="B974" s="1">
        <v>0.28810816152333385</v>
      </c>
      <c r="C974" s="1">
        <v>21</v>
      </c>
      <c r="D974" s="1">
        <v>512</v>
      </c>
      <c r="E974" s="2">
        <v>42864</v>
      </c>
      <c r="F974" s="6">
        <v>192.28441126916223</v>
      </c>
    </row>
    <row r="975" spans="1:6">
      <c r="A975" s="1">
        <v>9124219</v>
      </c>
      <c r="B975" s="1">
        <v>0.66083439603913596</v>
      </c>
      <c r="C975" s="1">
        <v>65</v>
      </c>
      <c r="D975" s="1">
        <v>90</v>
      </c>
      <c r="E975" s="2">
        <v>43159</v>
      </c>
      <c r="F975" s="6">
        <v>47.743631986504226</v>
      </c>
    </row>
    <row r="976" spans="1:6">
      <c r="A976" s="1">
        <v>9124222</v>
      </c>
      <c r="B976" s="1">
        <v>0.84612739704041007</v>
      </c>
      <c r="C976" s="1">
        <v>21</v>
      </c>
      <c r="D976" s="1">
        <v>451</v>
      </c>
      <c r="E976" s="2">
        <v>43159</v>
      </c>
      <c r="F976" s="6">
        <v>4.8165099027913163</v>
      </c>
    </row>
    <row r="977" spans="1:6">
      <c r="A977" s="1">
        <v>9124225</v>
      </c>
      <c r="B977" s="1">
        <v>0.48647083095739496</v>
      </c>
      <c r="C977" s="1">
        <v>133</v>
      </c>
      <c r="D977" s="1">
        <v>509</v>
      </c>
      <c r="E977" s="2">
        <v>43100</v>
      </c>
      <c r="F977" s="6">
        <v>22.961007936039685</v>
      </c>
    </row>
    <row r="978" spans="1:6">
      <c r="A978" s="1">
        <v>9124228</v>
      </c>
      <c r="B978" s="1">
        <v>0.82950462712382189</v>
      </c>
      <c r="C978" s="1">
        <v>52</v>
      </c>
      <c r="D978" s="1">
        <v>22</v>
      </c>
      <c r="E978" s="2">
        <v>43250</v>
      </c>
      <c r="F978" s="6">
        <v>18.723268833839406</v>
      </c>
    </row>
    <row r="979" spans="1:6">
      <c r="A979" s="1">
        <v>9124231</v>
      </c>
      <c r="B979" s="1">
        <v>0.46797454952128437</v>
      </c>
      <c r="C979" s="1">
        <v>6</v>
      </c>
      <c r="D979" s="1">
        <v>562</v>
      </c>
      <c r="E979" s="2">
        <v>43145</v>
      </c>
      <c r="F979" s="6">
        <v>36.3803217523051</v>
      </c>
    </row>
    <row r="980" spans="1:6">
      <c r="A980" s="1">
        <v>9124234</v>
      </c>
      <c r="B980" s="1">
        <v>0.1923049628328648</v>
      </c>
      <c r="C980" s="1">
        <v>31</v>
      </c>
      <c r="D980" s="1">
        <v>141</v>
      </c>
      <c r="E980" s="2">
        <v>43235</v>
      </c>
      <c r="F980" s="6">
        <v>8.7151086972125604</v>
      </c>
    </row>
    <row r="981" spans="1:6">
      <c r="A981" s="1">
        <v>9124237</v>
      </c>
      <c r="B981" s="1">
        <v>0.16424136295527281</v>
      </c>
      <c r="C981" s="1">
        <v>38</v>
      </c>
      <c r="D981" s="1">
        <v>155</v>
      </c>
      <c r="E981" s="2">
        <v>43475</v>
      </c>
      <c r="F981" s="6">
        <v>206.96352162993128</v>
      </c>
    </row>
    <row r="982" spans="1:6">
      <c r="A982" s="1">
        <v>9124240</v>
      </c>
      <c r="B982" s="1">
        <v>0.24459642530064896</v>
      </c>
      <c r="C982" s="1">
        <v>199</v>
      </c>
      <c r="D982" s="1">
        <v>100</v>
      </c>
      <c r="E982" s="2">
        <v>43200</v>
      </c>
      <c r="F982" s="6">
        <v>216.70675748647349</v>
      </c>
    </row>
    <row r="983" spans="1:6">
      <c r="A983" s="1">
        <v>9124243</v>
      </c>
      <c r="B983" s="1">
        <v>0.66442010891485037</v>
      </c>
      <c r="C983" s="1">
        <v>41</v>
      </c>
      <c r="D983" s="1">
        <v>149</v>
      </c>
      <c r="E983" s="2">
        <v>43263</v>
      </c>
      <c r="F983" s="6">
        <v>18.202972495701847</v>
      </c>
    </row>
    <row r="984" spans="1:6">
      <c r="A984" s="1">
        <v>9124246</v>
      </c>
      <c r="B984" s="1">
        <v>0.65959732499624679</v>
      </c>
      <c r="C984" s="1">
        <v>157</v>
      </c>
      <c r="D984" s="1">
        <v>564</v>
      </c>
      <c r="E984" s="2">
        <v>43496</v>
      </c>
      <c r="F984" s="6">
        <v>73.83817231641622</v>
      </c>
    </row>
    <row r="985" spans="1:6">
      <c r="A985" s="1">
        <v>9124249</v>
      </c>
      <c r="B985" s="1">
        <v>0.52811460937946642</v>
      </c>
      <c r="C985" s="1">
        <v>32</v>
      </c>
      <c r="D985" s="1">
        <v>175</v>
      </c>
      <c r="E985" s="2">
        <v>42773</v>
      </c>
      <c r="F985" s="6">
        <v>85.290961432138772</v>
      </c>
    </row>
    <row r="986" spans="1:6">
      <c r="A986" s="1">
        <v>9124252</v>
      </c>
      <c r="B986" s="1">
        <v>0.31398934945111479</v>
      </c>
      <c r="C986" s="1">
        <v>20</v>
      </c>
      <c r="D986" s="1">
        <v>273</v>
      </c>
      <c r="E986" s="2">
        <v>43359</v>
      </c>
      <c r="F986" s="6">
        <v>133.88057590802387</v>
      </c>
    </row>
    <row r="987" spans="1:6">
      <c r="A987" s="1">
        <v>9124255</v>
      </c>
      <c r="B987" s="1">
        <v>2.5936598549380574E-2</v>
      </c>
      <c r="C987" s="1">
        <v>24</v>
      </c>
      <c r="D987" s="1">
        <v>374</v>
      </c>
      <c r="E987" s="2">
        <v>43254</v>
      </c>
      <c r="F987" s="6">
        <v>7.00174453762925</v>
      </c>
    </row>
    <row r="988" spans="1:6">
      <c r="A988" s="1">
        <v>9124258</v>
      </c>
      <c r="B988" s="1">
        <v>0.41442241029059301</v>
      </c>
      <c r="C988" s="1">
        <v>57</v>
      </c>
      <c r="D988" s="1">
        <v>329</v>
      </c>
      <c r="E988" s="2">
        <v>43086</v>
      </c>
      <c r="F988" s="6">
        <v>3.3915133510409303</v>
      </c>
    </row>
    <row r="989" spans="1:6">
      <c r="A989" s="1">
        <v>9124261</v>
      </c>
      <c r="B989" s="1">
        <v>0.61914226093248037</v>
      </c>
      <c r="C989" s="1">
        <v>82</v>
      </c>
      <c r="D989" s="1">
        <v>149</v>
      </c>
      <c r="E989" s="2">
        <v>43245</v>
      </c>
      <c r="F989" s="6">
        <v>14.499137064513301</v>
      </c>
    </row>
    <row r="990" spans="1:6">
      <c r="A990" s="1">
        <v>9124264</v>
      </c>
      <c r="B990" s="1">
        <v>0.19844972257125604</v>
      </c>
      <c r="C990" s="1">
        <v>92</v>
      </c>
      <c r="D990" s="1">
        <v>599</v>
      </c>
      <c r="E990" s="2">
        <v>43329</v>
      </c>
      <c r="F990" s="6">
        <v>47.63890611867533</v>
      </c>
    </row>
    <row r="991" spans="1:6">
      <c r="A991" s="1">
        <v>9124267</v>
      </c>
      <c r="B991" s="1">
        <v>0.65028282751467392</v>
      </c>
      <c r="C991" s="1">
        <v>34</v>
      </c>
      <c r="D991" s="1">
        <v>146</v>
      </c>
      <c r="E991" s="2">
        <v>43078</v>
      </c>
      <c r="F991" s="6">
        <v>68.965653104945716</v>
      </c>
    </row>
    <row r="992" spans="1:6">
      <c r="A992" s="1">
        <v>9124270</v>
      </c>
      <c r="B992" s="1">
        <v>0.65366705179215356</v>
      </c>
      <c r="C992" s="1">
        <v>48</v>
      </c>
      <c r="D992" s="1">
        <v>366</v>
      </c>
      <c r="E992" s="2">
        <v>43019</v>
      </c>
      <c r="F992" s="6">
        <v>81.741870331356949</v>
      </c>
    </row>
    <row r="993" spans="1:6">
      <c r="A993" s="1">
        <v>9124273</v>
      </c>
      <c r="B993" s="1">
        <v>0.90433916322604069</v>
      </c>
      <c r="C993" s="1">
        <v>333</v>
      </c>
      <c r="D993" s="1">
        <v>88</v>
      </c>
      <c r="E993" s="2">
        <v>42803</v>
      </c>
      <c r="F993" s="6">
        <v>11.1705650971958</v>
      </c>
    </row>
    <row r="994" spans="1:6">
      <c r="A994" s="1">
        <v>9124276</v>
      </c>
      <c r="B994" s="1">
        <v>0.32623963847273929</v>
      </c>
      <c r="C994" s="1">
        <v>39</v>
      </c>
      <c r="D994" s="1">
        <v>527</v>
      </c>
      <c r="E994" s="2">
        <v>43194</v>
      </c>
      <c r="F994" s="6">
        <v>79.030111284945164</v>
      </c>
    </row>
    <row r="995" spans="1:6">
      <c r="A995" s="1">
        <v>9124279</v>
      </c>
      <c r="B995" s="1">
        <v>0.22184460655343252</v>
      </c>
      <c r="C995" s="1">
        <v>16</v>
      </c>
      <c r="D995" s="1">
        <v>78</v>
      </c>
      <c r="E995" s="2">
        <v>42768</v>
      </c>
      <c r="F995" s="6">
        <v>6.2123226873855977</v>
      </c>
    </row>
    <row r="996" spans="1:6">
      <c r="A996" s="1">
        <v>9124282</v>
      </c>
      <c r="B996" s="1">
        <v>0.19788284196269745</v>
      </c>
      <c r="C996" s="1">
        <v>3</v>
      </c>
      <c r="D996" s="1">
        <v>487</v>
      </c>
      <c r="E996" s="2">
        <v>42751</v>
      </c>
      <c r="F996" s="6">
        <v>87.366838424107385</v>
      </c>
    </row>
    <row r="997" spans="1:6">
      <c r="A997" s="1">
        <v>9124285</v>
      </c>
      <c r="B997" s="1">
        <v>0.74785666202827827</v>
      </c>
      <c r="C997" s="1">
        <v>5</v>
      </c>
      <c r="D997" s="1">
        <v>146</v>
      </c>
      <c r="E997" s="2">
        <v>43491</v>
      </c>
      <c r="F997" s="6">
        <v>30.36995198061976</v>
      </c>
    </row>
    <row r="998" spans="1:6">
      <c r="A998" s="1">
        <v>9124288</v>
      </c>
      <c r="B998" s="1">
        <v>0.77076183394210684</v>
      </c>
      <c r="C998" s="1">
        <v>126</v>
      </c>
      <c r="D998" s="1">
        <v>254</v>
      </c>
      <c r="E998" s="2">
        <v>42816</v>
      </c>
      <c r="F998" s="6">
        <v>44.944434950196637</v>
      </c>
    </row>
    <row r="999" spans="1:6">
      <c r="A999" s="1">
        <v>9124291</v>
      </c>
      <c r="B999" s="1">
        <v>7.192744860886835E-3</v>
      </c>
      <c r="C999" s="1">
        <v>8</v>
      </c>
      <c r="D999" s="1">
        <v>156</v>
      </c>
      <c r="E999" s="2">
        <v>43429</v>
      </c>
      <c r="F999" s="6">
        <v>13.807684853726075</v>
      </c>
    </row>
    <row r="1000" spans="1:6">
      <c r="A1000" s="1">
        <v>9124294</v>
      </c>
      <c r="B1000" s="1">
        <v>0.6262988267108246</v>
      </c>
      <c r="C1000" s="1">
        <v>2</v>
      </c>
      <c r="D1000" s="1">
        <v>296</v>
      </c>
      <c r="E1000" s="2">
        <v>42905</v>
      </c>
      <c r="F1000" s="6">
        <v>46.017993465111992</v>
      </c>
    </row>
    <row r="1001" spans="1:6">
      <c r="A1001" s="1">
        <v>9124297</v>
      </c>
      <c r="B1001" s="1">
        <v>0.48139695456216347</v>
      </c>
      <c r="C1001" s="1">
        <v>7</v>
      </c>
      <c r="D1001" s="1">
        <v>348</v>
      </c>
      <c r="E1001" s="2">
        <v>43158</v>
      </c>
      <c r="F1001" s="6">
        <v>81.271001392591415</v>
      </c>
    </row>
    <row r="1002" spans="1:6">
      <c r="A1002" s="1">
        <v>9124300</v>
      </c>
      <c r="B1002" s="1">
        <v>0.98429738944346279</v>
      </c>
      <c r="C1002" s="1">
        <v>22</v>
      </c>
      <c r="D1002" s="1">
        <v>176</v>
      </c>
      <c r="E1002" s="2">
        <v>42737</v>
      </c>
      <c r="F1002" s="6">
        <v>265.74501110155012</v>
      </c>
    </row>
    <row r="1003" spans="1:6">
      <c r="A1003" s="1">
        <v>9124303</v>
      </c>
      <c r="B1003" s="1">
        <v>0.87610266652686208</v>
      </c>
      <c r="C1003" s="1">
        <v>8</v>
      </c>
      <c r="D1003" s="1">
        <v>348</v>
      </c>
      <c r="E1003" s="2">
        <v>42785</v>
      </c>
      <c r="F1003" s="6">
        <v>9.7127785741401986</v>
      </c>
    </row>
    <row r="1004" spans="1:6">
      <c r="A1004" s="1">
        <v>9124306</v>
      </c>
      <c r="B1004" s="1">
        <v>0.27125125658163984</v>
      </c>
      <c r="C1004" s="1">
        <v>122</v>
      </c>
      <c r="D1004" s="1">
        <v>510</v>
      </c>
      <c r="E1004" s="2">
        <v>43459</v>
      </c>
      <c r="F1004" s="6">
        <v>101.94014714973054</v>
      </c>
    </row>
    <row r="1005" spans="1:6">
      <c r="A1005" s="1">
        <v>9124309</v>
      </c>
      <c r="B1005" s="1">
        <v>0.34790950738190907</v>
      </c>
      <c r="C1005" s="1">
        <v>264</v>
      </c>
      <c r="D1005" s="1">
        <v>290</v>
      </c>
      <c r="E1005" s="2">
        <v>43290</v>
      </c>
      <c r="F1005" s="6">
        <v>22.446188271928715</v>
      </c>
    </row>
    <row r="1006" spans="1:6">
      <c r="A1006" s="1">
        <v>9124312</v>
      </c>
      <c r="B1006" s="1">
        <v>0.2418317858022131</v>
      </c>
      <c r="C1006" s="1">
        <v>24</v>
      </c>
      <c r="D1006" s="1">
        <v>221</v>
      </c>
      <c r="E1006" s="2">
        <v>43272</v>
      </c>
      <c r="F1006" s="6">
        <v>10.74906505589556</v>
      </c>
    </row>
    <row r="1007" spans="1:6">
      <c r="A1007" s="1">
        <v>9124315</v>
      </c>
      <c r="B1007" s="1">
        <v>0.71356064184553725</v>
      </c>
      <c r="C1007" s="1">
        <v>35</v>
      </c>
      <c r="D1007" s="1">
        <v>492</v>
      </c>
      <c r="E1007" s="2">
        <v>43240</v>
      </c>
      <c r="F1007" s="6">
        <v>132.60099814033018</v>
      </c>
    </row>
    <row r="1008" spans="1:6">
      <c r="A1008" s="1">
        <v>9124318</v>
      </c>
      <c r="B1008" s="1">
        <v>0.97216806922675836</v>
      </c>
      <c r="C1008" s="1">
        <v>4</v>
      </c>
      <c r="D1008" s="1">
        <v>358</v>
      </c>
      <c r="E1008" s="2">
        <v>43401</v>
      </c>
      <c r="F1008" s="6">
        <v>83.091497234133229</v>
      </c>
    </row>
    <row r="1009" spans="1:6">
      <c r="A1009" s="1">
        <v>9124321</v>
      </c>
      <c r="B1009" s="1">
        <v>0.46350263932455449</v>
      </c>
      <c r="C1009" s="1">
        <v>14</v>
      </c>
      <c r="D1009" s="1">
        <v>344</v>
      </c>
      <c r="E1009" s="2">
        <v>43433</v>
      </c>
      <c r="F1009" s="6">
        <v>167.29330455965911</v>
      </c>
    </row>
    <row r="1010" spans="1:6">
      <c r="A1010" s="1">
        <v>9124324</v>
      </c>
      <c r="B1010" s="1">
        <v>7.1042633786112086E-2</v>
      </c>
      <c r="C1010" s="1">
        <v>2</v>
      </c>
      <c r="D1010" s="1">
        <v>319</v>
      </c>
      <c r="E1010" s="2">
        <v>43115</v>
      </c>
      <c r="F1010" s="6">
        <v>6.3647495002112304</v>
      </c>
    </row>
    <row r="1011" spans="1:6">
      <c r="A1011" s="1">
        <v>9124327</v>
      </c>
      <c r="B1011" s="1">
        <v>0.62135086303887899</v>
      </c>
      <c r="C1011" s="1">
        <v>5</v>
      </c>
      <c r="D1011" s="1">
        <v>510</v>
      </c>
      <c r="E1011" s="2">
        <v>43068</v>
      </c>
      <c r="F1011" s="6">
        <v>116.0482426849138</v>
      </c>
    </row>
    <row r="1012" spans="1:6">
      <c r="A1012" s="1">
        <v>9124330</v>
      </c>
      <c r="B1012" s="1">
        <v>0.66686671754632709</v>
      </c>
      <c r="C1012" s="1">
        <v>24</v>
      </c>
      <c r="D1012" s="1">
        <v>585</v>
      </c>
      <c r="E1012" s="2">
        <v>42890</v>
      </c>
      <c r="F1012" s="6">
        <v>4.7187957118473296</v>
      </c>
    </row>
    <row r="1013" spans="1:6">
      <c r="A1013" s="1">
        <v>9124333</v>
      </c>
      <c r="B1013" s="1">
        <v>0.7622994831677129</v>
      </c>
      <c r="C1013" s="1">
        <v>5</v>
      </c>
      <c r="D1013" s="1">
        <v>258</v>
      </c>
      <c r="E1013" s="2">
        <v>42975</v>
      </c>
      <c r="F1013" s="6">
        <v>85.29755626702449</v>
      </c>
    </row>
    <row r="1014" spans="1:6">
      <c r="A1014" s="1">
        <v>9124336</v>
      </c>
      <c r="B1014" s="1">
        <v>0.27146401351537852</v>
      </c>
      <c r="C1014" s="1">
        <v>69</v>
      </c>
      <c r="D1014" s="1">
        <v>548</v>
      </c>
      <c r="E1014" s="2">
        <v>42915</v>
      </c>
      <c r="F1014" s="6">
        <v>4.1118232732198381</v>
      </c>
    </row>
    <row r="1015" spans="1:6">
      <c r="A1015" s="1">
        <v>9124339</v>
      </c>
      <c r="B1015" s="1">
        <v>0.79415912943780864</v>
      </c>
      <c r="C1015" s="1">
        <v>6</v>
      </c>
      <c r="D1015" s="1">
        <v>182</v>
      </c>
      <c r="E1015" s="2">
        <v>43098</v>
      </c>
      <c r="F1015" s="6">
        <v>3.0224787703770826</v>
      </c>
    </row>
    <row r="1016" spans="1:6">
      <c r="A1016" s="1">
        <v>9124342</v>
      </c>
      <c r="B1016" s="1">
        <v>0.87695355830099309</v>
      </c>
      <c r="C1016" s="1">
        <v>29</v>
      </c>
      <c r="D1016" s="1">
        <v>359</v>
      </c>
      <c r="E1016" s="2">
        <v>43195</v>
      </c>
      <c r="F1016" s="6">
        <v>53.033661121135644</v>
      </c>
    </row>
    <row r="1017" spans="1:6">
      <c r="A1017" s="1">
        <v>9124345</v>
      </c>
      <c r="B1017" s="1">
        <v>0.70231551666786951</v>
      </c>
      <c r="C1017" s="1">
        <v>4</v>
      </c>
      <c r="D1017" s="1">
        <v>564</v>
      </c>
      <c r="E1017" s="2">
        <v>43414</v>
      </c>
      <c r="F1017" s="6">
        <v>195.26678398038791</v>
      </c>
    </row>
    <row r="1018" spans="1:6">
      <c r="A1018" s="1">
        <v>9124348</v>
      </c>
      <c r="B1018" s="1">
        <v>0.46102339838050244</v>
      </c>
      <c r="C1018" s="1">
        <v>209</v>
      </c>
      <c r="D1018" s="1">
        <v>526</v>
      </c>
      <c r="E1018" s="2">
        <v>42984</v>
      </c>
      <c r="F1018" s="6">
        <v>114.62116444264116</v>
      </c>
    </row>
    <row r="1019" spans="1:6">
      <c r="A1019" s="1">
        <v>9124351</v>
      </c>
      <c r="B1019" s="1">
        <v>0.34386450753784525</v>
      </c>
      <c r="C1019" s="1">
        <v>18</v>
      </c>
      <c r="D1019" s="1">
        <v>520</v>
      </c>
      <c r="E1019" s="2">
        <v>43135</v>
      </c>
      <c r="F1019" s="6">
        <v>206.91148761366154</v>
      </c>
    </row>
    <row r="1020" spans="1:6">
      <c r="A1020" s="1">
        <v>9124354</v>
      </c>
      <c r="B1020" s="1">
        <v>0.57784979547536952</v>
      </c>
      <c r="C1020" s="1">
        <v>44</v>
      </c>
      <c r="D1020" s="1">
        <v>231</v>
      </c>
      <c r="E1020" s="2">
        <v>42738</v>
      </c>
      <c r="F1020" s="6">
        <v>204.43333900864437</v>
      </c>
    </row>
    <row r="1021" spans="1:6">
      <c r="A1021" s="1">
        <v>9124357</v>
      </c>
      <c r="B1021" s="1">
        <v>0.67137147499430017</v>
      </c>
      <c r="C1021" s="1">
        <v>20</v>
      </c>
      <c r="D1021" s="1">
        <v>468</v>
      </c>
      <c r="E1021" s="2">
        <v>42768</v>
      </c>
      <c r="F1021" s="6">
        <v>29.307369282178101</v>
      </c>
    </row>
    <row r="1022" spans="1:6">
      <c r="A1022" s="1">
        <v>9124360</v>
      </c>
      <c r="B1022" s="1">
        <v>0.532124584109818</v>
      </c>
      <c r="C1022" s="1">
        <v>1</v>
      </c>
      <c r="D1022" s="1">
        <v>303</v>
      </c>
      <c r="E1022" s="2">
        <v>43440</v>
      </c>
      <c r="F1022" s="6">
        <v>34.976834114210206</v>
      </c>
    </row>
    <row r="1023" spans="1:6">
      <c r="A1023" s="1">
        <v>9124363</v>
      </c>
      <c r="B1023" s="1">
        <v>0.98644108393357577</v>
      </c>
      <c r="C1023" s="1">
        <v>53</v>
      </c>
      <c r="D1023" s="1">
        <v>154</v>
      </c>
      <c r="E1023" s="2">
        <v>42815</v>
      </c>
      <c r="F1023" s="6">
        <v>11.597914478761007</v>
      </c>
    </row>
    <row r="1024" spans="1:6">
      <c r="A1024" s="1">
        <v>9124366</v>
      </c>
      <c r="B1024" s="1">
        <v>0.41124803199753124</v>
      </c>
      <c r="C1024" s="1">
        <v>36</v>
      </c>
      <c r="D1024" s="1">
        <v>585</v>
      </c>
      <c r="E1024" s="2">
        <v>43300</v>
      </c>
      <c r="F1024" s="6">
        <v>130.55443571991248</v>
      </c>
    </row>
    <row r="1025" spans="1:6">
      <c r="A1025" s="1">
        <v>9124369</v>
      </c>
      <c r="B1025" s="1">
        <v>1.6903480990490993E-2</v>
      </c>
      <c r="C1025" s="1">
        <v>43</v>
      </c>
      <c r="D1025" s="1">
        <v>176</v>
      </c>
      <c r="E1025" s="2">
        <v>42866</v>
      </c>
      <c r="F1025" s="6">
        <v>278.16956728777836</v>
      </c>
    </row>
    <row r="1026" spans="1:6">
      <c r="A1026" s="1">
        <v>9124372</v>
      </c>
      <c r="B1026" s="1">
        <v>0.36649445182682938</v>
      </c>
      <c r="C1026" s="1">
        <v>120</v>
      </c>
      <c r="D1026" s="1">
        <v>318</v>
      </c>
      <c r="E1026" s="2">
        <v>43094</v>
      </c>
      <c r="F1026" s="6">
        <v>29.123635378885552</v>
      </c>
    </row>
    <row r="1027" spans="1:6">
      <c r="A1027" s="1">
        <v>9124375</v>
      </c>
      <c r="B1027" s="1">
        <v>0.50339089622890076</v>
      </c>
      <c r="C1027" s="1">
        <v>65</v>
      </c>
      <c r="D1027" s="1">
        <v>38</v>
      </c>
      <c r="E1027" s="2">
        <v>43065</v>
      </c>
      <c r="F1027" s="6">
        <v>8.7802538929896379</v>
      </c>
    </row>
    <row r="1028" spans="1:6">
      <c r="A1028" s="1">
        <v>9124378</v>
      </c>
      <c r="B1028" s="1">
        <v>5.2093065650130943E-2</v>
      </c>
      <c r="C1028" s="1">
        <v>10</v>
      </c>
      <c r="D1028" s="1">
        <v>343</v>
      </c>
      <c r="E1028" s="2">
        <v>43472</v>
      </c>
      <c r="F1028" s="6">
        <v>91.823223121045217</v>
      </c>
    </row>
    <row r="1029" spans="1:6">
      <c r="A1029" s="1">
        <v>9124381</v>
      </c>
      <c r="B1029" s="1">
        <v>0.80837890821160674</v>
      </c>
      <c r="C1029" s="1">
        <v>71</v>
      </c>
      <c r="D1029" s="1">
        <v>258</v>
      </c>
      <c r="E1029" s="2">
        <v>42792</v>
      </c>
      <c r="F1029" s="6">
        <v>73.221930078822226</v>
      </c>
    </row>
    <row r="1030" spans="1:6">
      <c r="A1030" s="1">
        <v>9124384</v>
      </c>
      <c r="B1030" s="1">
        <v>0.14392382359543776</v>
      </c>
      <c r="C1030" s="1">
        <v>1</v>
      </c>
      <c r="D1030" s="1">
        <v>116</v>
      </c>
      <c r="E1030" s="2">
        <v>43047</v>
      </c>
      <c r="F1030" s="6">
        <v>41.454958475335168</v>
      </c>
    </row>
    <row r="1031" spans="1:6">
      <c r="A1031" s="1">
        <v>9124387</v>
      </c>
      <c r="B1031" s="1">
        <v>0.42478571017590594</v>
      </c>
      <c r="C1031" s="1">
        <v>187</v>
      </c>
      <c r="D1031" s="1">
        <v>182</v>
      </c>
      <c r="E1031" s="2">
        <v>43241</v>
      </c>
      <c r="F1031" s="6">
        <v>193.02922488531732</v>
      </c>
    </row>
    <row r="1032" spans="1:6">
      <c r="A1032" s="1">
        <v>9124390</v>
      </c>
      <c r="B1032" s="1">
        <v>0.78867296315785484</v>
      </c>
      <c r="C1032" s="1">
        <v>22</v>
      </c>
      <c r="D1032" s="1">
        <v>22</v>
      </c>
      <c r="E1032" s="2">
        <v>42893</v>
      </c>
      <c r="F1032" s="6">
        <v>84.452778927729909</v>
      </c>
    </row>
    <row r="1033" spans="1:6">
      <c r="A1033" s="1">
        <v>9124393</v>
      </c>
      <c r="B1033" s="1">
        <v>0.27355289478035472</v>
      </c>
      <c r="C1033" s="1">
        <v>9</v>
      </c>
      <c r="D1033" s="1">
        <v>37</v>
      </c>
      <c r="E1033" s="2">
        <v>43169</v>
      </c>
      <c r="F1033" s="6">
        <v>12.595421557688576</v>
      </c>
    </row>
    <row r="1034" spans="1:6">
      <c r="A1034" s="1">
        <v>9124396</v>
      </c>
      <c r="B1034" s="1">
        <v>0.50845570972983167</v>
      </c>
      <c r="C1034" s="1">
        <v>2</v>
      </c>
      <c r="D1034" s="1">
        <v>88</v>
      </c>
      <c r="E1034" s="2">
        <v>42884</v>
      </c>
      <c r="F1034" s="6">
        <v>35.54983749585589</v>
      </c>
    </row>
    <row r="1035" spans="1:6">
      <c r="A1035" s="1">
        <v>9124399</v>
      </c>
      <c r="B1035" s="1">
        <v>0.69680941147012188</v>
      </c>
      <c r="C1035" s="1">
        <v>2</v>
      </c>
      <c r="D1035" s="1">
        <v>176</v>
      </c>
      <c r="E1035" s="2">
        <v>42928</v>
      </c>
      <c r="F1035" s="6">
        <v>15.046356350616156</v>
      </c>
    </row>
    <row r="1036" spans="1:6">
      <c r="A1036" s="1">
        <v>9124402</v>
      </c>
      <c r="B1036" s="1">
        <v>0.51838647357349221</v>
      </c>
      <c r="C1036" s="1">
        <v>79</v>
      </c>
      <c r="D1036" s="1">
        <v>296</v>
      </c>
      <c r="E1036" s="2">
        <v>43012</v>
      </c>
      <c r="F1036" s="6">
        <v>5.5896799375255277</v>
      </c>
    </row>
    <row r="1037" spans="1:6">
      <c r="A1037" s="1">
        <v>9124405</v>
      </c>
      <c r="B1037" s="1">
        <v>0.14403699479998555</v>
      </c>
      <c r="C1037" s="1">
        <v>11</v>
      </c>
      <c r="D1037" s="1">
        <v>22</v>
      </c>
      <c r="E1037" s="2">
        <v>42840</v>
      </c>
      <c r="F1037" s="6">
        <v>5.255275886492873</v>
      </c>
    </row>
    <row r="1038" spans="1:6">
      <c r="A1038" s="1">
        <v>9124408</v>
      </c>
      <c r="B1038" s="1">
        <v>0.13750175619102067</v>
      </c>
      <c r="C1038" s="1">
        <v>272</v>
      </c>
      <c r="D1038" s="1">
        <v>146</v>
      </c>
      <c r="E1038" s="2">
        <v>43292</v>
      </c>
      <c r="F1038" s="6">
        <v>7.4374576032419801</v>
      </c>
    </row>
    <row r="1039" spans="1:6">
      <c r="A1039" s="1">
        <v>9124411</v>
      </c>
      <c r="B1039" s="1">
        <v>0.66973490060892427</v>
      </c>
      <c r="C1039" s="1">
        <v>35</v>
      </c>
      <c r="D1039" s="1">
        <v>592</v>
      </c>
      <c r="E1039" s="2">
        <v>43385</v>
      </c>
      <c r="F1039" s="6">
        <v>20.350897036372107</v>
      </c>
    </row>
    <row r="1040" spans="1:6">
      <c r="A1040" s="1">
        <v>9124414</v>
      </c>
      <c r="B1040" s="1">
        <v>0.93679354807529069</v>
      </c>
      <c r="C1040" s="1">
        <v>15</v>
      </c>
      <c r="D1040" s="1">
        <v>474</v>
      </c>
      <c r="E1040" s="2">
        <v>43284</v>
      </c>
      <c r="F1040" s="6">
        <v>18.048826647314172</v>
      </c>
    </row>
    <row r="1041" spans="1:6">
      <c r="A1041" s="1">
        <v>9124417</v>
      </c>
      <c r="B1041" s="1">
        <v>0.9077067942327337</v>
      </c>
      <c r="C1041" s="1">
        <v>113</v>
      </c>
      <c r="D1041" s="1">
        <v>597</v>
      </c>
      <c r="E1041" s="2">
        <v>43247</v>
      </c>
      <c r="F1041" s="6">
        <v>81.194382630122732</v>
      </c>
    </row>
    <row r="1042" spans="1:6">
      <c r="A1042" s="1">
        <v>9124420</v>
      </c>
      <c r="B1042" s="1">
        <v>0.22056308801888247</v>
      </c>
      <c r="C1042" s="1">
        <v>33</v>
      </c>
      <c r="D1042" s="1">
        <v>558</v>
      </c>
      <c r="E1042" s="2">
        <v>43312</v>
      </c>
      <c r="F1042" s="6">
        <v>12.626893383232048</v>
      </c>
    </row>
    <row r="1043" spans="1:6">
      <c r="A1043" s="1">
        <v>9124423</v>
      </c>
      <c r="B1043" s="1">
        <v>0.52769194494737925</v>
      </c>
      <c r="C1043" s="1">
        <v>84</v>
      </c>
      <c r="D1043" s="1">
        <v>177</v>
      </c>
      <c r="E1043" s="2">
        <v>43393</v>
      </c>
      <c r="F1043" s="6">
        <v>39.754967921981752</v>
      </c>
    </row>
    <row r="1044" spans="1:6">
      <c r="A1044" s="1">
        <v>9124426</v>
      </c>
      <c r="B1044" s="1">
        <v>0.28852239336119911</v>
      </c>
      <c r="C1044" s="1">
        <v>86</v>
      </c>
      <c r="D1044" s="1">
        <v>597</v>
      </c>
      <c r="E1044" s="2">
        <v>43466</v>
      </c>
      <c r="F1044" s="6">
        <v>53.256902355124055</v>
      </c>
    </row>
    <row r="1045" spans="1:6">
      <c r="A1045" s="1">
        <v>9124429</v>
      </c>
      <c r="B1045" s="1">
        <v>0.41489495672385246</v>
      </c>
      <c r="C1045" s="1">
        <v>94</v>
      </c>
      <c r="D1045" s="1">
        <v>451</v>
      </c>
      <c r="E1045" s="2">
        <v>42810</v>
      </c>
      <c r="F1045" s="6">
        <v>56.011569695154662</v>
      </c>
    </row>
    <row r="1046" spans="1:6">
      <c r="A1046" s="1">
        <v>9124432</v>
      </c>
      <c r="B1046" s="1">
        <v>0.33939654007504827</v>
      </c>
      <c r="C1046" s="1">
        <v>157</v>
      </c>
      <c r="D1046" s="1">
        <v>597</v>
      </c>
      <c r="E1046" s="2">
        <v>43175</v>
      </c>
      <c r="F1046" s="6">
        <v>9.9214398128423333</v>
      </c>
    </row>
    <row r="1047" spans="1:6">
      <c r="A1047" s="1">
        <v>9124435</v>
      </c>
      <c r="B1047" s="1">
        <v>0.28897669835313466</v>
      </c>
      <c r="C1047" s="1">
        <v>60</v>
      </c>
      <c r="D1047" s="1">
        <v>510</v>
      </c>
      <c r="E1047" s="2">
        <v>42751</v>
      </c>
      <c r="F1047" s="6">
        <v>38.635884710395807</v>
      </c>
    </row>
    <row r="1048" spans="1:6">
      <c r="A1048" s="1">
        <v>9124438</v>
      </c>
      <c r="B1048" s="1">
        <v>0.28509870191273412</v>
      </c>
      <c r="C1048" s="1">
        <v>191</v>
      </c>
      <c r="D1048" s="1">
        <v>162</v>
      </c>
      <c r="E1048" s="2">
        <v>43066</v>
      </c>
      <c r="F1048" s="6">
        <v>17.452684754830138</v>
      </c>
    </row>
    <row r="1049" spans="1:6">
      <c r="A1049" s="1">
        <v>9124441</v>
      </c>
      <c r="B1049" s="1">
        <v>0.38960730598298909</v>
      </c>
      <c r="C1049" s="1">
        <v>13</v>
      </c>
      <c r="D1049" s="1">
        <v>390</v>
      </c>
      <c r="E1049" s="2">
        <v>42760</v>
      </c>
      <c r="F1049" s="6">
        <v>306.23228825407205</v>
      </c>
    </row>
    <row r="1050" spans="1:6">
      <c r="A1050" s="1">
        <v>9124444</v>
      </c>
      <c r="B1050" s="1">
        <v>0.59741172639040929</v>
      </c>
      <c r="C1050" s="1">
        <v>16</v>
      </c>
      <c r="D1050" s="1">
        <v>564</v>
      </c>
      <c r="E1050" s="2">
        <v>43043</v>
      </c>
      <c r="F1050" s="6">
        <v>70.330251888306336</v>
      </c>
    </row>
    <row r="1051" spans="1:6">
      <c r="A1051" s="1">
        <v>9124447</v>
      </c>
      <c r="B1051" s="1">
        <v>0.94365459798696005</v>
      </c>
      <c r="C1051" s="1">
        <v>1</v>
      </c>
      <c r="D1051" s="1">
        <v>510</v>
      </c>
      <c r="E1051" s="2">
        <v>43415</v>
      </c>
      <c r="F1051" s="6">
        <v>65.119467964316613</v>
      </c>
    </row>
    <row r="1052" spans="1:6">
      <c r="A1052" s="1">
        <v>9124450</v>
      </c>
      <c r="B1052" s="1">
        <v>0.63864643888544037</v>
      </c>
      <c r="C1052" s="1">
        <v>471</v>
      </c>
      <c r="D1052" s="1">
        <v>509</v>
      </c>
      <c r="E1052" s="2">
        <v>42737</v>
      </c>
      <c r="F1052" s="6">
        <v>48.514096232489536</v>
      </c>
    </row>
    <row r="1053" spans="1:6">
      <c r="A1053" s="1">
        <v>9124453</v>
      </c>
      <c r="B1053" s="1">
        <v>0.80562569021990271</v>
      </c>
      <c r="C1053" s="1">
        <v>42</v>
      </c>
      <c r="D1053" s="1">
        <v>176</v>
      </c>
      <c r="E1053" s="2">
        <v>42739</v>
      </c>
      <c r="F1053" s="6">
        <v>75.793483274367105</v>
      </c>
    </row>
    <row r="1054" spans="1:6">
      <c r="A1054" s="1">
        <v>9124456</v>
      </c>
      <c r="B1054" s="1">
        <v>0.83634805030020953</v>
      </c>
      <c r="C1054" s="1">
        <v>2</v>
      </c>
      <c r="D1054" s="1">
        <v>597</v>
      </c>
      <c r="E1054" s="2">
        <v>42873</v>
      </c>
      <c r="F1054" s="6">
        <v>28.535576433428947</v>
      </c>
    </row>
    <row r="1055" spans="1:6">
      <c r="A1055" s="1">
        <v>9124459</v>
      </c>
      <c r="B1055" s="1">
        <v>4.7744211676909232E-2</v>
      </c>
      <c r="C1055" s="1">
        <v>1</v>
      </c>
      <c r="D1055" s="1">
        <v>417</v>
      </c>
      <c r="E1055" s="2">
        <v>42951</v>
      </c>
      <c r="F1055" s="6">
        <v>66.284600017214501</v>
      </c>
    </row>
    <row r="1056" spans="1:6">
      <c r="A1056" s="1">
        <v>9124462</v>
      </c>
      <c r="B1056" s="1">
        <v>0.50382364076396702</v>
      </c>
      <c r="C1056" s="1">
        <v>27</v>
      </c>
      <c r="D1056" s="1">
        <v>98</v>
      </c>
      <c r="E1056" s="2">
        <v>42894</v>
      </c>
      <c r="F1056" s="6">
        <v>7.339582211018957</v>
      </c>
    </row>
    <row r="1057" spans="1:6">
      <c r="A1057" s="1">
        <v>9124465</v>
      </c>
      <c r="B1057" s="1">
        <v>0.82658031861109127</v>
      </c>
      <c r="C1057" s="1">
        <v>6</v>
      </c>
      <c r="D1057" s="1">
        <v>22</v>
      </c>
      <c r="E1057" s="2">
        <v>42787</v>
      </c>
      <c r="F1057" s="6">
        <v>100.78991652856082</v>
      </c>
    </row>
    <row r="1058" spans="1:6">
      <c r="A1058" s="1">
        <v>9124468</v>
      </c>
      <c r="B1058" s="1">
        <v>0.8851457899701064</v>
      </c>
      <c r="C1058" s="1">
        <v>8</v>
      </c>
      <c r="D1058" s="1">
        <v>176</v>
      </c>
      <c r="E1058" s="2">
        <v>42839</v>
      </c>
      <c r="F1058" s="6">
        <v>14.479395092291163</v>
      </c>
    </row>
    <row r="1059" spans="1:6">
      <c r="A1059" s="1">
        <v>9124471</v>
      </c>
      <c r="B1059" s="1">
        <v>0.4339110898947417</v>
      </c>
      <c r="C1059" s="1">
        <v>1</v>
      </c>
      <c r="D1059" s="1">
        <v>359</v>
      </c>
      <c r="E1059" s="2">
        <v>43385</v>
      </c>
      <c r="F1059" s="6">
        <v>24.043464791447086</v>
      </c>
    </row>
    <row r="1060" spans="1:6">
      <c r="A1060" s="1">
        <v>9124474</v>
      </c>
      <c r="B1060" s="1">
        <v>0.36678938585022069</v>
      </c>
      <c r="C1060" s="1">
        <v>43</v>
      </c>
      <c r="D1060" s="1">
        <v>510</v>
      </c>
      <c r="E1060" s="2">
        <v>42954</v>
      </c>
      <c r="F1060" s="6">
        <v>529.95249666872326</v>
      </c>
    </row>
    <row r="1061" spans="1:6">
      <c r="A1061" s="1">
        <v>9124477</v>
      </c>
      <c r="B1061" s="1">
        <v>0.52385741955100285</v>
      </c>
      <c r="C1061" s="1">
        <v>171</v>
      </c>
      <c r="D1061" s="1">
        <v>431</v>
      </c>
      <c r="E1061" s="2">
        <v>43285</v>
      </c>
      <c r="F1061" s="6">
        <v>23.054742016686347</v>
      </c>
    </row>
    <row r="1062" spans="1:6">
      <c r="A1062" s="1">
        <v>9124480</v>
      </c>
      <c r="B1062" s="1">
        <v>0.17506925438471677</v>
      </c>
      <c r="C1062" s="1">
        <v>52</v>
      </c>
      <c r="D1062" s="1">
        <v>564</v>
      </c>
      <c r="E1062" s="2">
        <v>42910</v>
      </c>
      <c r="F1062" s="6">
        <v>191.50088531337622</v>
      </c>
    </row>
    <row r="1063" spans="1:6">
      <c r="A1063" s="1">
        <v>9124483</v>
      </c>
      <c r="B1063" s="1">
        <v>0.12770337359565698</v>
      </c>
      <c r="C1063" s="1">
        <v>35</v>
      </c>
      <c r="D1063" s="1">
        <v>176</v>
      </c>
      <c r="E1063" s="2">
        <v>43275</v>
      </c>
      <c r="F1063" s="6">
        <v>14.89248166078611</v>
      </c>
    </row>
    <row r="1064" spans="1:6">
      <c r="A1064" s="1">
        <v>9124486</v>
      </c>
      <c r="B1064" s="1">
        <v>0.22166152737154421</v>
      </c>
      <c r="C1064" s="1">
        <v>7</v>
      </c>
      <c r="D1064" s="1">
        <v>182</v>
      </c>
      <c r="E1064" s="2">
        <v>43390</v>
      </c>
      <c r="F1064" s="6">
        <v>30.506438962912849</v>
      </c>
    </row>
    <row r="1065" spans="1:6">
      <c r="A1065" s="1">
        <v>9124489</v>
      </c>
      <c r="B1065" s="1">
        <v>0.54731256087599212</v>
      </c>
      <c r="C1065" s="1">
        <v>14</v>
      </c>
      <c r="D1065" s="1">
        <v>368</v>
      </c>
      <c r="E1065" s="2">
        <v>43348</v>
      </c>
      <c r="F1065" s="6">
        <v>130.43226837568113</v>
      </c>
    </row>
    <row r="1066" spans="1:6">
      <c r="A1066" s="1">
        <v>9124492</v>
      </c>
      <c r="B1066" s="1">
        <v>0.54029318950178229</v>
      </c>
      <c r="C1066" s="1">
        <v>3</v>
      </c>
      <c r="D1066" s="1">
        <v>216</v>
      </c>
      <c r="E1066" s="2">
        <v>43210</v>
      </c>
      <c r="F1066" s="6">
        <v>142.33932214479628</v>
      </c>
    </row>
    <row r="1067" spans="1:6">
      <c r="A1067" s="1">
        <v>9124495</v>
      </c>
      <c r="B1067" s="1">
        <v>0.4950593456143032</v>
      </c>
      <c r="C1067" s="1">
        <v>38</v>
      </c>
      <c r="D1067" s="1">
        <v>510</v>
      </c>
      <c r="E1067" s="2">
        <v>43210</v>
      </c>
      <c r="F1067" s="6">
        <v>62.185767947995757</v>
      </c>
    </row>
    <row r="1068" spans="1:6">
      <c r="A1068" s="1">
        <v>9124498</v>
      </c>
      <c r="B1068" s="1">
        <v>0.13922869353348499</v>
      </c>
      <c r="C1068" s="1">
        <v>18</v>
      </c>
      <c r="D1068" s="1">
        <v>289</v>
      </c>
      <c r="E1068" s="2">
        <v>43295</v>
      </c>
      <c r="F1068" s="6">
        <v>91.29564920665851</v>
      </c>
    </row>
    <row r="1069" spans="1:6">
      <c r="A1069" s="1">
        <v>9124501</v>
      </c>
      <c r="B1069" s="1">
        <v>0.95270211382932735</v>
      </c>
      <c r="C1069" s="1">
        <v>1</v>
      </c>
      <c r="D1069" s="1">
        <v>564</v>
      </c>
      <c r="E1069" s="2">
        <v>42975</v>
      </c>
      <c r="F1069" s="6">
        <v>20.497532441592192</v>
      </c>
    </row>
    <row r="1070" spans="1:6">
      <c r="A1070" s="1">
        <v>9124504</v>
      </c>
      <c r="B1070" s="1">
        <v>0.43738446344644233</v>
      </c>
      <c r="C1070" s="1">
        <v>14</v>
      </c>
      <c r="D1070" s="1">
        <v>145</v>
      </c>
      <c r="E1070" s="2">
        <v>42771</v>
      </c>
      <c r="F1070" s="6">
        <v>35.082644149266706</v>
      </c>
    </row>
    <row r="1071" spans="1:6">
      <c r="A1071" s="1">
        <v>9124507</v>
      </c>
      <c r="B1071" s="1">
        <v>0.39107463544418575</v>
      </c>
      <c r="C1071" s="1">
        <v>13</v>
      </c>
      <c r="D1071" s="1">
        <v>40</v>
      </c>
      <c r="E1071" s="2">
        <v>43063</v>
      </c>
      <c r="F1071" s="6">
        <v>23.728256545507854</v>
      </c>
    </row>
    <row r="1072" spans="1:6">
      <c r="A1072" s="1">
        <v>9124510</v>
      </c>
      <c r="B1072" s="1">
        <v>0.3993354345101503</v>
      </c>
      <c r="C1072" s="1">
        <v>37</v>
      </c>
      <c r="D1072" s="1">
        <v>176</v>
      </c>
      <c r="E1072" s="2">
        <v>43023</v>
      </c>
      <c r="F1072" s="6">
        <v>3.6993609662977041</v>
      </c>
    </row>
    <row r="1073" spans="1:6">
      <c r="A1073" s="1">
        <v>9124513</v>
      </c>
      <c r="B1073" s="1">
        <v>0.79663945232475741</v>
      </c>
      <c r="C1073" s="1">
        <v>68</v>
      </c>
      <c r="D1073" s="1">
        <v>420</v>
      </c>
      <c r="E1073" s="2">
        <v>43124</v>
      </c>
      <c r="F1073" s="6">
        <v>4.7204025507772407</v>
      </c>
    </row>
    <row r="1074" spans="1:6">
      <c r="A1074" s="1">
        <v>9124516</v>
      </c>
      <c r="B1074" s="1">
        <v>0.81094676209198058</v>
      </c>
      <c r="C1074" s="1">
        <v>14</v>
      </c>
      <c r="D1074" s="1">
        <v>592</v>
      </c>
      <c r="E1074" s="2">
        <v>43156</v>
      </c>
      <c r="F1074" s="6">
        <v>63.566742775845292</v>
      </c>
    </row>
    <row r="1075" spans="1:6">
      <c r="A1075" s="1">
        <v>9124519</v>
      </c>
      <c r="B1075" s="1">
        <v>2.2292743982617047E-3</v>
      </c>
      <c r="C1075" s="1">
        <v>1</v>
      </c>
      <c r="D1075" s="1">
        <v>492</v>
      </c>
      <c r="E1075" s="2">
        <v>43128</v>
      </c>
      <c r="F1075" s="6">
        <v>181.31031056793842</v>
      </c>
    </row>
    <row r="1076" spans="1:6">
      <c r="A1076" s="1">
        <v>9124522</v>
      </c>
      <c r="B1076" s="1">
        <v>0.90471674453195872</v>
      </c>
      <c r="C1076" s="1">
        <v>28</v>
      </c>
      <c r="D1076" s="1">
        <v>421</v>
      </c>
      <c r="E1076" s="2">
        <v>42989</v>
      </c>
      <c r="F1076" s="6">
        <v>103.95065805521806</v>
      </c>
    </row>
    <row r="1077" spans="1:6">
      <c r="A1077" s="1">
        <v>9124525</v>
      </c>
      <c r="B1077" s="1">
        <v>0.40452337235727076</v>
      </c>
      <c r="C1077" s="1">
        <v>10</v>
      </c>
      <c r="D1077" s="1">
        <v>258</v>
      </c>
      <c r="E1077" s="2">
        <v>42840</v>
      </c>
      <c r="F1077" s="6">
        <v>10.540167240726436</v>
      </c>
    </row>
    <row r="1078" spans="1:6">
      <c r="A1078" s="1">
        <v>9124528</v>
      </c>
      <c r="B1078" s="1">
        <v>6.4804771533982564E-2</v>
      </c>
      <c r="C1078" s="1">
        <v>2</v>
      </c>
      <c r="D1078" s="1">
        <v>12</v>
      </c>
      <c r="E1078" s="2">
        <v>42857</v>
      </c>
      <c r="F1078" s="6">
        <v>80.890395108107384</v>
      </c>
    </row>
    <row r="1079" spans="1:6">
      <c r="A1079" s="1">
        <v>9124531</v>
      </c>
      <c r="B1079" s="1">
        <v>0.94803081451314986</v>
      </c>
      <c r="C1079" s="1">
        <v>2</v>
      </c>
      <c r="D1079" s="1">
        <v>245</v>
      </c>
      <c r="E1079" s="2">
        <v>43201</v>
      </c>
      <c r="F1079" s="6">
        <v>55.887201410310766</v>
      </c>
    </row>
    <row r="1080" spans="1:6">
      <c r="A1080" s="1">
        <v>9124534</v>
      </c>
      <c r="B1080" s="1">
        <v>0.10742675546564806</v>
      </c>
      <c r="C1080" s="1">
        <v>25</v>
      </c>
      <c r="D1080" s="1">
        <v>348</v>
      </c>
      <c r="E1080" s="2">
        <v>42933</v>
      </c>
      <c r="F1080" s="6">
        <v>50.321014148943711</v>
      </c>
    </row>
    <row r="1081" spans="1:6">
      <c r="A1081" s="1">
        <v>9124537</v>
      </c>
      <c r="B1081" s="1">
        <v>0.56007355745889975</v>
      </c>
      <c r="C1081" s="1">
        <v>90</v>
      </c>
      <c r="D1081" s="1">
        <v>473</v>
      </c>
      <c r="E1081" s="2">
        <v>43306</v>
      </c>
      <c r="F1081" s="6">
        <v>29.646451024104628</v>
      </c>
    </row>
    <row r="1082" spans="1:6">
      <c r="A1082" s="1">
        <v>9124540</v>
      </c>
      <c r="B1082" s="1">
        <v>0.40277956581002572</v>
      </c>
      <c r="C1082" s="1">
        <v>2</v>
      </c>
      <c r="D1082" s="1">
        <v>156</v>
      </c>
      <c r="E1082" s="2">
        <v>42851</v>
      </c>
      <c r="F1082" s="6">
        <v>76.866875099397731</v>
      </c>
    </row>
    <row r="1083" spans="1:6">
      <c r="A1083" s="1">
        <v>9124543</v>
      </c>
      <c r="B1083" s="1">
        <v>0.74244682105824178</v>
      </c>
      <c r="C1083" s="1">
        <v>39</v>
      </c>
      <c r="D1083" s="1">
        <v>197</v>
      </c>
      <c r="E1083" s="2">
        <v>43288</v>
      </c>
      <c r="F1083" s="6">
        <v>19.229146859969777</v>
      </c>
    </row>
    <row r="1084" spans="1:6">
      <c r="A1084" s="1">
        <v>9124546</v>
      </c>
      <c r="B1084" s="1">
        <v>0.15340809443196968</v>
      </c>
      <c r="C1084" s="1">
        <v>66</v>
      </c>
      <c r="D1084" s="1">
        <v>510</v>
      </c>
      <c r="E1084" s="2">
        <v>43211</v>
      </c>
      <c r="F1084" s="6">
        <v>33.407093369021482</v>
      </c>
    </row>
    <row r="1085" spans="1:6">
      <c r="A1085" s="1">
        <v>9124549</v>
      </c>
      <c r="B1085" s="1">
        <v>4.8360132528038058E-2</v>
      </c>
      <c r="C1085" s="1">
        <v>36</v>
      </c>
      <c r="D1085" s="1">
        <v>510</v>
      </c>
      <c r="E1085" s="2">
        <v>42863</v>
      </c>
      <c r="F1085" s="6">
        <v>34.424632156631361</v>
      </c>
    </row>
    <row r="1086" spans="1:6">
      <c r="A1086" s="1">
        <v>9124552</v>
      </c>
      <c r="B1086" s="1">
        <v>9.512245428739996E-2</v>
      </c>
      <c r="C1086" s="1">
        <v>4</v>
      </c>
      <c r="D1086" s="1">
        <v>584</v>
      </c>
      <c r="E1086" s="2">
        <v>42928</v>
      </c>
      <c r="F1086" s="6">
        <v>69.633364895163609</v>
      </c>
    </row>
    <row r="1087" spans="1:6">
      <c r="A1087" s="1">
        <v>9124555</v>
      </c>
      <c r="B1087" s="1">
        <v>0.39528440973653067</v>
      </c>
      <c r="C1087" s="1">
        <v>32</v>
      </c>
      <c r="D1087" s="1">
        <v>592</v>
      </c>
      <c r="E1087" s="2">
        <v>42767</v>
      </c>
      <c r="F1087" s="6">
        <v>121.18837950903797</v>
      </c>
    </row>
    <row r="1088" spans="1:6">
      <c r="A1088" s="1">
        <v>9124558</v>
      </c>
      <c r="B1088" s="1">
        <v>0.42137313138665011</v>
      </c>
      <c r="C1088" s="1">
        <v>12</v>
      </c>
      <c r="D1088" s="1">
        <v>176</v>
      </c>
      <c r="E1088" s="2">
        <v>43476</v>
      </c>
      <c r="F1088" s="6">
        <v>24.916279625747816</v>
      </c>
    </row>
    <row r="1089" spans="1:6">
      <c r="A1089" s="1">
        <v>9124561</v>
      </c>
      <c r="B1089" s="1">
        <v>0.17989678288557187</v>
      </c>
      <c r="C1089" s="1">
        <v>9</v>
      </c>
      <c r="D1089" s="1">
        <v>431</v>
      </c>
      <c r="E1089" s="2">
        <v>43128</v>
      </c>
      <c r="F1089" s="6">
        <v>14.051608206580827</v>
      </c>
    </row>
    <row r="1090" spans="1:6">
      <c r="A1090" s="1">
        <v>9124564</v>
      </c>
      <c r="B1090" s="1">
        <v>0.28975929671961909</v>
      </c>
      <c r="C1090" s="1">
        <v>1</v>
      </c>
      <c r="D1090" s="1">
        <v>175</v>
      </c>
      <c r="E1090" s="2">
        <v>43194</v>
      </c>
      <c r="F1090" s="6">
        <v>33.266195488525824</v>
      </c>
    </row>
    <row r="1091" spans="1:6">
      <c r="A1091" s="1">
        <v>9124567</v>
      </c>
      <c r="B1091" s="1">
        <v>7.1420820167804377E-2</v>
      </c>
      <c r="C1091" s="1">
        <v>7</v>
      </c>
      <c r="D1091" s="1">
        <v>176</v>
      </c>
      <c r="E1091" s="2">
        <v>42977</v>
      </c>
      <c r="F1091" s="6">
        <v>156.13773797590221</v>
      </c>
    </row>
    <row r="1092" spans="1:6">
      <c r="A1092" s="1">
        <v>9124570</v>
      </c>
      <c r="B1092" s="1">
        <v>0.53761334393255689</v>
      </c>
      <c r="C1092" s="1">
        <v>19</v>
      </c>
      <c r="D1092" s="1">
        <v>176</v>
      </c>
      <c r="E1092" s="2">
        <v>43108</v>
      </c>
      <c r="F1092" s="6">
        <v>112.45550737182145</v>
      </c>
    </row>
    <row r="1093" spans="1:6">
      <c r="A1093" s="1">
        <v>9124573</v>
      </c>
      <c r="B1093" s="1">
        <v>0.96050390535589147</v>
      </c>
      <c r="C1093" s="1">
        <v>1</v>
      </c>
      <c r="D1093" s="1">
        <v>564</v>
      </c>
      <c r="E1093" s="2">
        <v>42775</v>
      </c>
      <c r="F1093" s="6">
        <v>10.045121305468546</v>
      </c>
    </row>
    <row r="1094" spans="1:6">
      <c r="A1094" s="1">
        <v>9124576</v>
      </c>
      <c r="B1094" s="1">
        <v>0.59376294820708231</v>
      </c>
      <c r="C1094" s="1">
        <v>145</v>
      </c>
      <c r="D1094" s="1">
        <v>176</v>
      </c>
      <c r="E1094" s="2">
        <v>42971</v>
      </c>
      <c r="F1094" s="6">
        <v>5.7094753548721719</v>
      </c>
    </row>
    <row r="1095" spans="1:6">
      <c r="A1095" s="1">
        <v>9124579</v>
      </c>
      <c r="B1095" s="1">
        <v>0.57328068992355696</v>
      </c>
      <c r="C1095" s="1">
        <v>84</v>
      </c>
      <c r="D1095" s="1">
        <v>134</v>
      </c>
      <c r="E1095" s="2">
        <v>43125</v>
      </c>
      <c r="F1095" s="6">
        <v>10.651411773225298</v>
      </c>
    </row>
    <row r="1096" spans="1:6">
      <c r="A1096" s="1">
        <v>9124582</v>
      </c>
      <c r="B1096" s="1">
        <v>0.67592517963128085</v>
      </c>
      <c r="C1096" s="1">
        <v>3</v>
      </c>
      <c r="D1096" s="1">
        <v>405</v>
      </c>
      <c r="E1096" s="2">
        <v>43453</v>
      </c>
      <c r="F1096" s="6">
        <v>74.887939862857053</v>
      </c>
    </row>
    <row r="1097" spans="1:6">
      <c r="A1097" s="1">
        <v>9124585</v>
      </c>
      <c r="B1097" s="1">
        <v>8.8654154580667832E-2</v>
      </c>
      <c r="C1097" s="1">
        <v>2</v>
      </c>
      <c r="D1097" s="1">
        <v>564</v>
      </c>
      <c r="E1097" s="2">
        <v>43015</v>
      </c>
      <c r="F1097" s="6">
        <v>84.858277520720151</v>
      </c>
    </row>
    <row r="1098" spans="1:6">
      <c r="A1098" s="1">
        <v>9124588</v>
      </c>
      <c r="B1098" s="1">
        <v>0.50569431802335973</v>
      </c>
      <c r="C1098" s="1">
        <v>67</v>
      </c>
      <c r="D1098" s="1">
        <v>581</v>
      </c>
      <c r="E1098" s="2">
        <v>43097</v>
      </c>
      <c r="F1098" s="6">
        <v>47.604436869214368</v>
      </c>
    </row>
    <row r="1099" spans="1:6">
      <c r="A1099" s="1">
        <v>9124591</v>
      </c>
      <c r="B1099" s="1">
        <v>0.10998102498502127</v>
      </c>
      <c r="C1099" s="1">
        <v>1</v>
      </c>
      <c r="D1099" s="1">
        <v>144</v>
      </c>
      <c r="E1099" s="2">
        <v>43278</v>
      </c>
      <c r="F1099" s="6">
        <v>6.1110700051537421</v>
      </c>
    </row>
    <row r="1100" spans="1:6">
      <c r="A1100" s="1">
        <v>9124594</v>
      </c>
      <c r="B1100" s="1">
        <v>0.33550139084925823</v>
      </c>
      <c r="C1100" s="1">
        <v>33</v>
      </c>
      <c r="D1100" s="1">
        <v>348</v>
      </c>
      <c r="E1100" s="2">
        <v>43430</v>
      </c>
      <c r="F1100" s="6">
        <v>100.58583901462796</v>
      </c>
    </row>
    <row r="1101" spans="1:6">
      <c r="A1101" s="1">
        <v>9124597</v>
      </c>
      <c r="B1101" s="1">
        <v>0.90583418596358789</v>
      </c>
      <c r="C1101" s="1">
        <v>156</v>
      </c>
      <c r="D1101" s="1">
        <v>510</v>
      </c>
      <c r="E1101" s="2">
        <v>43000</v>
      </c>
      <c r="F1101" s="6">
        <v>4.9799638531945254</v>
      </c>
    </row>
    <row r="1102" spans="1:6">
      <c r="A1102" s="1">
        <v>9124600</v>
      </c>
      <c r="B1102" s="1">
        <v>0.625955766975685</v>
      </c>
      <c r="C1102" s="1">
        <v>58</v>
      </c>
      <c r="D1102" s="1">
        <v>575</v>
      </c>
      <c r="E1102" s="2">
        <v>43257</v>
      </c>
      <c r="F1102" s="6">
        <v>62.834886943121205</v>
      </c>
    </row>
    <row r="1103" spans="1:6">
      <c r="A1103" s="1">
        <v>9124603</v>
      </c>
      <c r="B1103" s="1">
        <v>0.63831161688150262</v>
      </c>
      <c r="C1103" s="1">
        <v>90</v>
      </c>
      <c r="D1103" s="1">
        <v>394</v>
      </c>
      <c r="E1103" s="2">
        <v>43458</v>
      </c>
      <c r="F1103" s="6">
        <v>3.1575776760724055</v>
      </c>
    </row>
    <row r="1104" spans="1:6">
      <c r="A1104" s="1">
        <v>9124606</v>
      </c>
      <c r="B1104" s="1">
        <v>0.81982283152197377</v>
      </c>
      <c r="C1104" s="1">
        <v>1</v>
      </c>
      <c r="D1104" s="1">
        <v>541</v>
      </c>
      <c r="E1104" s="2">
        <v>43037</v>
      </c>
      <c r="F1104" s="6">
        <v>209.08919946730217</v>
      </c>
    </row>
    <row r="1105" spans="1:6">
      <c r="A1105" s="1">
        <v>9124609</v>
      </c>
      <c r="B1105" s="1">
        <v>0.50026068227084819</v>
      </c>
      <c r="C1105" s="1">
        <v>1</v>
      </c>
      <c r="D1105" s="1">
        <v>588</v>
      </c>
      <c r="E1105" s="2">
        <v>42992</v>
      </c>
      <c r="F1105" s="6">
        <v>27.588818469190183</v>
      </c>
    </row>
    <row r="1106" spans="1:6">
      <c r="A1106" s="1">
        <v>9124612</v>
      </c>
      <c r="B1106" s="1">
        <v>0.58397816582991446</v>
      </c>
      <c r="C1106" s="1">
        <v>4</v>
      </c>
      <c r="D1106" s="1">
        <v>592</v>
      </c>
      <c r="E1106" s="2">
        <v>43220</v>
      </c>
      <c r="F1106" s="6">
        <v>54.88620077172336</v>
      </c>
    </row>
    <row r="1107" spans="1:6">
      <c r="A1107" s="1">
        <v>9124615</v>
      </c>
      <c r="B1107" s="1">
        <v>0.77097654090332024</v>
      </c>
      <c r="C1107" s="1">
        <v>92</v>
      </c>
      <c r="D1107" s="1">
        <v>155</v>
      </c>
      <c r="E1107" s="2">
        <v>42844</v>
      </c>
      <c r="F1107" s="6">
        <v>31.957074227055241</v>
      </c>
    </row>
    <row r="1108" spans="1:6">
      <c r="A1108" s="1">
        <v>9124618</v>
      </c>
      <c r="B1108" s="1">
        <v>0.54691574673717069</v>
      </c>
      <c r="C1108" s="1">
        <v>6</v>
      </c>
      <c r="D1108" s="1">
        <v>146</v>
      </c>
      <c r="E1108" s="2">
        <v>43132</v>
      </c>
      <c r="F1108" s="6">
        <v>14.88361911559354</v>
      </c>
    </row>
    <row r="1109" spans="1:6">
      <c r="A1109" s="1">
        <v>9124621</v>
      </c>
      <c r="B1109" s="1">
        <v>9.3418401726243272E-2</v>
      </c>
      <c r="C1109" s="1">
        <v>39</v>
      </c>
      <c r="D1109" s="1">
        <v>510</v>
      </c>
      <c r="E1109" s="2">
        <v>42743</v>
      </c>
      <c r="F1109" s="6">
        <v>7.9879657451713229</v>
      </c>
    </row>
    <row r="1110" spans="1:6">
      <c r="A1110" s="1">
        <v>9124624</v>
      </c>
      <c r="B1110" s="1">
        <v>0.70743968590500161</v>
      </c>
      <c r="C1110" s="1">
        <v>79</v>
      </c>
      <c r="D1110" s="1">
        <v>176</v>
      </c>
      <c r="E1110" s="2">
        <v>43026</v>
      </c>
      <c r="F1110" s="6">
        <v>27.064594115032254</v>
      </c>
    </row>
    <row r="1111" spans="1:6">
      <c r="A1111" s="1">
        <v>9124627</v>
      </c>
      <c r="B1111" s="1">
        <v>0.93744906117998994</v>
      </c>
      <c r="C1111" s="1">
        <v>167</v>
      </c>
      <c r="D1111" s="1">
        <v>510</v>
      </c>
      <c r="E1111" s="2">
        <v>42880</v>
      </c>
      <c r="F1111" s="6">
        <v>8.8017793177277284</v>
      </c>
    </row>
    <row r="1112" spans="1:6">
      <c r="A1112" s="1">
        <v>9124630</v>
      </c>
      <c r="B1112" s="1">
        <v>0.93455098918677537</v>
      </c>
      <c r="C1112" s="1">
        <v>11</v>
      </c>
      <c r="D1112" s="1">
        <v>510</v>
      </c>
      <c r="E1112" s="2">
        <v>43099</v>
      </c>
      <c r="F1112" s="6">
        <v>123.47072273875659</v>
      </c>
    </row>
    <row r="1113" spans="1:6">
      <c r="A1113" s="1">
        <v>9124633</v>
      </c>
      <c r="B1113" s="1">
        <v>9.8501634488651568E-2</v>
      </c>
      <c r="C1113" s="1">
        <v>278</v>
      </c>
      <c r="D1113" s="1">
        <v>182</v>
      </c>
      <c r="E1113" s="2">
        <v>42949</v>
      </c>
      <c r="F1113" s="6">
        <v>112.63851627374086</v>
      </c>
    </row>
    <row r="1114" spans="1:6">
      <c r="A1114" s="1">
        <v>9124636</v>
      </c>
      <c r="B1114" s="1">
        <v>0.74903087496645104</v>
      </c>
      <c r="C1114" s="1">
        <v>93</v>
      </c>
      <c r="D1114" s="1">
        <v>431</v>
      </c>
      <c r="E1114" s="2">
        <v>43205</v>
      </c>
      <c r="F1114" s="6">
        <v>7.0395797097361026</v>
      </c>
    </row>
    <row r="1115" spans="1:6">
      <c r="A1115" s="1">
        <v>9124639</v>
      </c>
      <c r="B1115" s="1">
        <v>0.38335177326680658</v>
      </c>
      <c r="C1115" s="1">
        <v>12</v>
      </c>
      <c r="D1115" s="1">
        <v>458</v>
      </c>
      <c r="E1115" s="2">
        <v>43331</v>
      </c>
      <c r="F1115" s="6">
        <v>66.047225561848009</v>
      </c>
    </row>
    <row r="1116" spans="1:6">
      <c r="A1116" s="1">
        <v>9124642</v>
      </c>
      <c r="B1116" s="1">
        <v>0.35737534504384671</v>
      </c>
      <c r="C1116" s="1">
        <v>10</v>
      </c>
      <c r="D1116" s="1">
        <v>592</v>
      </c>
      <c r="E1116" s="2">
        <v>43179</v>
      </c>
      <c r="F1116" s="6">
        <v>16.594727876801066</v>
      </c>
    </row>
    <row r="1117" spans="1:6">
      <c r="A1117" s="1">
        <v>9124645</v>
      </c>
      <c r="B1117" s="1">
        <v>0.59226420289902126</v>
      </c>
      <c r="C1117" s="1">
        <v>55</v>
      </c>
      <c r="D1117" s="1">
        <v>451</v>
      </c>
      <c r="E1117" s="2">
        <v>43052</v>
      </c>
      <c r="F1117" s="6">
        <v>65.847330493436203</v>
      </c>
    </row>
    <row r="1118" spans="1:6">
      <c r="A1118" s="1">
        <v>9124648</v>
      </c>
      <c r="B1118" s="1">
        <v>0.43165126704096324</v>
      </c>
      <c r="C1118" s="1">
        <v>1</v>
      </c>
      <c r="D1118" s="1">
        <v>83</v>
      </c>
      <c r="E1118" s="2">
        <v>43430</v>
      </c>
      <c r="F1118" s="6">
        <v>12.742841084344827</v>
      </c>
    </row>
    <row r="1119" spans="1:6">
      <c r="A1119" s="1">
        <v>9124651</v>
      </c>
      <c r="B1119" s="1">
        <v>0.57265233771343416</v>
      </c>
      <c r="C1119" s="1">
        <v>3</v>
      </c>
      <c r="D1119" s="1">
        <v>592</v>
      </c>
      <c r="E1119" s="2">
        <v>43224</v>
      </c>
      <c r="F1119" s="6">
        <v>50.93276883862562</v>
      </c>
    </row>
    <row r="1120" spans="1:6">
      <c r="A1120" s="1">
        <v>9124654</v>
      </c>
      <c r="B1120" s="1">
        <v>0.13826300874044595</v>
      </c>
      <c r="C1120" s="1">
        <v>205</v>
      </c>
      <c r="D1120" s="1">
        <v>510</v>
      </c>
      <c r="E1120" s="2">
        <v>42983</v>
      </c>
      <c r="F1120" s="6">
        <v>27.874491976821762</v>
      </c>
    </row>
    <row r="1121" spans="1:6">
      <c r="A1121" s="1">
        <v>9124657</v>
      </c>
      <c r="B1121" s="1">
        <v>0.67235489591550046</v>
      </c>
      <c r="C1121" s="1">
        <v>80</v>
      </c>
      <c r="D1121" s="1">
        <v>510</v>
      </c>
      <c r="E1121" s="2">
        <v>42767</v>
      </c>
      <c r="F1121" s="6">
        <v>93.329405390312829</v>
      </c>
    </row>
    <row r="1122" spans="1:6">
      <c r="A1122" s="1">
        <v>9124660</v>
      </c>
      <c r="B1122" s="1">
        <v>0.52990400440781094</v>
      </c>
      <c r="C1122" s="1">
        <v>47</v>
      </c>
      <c r="D1122" s="1">
        <v>176</v>
      </c>
      <c r="E1122" s="2">
        <v>43130</v>
      </c>
      <c r="F1122" s="6">
        <v>208.87389376224658</v>
      </c>
    </row>
    <row r="1123" spans="1:6">
      <c r="A1123" s="1">
        <v>9124663</v>
      </c>
      <c r="B1123" s="1">
        <v>0.20615919840933372</v>
      </c>
      <c r="C1123" s="1">
        <v>29</v>
      </c>
      <c r="D1123" s="1">
        <v>195</v>
      </c>
      <c r="E1123" s="2">
        <v>43082</v>
      </c>
      <c r="F1123" s="6">
        <v>76.255907931837385</v>
      </c>
    </row>
    <row r="1124" spans="1:6">
      <c r="A1124" s="1">
        <v>9124666</v>
      </c>
      <c r="B1124" s="1">
        <v>0.27577811429753463</v>
      </c>
      <c r="C1124" s="1">
        <v>1</v>
      </c>
      <c r="D1124" s="1">
        <v>597</v>
      </c>
      <c r="E1124" s="2">
        <v>42805</v>
      </c>
      <c r="F1124" s="6">
        <v>4.5733617251357028</v>
      </c>
    </row>
    <row r="1125" spans="1:6">
      <c r="A1125" s="1">
        <v>9124669</v>
      </c>
      <c r="B1125" s="1">
        <v>0.40187400398921413</v>
      </c>
      <c r="C1125" s="1">
        <v>37</v>
      </c>
      <c r="D1125" s="1">
        <v>485</v>
      </c>
      <c r="E1125" s="2">
        <v>42823</v>
      </c>
      <c r="F1125" s="6">
        <v>96.603440363954135</v>
      </c>
    </row>
    <row r="1126" spans="1:6">
      <c r="A1126" s="1">
        <v>9124672</v>
      </c>
      <c r="B1126" s="1">
        <v>0.17289031798716659</v>
      </c>
      <c r="C1126" s="1">
        <v>1</v>
      </c>
      <c r="D1126" s="1">
        <v>176</v>
      </c>
      <c r="E1126" s="2">
        <v>43301</v>
      </c>
      <c r="F1126" s="6">
        <v>22.490056456549532</v>
      </c>
    </row>
    <row r="1127" spans="1:6">
      <c r="A1127" s="1">
        <v>9124675</v>
      </c>
      <c r="B1127" s="1">
        <v>0.19539068180840324</v>
      </c>
      <c r="C1127" s="1">
        <v>29</v>
      </c>
      <c r="D1127" s="1">
        <v>492</v>
      </c>
      <c r="E1127" s="2">
        <v>43103</v>
      </c>
      <c r="F1127" s="6">
        <v>14.899896626456517</v>
      </c>
    </row>
    <row r="1128" spans="1:6">
      <c r="A1128" s="1">
        <v>9124678</v>
      </c>
      <c r="B1128" s="1">
        <v>0.53664616231444418</v>
      </c>
      <c r="C1128" s="1">
        <v>43</v>
      </c>
      <c r="D1128" s="1">
        <v>12</v>
      </c>
      <c r="E1128" s="2">
        <v>43164</v>
      </c>
      <c r="F1128" s="6">
        <v>34.560217386130589</v>
      </c>
    </row>
    <row r="1129" spans="1:6">
      <c r="A1129" s="1">
        <v>9124681</v>
      </c>
      <c r="B1129" s="1">
        <v>1.8424026474890276E-3</v>
      </c>
      <c r="C1129" s="1">
        <v>41</v>
      </c>
      <c r="D1129" s="1">
        <v>451</v>
      </c>
      <c r="E1129" s="2">
        <v>43120</v>
      </c>
      <c r="F1129" s="6">
        <v>132.30560797648741</v>
      </c>
    </row>
    <row r="1130" spans="1:6">
      <c r="A1130" s="1">
        <v>9124684</v>
      </c>
      <c r="B1130" s="1">
        <v>0.8657693822903908</v>
      </c>
      <c r="C1130" s="1">
        <v>13</v>
      </c>
      <c r="D1130" s="1">
        <v>348</v>
      </c>
      <c r="E1130" s="2">
        <v>43025</v>
      </c>
      <c r="F1130" s="6">
        <v>176.50558404224753</v>
      </c>
    </row>
    <row r="1131" spans="1:6">
      <c r="A1131" s="1">
        <v>9124687</v>
      </c>
      <c r="B1131" s="1">
        <v>0.58423100775565229</v>
      </c>
      <c r="C1131" s="1">
        <v>57</v>
      </c>
      <c r="D1131" s="1">
        <v>258</v>
      </c>
      <c r="E1131" s="2">
        <v>43210</v>
      </c>
      <c r="F1131" s="6">
        <v>73.150019525228515</v>
      </c>
    </row>
    <row r="1132" spans="1:6">
      <c r="A1132" s="1">
        <v>9124690</v>
      </c>
      <c r="B1132" s="1">
        <v>0.42665021091721589</v>
      </c>
      <c r="C1132" s="1">
        <v>24</v>
      </c>
      <c r="D1132" s="1">
        <v>585</v>
      </c>
      <c r="E1132" s="2">
        <v>43046</v>
      </c>
      <c r="F1132" s="6">
        <v>4.5619330837486247</v>
      </c>
    </row>
    <row r="1133" spans="1:6">
      <c r="A1133" s="1">
        <v>9124693</v>
      </c>
      <c r="B1133" s="1">
        <v>0.90872215066533446</v>
      </c>
      <c r="C1133" s="1">
        <v>21</v>
      </c>
      <c r="D1133" s="1">
        <v>413</v>
      </c>
      <c r="E1133" s="2">
        <v>42867</v>
      </c>
      <c r="F1133" s="6">
        <v>19.75702879408383</v>
      </c>
    </row>
    <row r="1134" spans="1:6">
      <c r="A1134" s="1">
        <v>9124696</v>
      </c>
      <c r="B1134" s="1">
        <v>0.78828301737211171</v>
      </c>
      <c r="C1134" s="1">
        <v>9</v>
      </c>
      <c r="D1134" s="1">
        <v>176</v>
      </c>
      <c r="E1134" s="2">
        <v>43197</v>
      </c>
      <c r="F1134" s="6">
        <v>33.679765737685187</v>
      </c>
    </row>
    <row r="1135" spans="1:6">
      <c r="A1135" s="1">
        <v>9124699</v>
      </c>
      <c r="B1135" s="1">
        <v>0.76609623443752684</v>
      </c>
      <c r="C1135" s="1">
        <v>70</v>
      </c>
      <c r="D1135" s="1">
        <v>38</v>
      </c>
      <c r="E1135" s="2">
        <v>43314</v>
      </c>
      <c r="F1135" s="6">
        <v>12.78363044871633</v>
      </c>
    </row>
    <row r="1136" spans="1:6">
      <c r="A1136" s="1">
        <v>9124702</v>
      </c>
      <c r="B1136" s="1">
        <v>0.42664042038525685</v>
      </c>
      <c r="C1136" s="1">
        <v>31</v>
      </c>
      <c r="D1136" s="1">
        <v>510</v>
      </c>
      <c r="E1136" s="2">
        <v>43044</v>
      </c>
      <c r="F1136" s="6">
        <v>8.6758493560146572</v>
      </c>
    </row>
    <row r="1137" spans="1:6">
      <c r="A1137" s="1">
        <v>9124705</v>
      </c>
      <c r="B1137" s="1">
        <v>0.83438039545156462</v>
      </c>
      <c r="C1137" s="1">
        <v>15</v>
      </c>
      <c r="D1137" s="1">
        <v>393</v>
      </c>
      <c r="E1137" s="2">
        <v>43248</v>
      </c>
      <c r="F1137" s="6">
        <v>8.8208734501617467</v>
      </c>
    </row>
    <row r="1138" spans="1:6">
      <c r="A1138" s="1">
        <v>9124708</v>
      </c>
      <c r="B1138" s="1">
        <v>0.78035061237247549</v>
      </c>
      <c r="C1138" s="1">
        <v>28</v>
      </c>
      <c r="D1138" s="1">
        <v>176</v>
      </c>
      <c r="E1138" s="2">
        <v>42960</v>
      </c>
      <c r="F1138" s="6">
        <v>43.85987765772758</v>
      </c>
    </row>
    <row r="1139" spans="1:6">
      <c r="A1139" s="1">
        <v>9124711</v>
      </c>
      <c r="B1139" s="1">
        <v>0.82471012030112123</v>
      </c>
      <c r="C1139" s="1">
        <v>2</v>
      </c>
      <c r="D1139" s="1">
        <v>258</v>
      </c>
      <c r="E1139" s="2">
        <v>42931</v>
      </c>
      <c r="F1139" s="6">
        <v>69.567548442121023</v>
      </c>
    </row>
    <row r="1140" spans="1:6">
      <c r="A1140" s="1">
        <v>9124714</v>
      </c>
      <c r="B1140" s="1">
        <v>0.46407241648973308</v>
      </c>
      <c r="C1140" s="1">
        <v>1</v>
      </c>
      <c r="D1140" s="1">
        <v>510</v>
      </c>
      <c r="E1140" s="2">
        <v>42901</v>
      </c>
      <c r="F1140" s="6">
        <v>87.504588186284636</v>
      </c>
    </row>
    <row r="1141" spans="1:6">
      <c r="A1141" s="1">
        <v>9124717</v>
      </c>
      <c r="B1141" s="1">
        <v>0.36372247725483953</v>
      </c>
      <c r="C1141" s="1">
        <v>8</v>
      </c>
      <c r="D1141" s="1">
        <v>175</v>
      </c>
      <c r="E1141" s="2">
        <v>43139</v>
      </c>
      <c r="F1141" s="6">
        <v>172.25598093672062</v>
      </c>
    </row>
    <row r="1142" spans="1:6">
      <c r="A1142" s="1">
        <v>9124720</v>
      </c>
      <c r="B1142" s="1">
        <v>0.18564227172739367</v>
      </c>
      <c r="C1142" s="1">
        <v>9</v>
      </c>
      <c r="D1142" s="1">
        <v>391</v>
      </c>
      <c r="E1142" s="2">
        <v>42772</v>
      </c>
      <c r="F1142" s="6">
        <v>64.370791827216152</v>
      </c>
    </row>
    <row r="1143" spans="1:6">
      <c r="A1143" s="1">
        <v>9124723</v>
      </c>
      <c r="B1143" s="1">
        <v>0.64971323765839573</v>
      </c>
      <c r="C1143" s="1">
        <v>19</v>
      </c>
      <c r="D1143" s="1">
        <v>258</v>
      </c>
      <c r="E1143" s="2">
        <v>43068</v>
      </c>
      <c r="F1143" s="6">
        <v>114.24601207988417</v>
      </c>
    </row>
    <row r="1144" spans="1:6">
      <c r="A1144" s="1">
        <v>9124726</v>
      </c>
      <c r="B1144" s="1">
        <v>0.23316228473304546</v>
      </c>
      <c r="C1144" s="1">
        <v>64</v>
      </c>
      <c r="D1144" s="1">
        <v>526</v>
      </c>
      <c r="E1144" s="2">
        <v>42830</v>
      </c>
      <c r="F1144" s="6">
        <v>10.579591480034392</v>
      </c>
    </row>
    <row r="1145" spans="1:6">
      <c r="A1145" s="1">
        <v>9124729</v>
      </c>
      <c r="B1145" s="1">
        <v>0.65754453188559525</v>
      </c>
      <c r="C1145" s="1">
        <v>4</v>
      </c>
      <c r="D1145" s="1">
        <v>553</v>
      </c>
      <c r="E1145" s="2">
        <v>43239</v>
      </c>
      <c r="F1145" s="6">
        <v>16.331732127379759</v>
      </c>
    </row>
    <row r="1146" spans="1:6">
      <c r="A1146" s="1">
        <v>9124732</v>
      </c>
      <c r="B1146" s="1">
        <v>0.96004190106006948</v>
      </c>
      <c r="C1146" s="1">
        <v>33</v>
      </c>
      <c r="D1146" s="1">
        <v>258</v>
      </c>
      <c r="E1146" s="2">
        <v>42994</v>
      </c>
      <c r="F1146" s="6">
        <v>196.98487966358181</v>
      </c>
    </row>
    <row r="1147" spans="1:6">
      <c r="A1147" s="1">
        <v>9124735</v>
      </c>
      <c r="B1147" s="1">
        <v>3.9693748719959565E-2</v>
      </c>
      <c r="C1147" s="1">
        <v>23</v>
      </c>
      <c r="D1147" s="1">
        <v>201</v>
      </c>
      <c r="E1147" s="2">
        <v>42947</v>
      </c>
      <c r="F1147" s="6">
        <v>237.09913101068565</v>
      </c>
    </row>
    <row r="1148" spans="1:6">
      <c r="A1148" s="1">
        <v>9124738</v>
      </c>
      <c r="B1148" s="1">
        <v>0.27840285378754515</v>
      </c>
      <c r="C1148" s="1">
        <v>380</v>
      </c>
      <c r="D1148" s="1">
        <v>459</v>
      </c>
      <c r="E1148" s="2">
        <v>43352</v>
      </c>
      <c r="F1148" s="6">
        <v>31.765346198567578</v>
      </c>
    </row>
    <row r="1149" spans="1:6">
      <c r="A1149" s="1">
        <v>9124741</v>
      </c>
      <c r="B1149" s="1">
        <v>0.96456821553776384</v>
      </c>
      <c r="C1149" s="1">
        <v>2</v>
      </c>
      <c r="D1149" s="1">
        <v>176</v>
      </c>
      <c r="E1149" s="2">
        <v>43495</v>
      </c>
      <c r="F1149" s="6">
        <v>165.44739307891487</v>
      </c>
    </row>
    <row r="1150" spans="1:6">
      <c r="A1150" s="1">
        <v>9124744</v>
      </c>
      <c r="B1150" s="1">
        <v>0.87371307932745768</v>
      </c>
      <c r="C1150" s="1">
        <v>25</v>
      </c>
      <c r="D1150" s="1">
        <v>468</v>
      </c>
      <c r="E1150" s="2">
        <v>42852</v>
      </c>
      <c r="F1150" s="6">
        <v>109.96808346745847</v>
      </c>
    </row>
    <row r="1151" spans="1:6">
      <c r="A1151" s="1">
        <v>9124747</v>
      </c>
      <c r="B1151" s="1">
        <v>0.18076597293557273</v>
      </c>
      <c r="C1151" s="1">
        <v>51</v>
      </c>
      <c r="D1151" s="1">
        <v>329</v>
      </c>
      <c r="E1151" s="2">
        <v>43278</v>
      </c>
      <c r="F1151" s="6">
        <v>65.964769586657056</v>
      </c>
    </row>
    <row r="1152" spans="1:6">
      <c r="A1152" s="1">
        <v>9124750</v>
      </c>
      <c r="B1152" s="1">
        <v>0.36551045822563377</v>
      </c>
      <c r="C1152" s="1">
        <v>99</v>
      </c>
      <c r="D1152" s="1">
        <v>430</v>
      </c>
      <c r="E1152" s="2">
        <v>43333</v>
      </c>
      <c r="F1152" s="6">
        <v>132.17134840524614</v>
      </c>
    </row>
    <row r="1153" spans="1:6">
      <c r="A1153" s="1">
        <v>9124753</v>
      </c>
      <c r="B1153" s="1">
        <v>0.60952442283485564</v>
      </c>
      <c r="C1153" s="1">
        <v>1</v>
      </c>
      <c r="D1153" s="1">
        <v>358</v>
      </c>
      <c r="E1153" s="2">
        <v>42836</v>
      </c>
      <c r="F1153" s="6">
        <v>3.0248751574363015</v>
      </c>
    </row>
    <row r="1154" spans="1:6">
      <c r="A1154" s="1">
        <v>9124756</v>
      </c>
      <c r="B1154" s="1">
        <v>8.7206339690745982E-2</v>
      </c>
      <c r="C1154" s="1">
        <v>24</v>
      </c>
      <c r="D1154" s="1">
        <v>84</v>
      </c>
      <c r="E1154" s="2">
        <v>43309</v>
      </c>
      <c r="F1154" s="6">
        <v>65.198058276542667</v>
      </c>
    </row>
    <row r="1155" spans="1:6">
      <c r="A1155" s="1">
        <v>9124759</v>
      </c>
      <c r="B1155" s="1">
        <v>0.37998060573565584</v>
      </c>
      <c r="C1155" s="1">
        <v>40</v>
      </c>
      <c r="D1155" s="1">
        <v>22</v>
      </c>
      <c r="E1155" s="2">
        <v>43352</v>
      </c>
      <c r="F1155" s="6">
        <v>33.585464187103533</v>
      </c>
    </row>
    <row r="1156" spans="1:6">
      <c r="A1156" s="1">
        <v>9124762</v>
      </c>
      <c r="B1156" s="1">
        <v>0.68107173313057656</v>
      </c>
      <c r="C1156" s="1">
        <v>1</v>
      </c>
      <c r="D1156" s="1">
        <v>176</v>
      </c>
      <c r="E1156" s="2">
        <v>43255</v>
      </c>
      <c r="F1156" s="6">
        <v>374.57267876875</v>
      </c>
    </row>
    <row r="1157" spans="1:6">
      <c r="A1157" s="1">
        <v>9124765</v>
      </c>
      <c r="B1157" s="1">
        <v>0.66362875316438186</v>
      </c>
      <c r="C1157" s="1">
        <v>46</v>
      </c>
      <c r="D1157" s="1">
        <v>509</v>
      </c>
      <c r="E1157" s="2">
        <v>43492</v>
      </c>
      <c r="F1157" s="6">
        <v>39.13284631282216</v>
      </c>
    </row>
    <row r="1158" spans="1:6">
      <c r="A1158" s="1">
        <v>9124768</v>
      </c>
      <c r="B1158" s="1">
        <v>0.60388107028819593</v>
      </c>
      <c r="C1158" s="1">
        <v>87</v>
      </c>
      <c r="D1158" s="1">
        <v>592</v>
      </c>
      <c r="E1158" s="2">
        <v>43223</v>
      </c>
      <c r="F1158" s="6">
        <v>262.31326377272865</v>
      </c>
    </row>
    <row r="1159" spans="1:6">
      <c r="A1159" s="1">
        <v>9124771</v>
      </c>
      <c r="B1159" s="1">
        <v>0.1482265575762467</v>
      </c>
      <c r="C1159" s="1">
        <v>49</v>
      </c>
      <c r="D1159" s="1">
        <v>512</v>
      </c>
      <c r="E1159" s="2">
        <v>43415</v>
      </c>
      <c r="F1159" s="6">
        <v>8.3592400053181972</v>
      </c>
    </row>
    <row r="1160" spans="1:6">
      <c r="A1160" s="1">
        <v>9124774</v>
      </c>
      <c r="B1160" s="1">
        <v>0.70600970191013745</v>
      </c>
      <c r="C1160" s="1">
        <v>76</v>
      </c>
      <c r="D1160" s="1">
        <v>103</v>
      </c>
      <c r="E1160" s="2">
        <v>42813</v>
      </c>
      <c r="F1160" s="6">
        <v>3.2818753245001018</v>
      </c>
    </row>
    <row r="1161" spans="1:6">
      <c r="A1161" s="1">
        <v>9124777</v>
      </c>
      <c r="B1161" s="1">
        <v>0.94913495220153465</v>
      </c>
      <c r="C1161" s="1">
        <v>78</v>
      </c>
      <c r="D1161" s="1">
        <v>176</v>
      </c>
      <c r="E1161" s="2">
        <v>43380</v>
      </c>
      <c r="F1161" s="6">
        <v>9.2662070915765931</v>
      </c>
    </row>
    <row r="1162" spans="1:6">
      <c r="A1162" s="1">
        <v>9124780</v>
      </c>
      <c r="B1162" s="1">
        <v>2.4385955784975266E-2</v>
      </c>
      <c r="C1162" s="1">
        <v>6</v>
      </c>
      <c r="D1162" s="1">
        <v>145</v>
      </c>
      <c r="E1162" s="2">
        <v>42756</v>
      </c>
      <c r="F1162" s="6">
        <v>133.1439058378017</v>
      </c>
    </row>
    <row r="1163" spans="1:6">
      <c r="A1163" s="1">
        <v>9124783</v>
      </c>
      <c r="B1163" s="1">
        <v>9.8411668444178257E-3</v>
      </c>
      <c r="C1163" s="1">
        <v>18</v>
      </c>
      <c r="D1163" s="1">
        <v>54</v>
      </c>
      <c r="E1163" s="2">
        <v>43461</v>
      </c>
      <c r="F1163" s="6">
        <v>159.13809895296876</v>
      </c>
    </row>
    <row r="1164" spans="1:6">
      <c r="A1164" s="1">
        <v>9124786</v>
      </c>
      <c r="B1164" s="1">
        <v>0.68573838040980151</v>
      </c>
      <c r="C1164" s="1">
        <v>6</v>
      </c>
      <c r="D1164" s="1">
        <v>122</v>
      </c>
      <c r="E1164" s="2">
        <v>43288</v>
      </c>
      <c r="F1164" s="6">
        <v>56.794441907766618</v>
      </c>
    </row>
    <row r="1165" spans="1:6">
      <c r="A1165" s="1">
        <v>9124789</v>
      </c>
      <c r="B1165" s="1">
        <v>0.94946538873280195</v>
      </c>
      <c r="C1165" s="1">
        <v>22</v>
      </c>
      <c r="D1165" s="1">
        <v>391</v>
      </c>
      <c r="E1165" s="2">
        <v>43068</v>
      </c>
      <c r="F1165" s="6">
        <v>3.2290344138738996</v>
      </c>
    </row>
    <row r="1166" spans="1:6">
      <c r="A1166" s="1">
        <v>9124792</v>
      </c>
      <c r="B1166" s="1">
        <v>0.32305284237608045</v>
      </c>
      <c r="C1166" s="1">
        <v>1</v>
      </c>
      <c r="D1166" s="1">
        <v>259</v>
      </c>
      <c r="E1166" s="2">
        <v>43057</v>
      </c>
      <c r="F1166" s="6">
        <v>57.385674562951699</v>
      </c>
    </row>
    <row r="1167" spans="1:6">
      <c r="A1167" s="1">
        <v>9124795</v>
      </c>
      <c r="B1167" s="1">
        <v>0.12212116833753017</v>
      </c>
      <c r="C1167" s="1">
        <v>5</v>
      </c>
      <c r="D1167" s="1">
        <v>592</v>
      </c>
      <c r="E1167" s="2">
        <v>43411</v>
      </c>
      <c r="F1167" s="6">
        <v>199.49265683691033</v>
      </c>
    </row>
    <row r="1168" spans="1:6">
      <c r="A1168" s="1">
        <v>9124798</v>
      </c>
      <c r="B1168" s="1">
        <v>0.11310905933295723</v>
      </c>
      <c r="C1168" s="1">
        <v>1</v>
      </c>
      <c r="D1168" s="1">
        <v>358</v>
      </c>
      <c r="E1168" s="2">
        <v>43415</v>
      </c>
      <c r="F1168" s="6">
        <v>15.294360618692014</v>
      </c>
    </row>
    <row r="1169" spans="1:6">
      <c r="A1169" s="1">
        <v>9124801</v>
      </c>
      <c r="B1169" s="1">
        <v>0.95063352350113406</v>
      </c>
      <c r="C1169" s="1">
        <v>9</v>
      </c>
      <c r="D1169" s="1">
        <v>182</v>
      </c>
      <c r="E1169" s="2">
        <v>42986</v>
      </c>
      <c r="F1169" s="6">
        <v>42.09418230674892</v>
      </c>
    </row>
    <row r="1170" spans="1:6">
      <c r="A1170" s="1">
        <v>9124804</v>
      </c>
      <c r="B1170" s="1">
        <v>0.94995024606880507</v>
      </c>
      <c r="C1170" s="1">
        <v>9</v>
      </c>
      <c r="D1170" s="1">
        <v>510</v>
      </c>
      <c r="E1170" s="2">
        <v>43335</v>
      </c>
      <c r="F1170" s="6">
        <v>75.520704668468767</v>
      </c>
    </row>
    <row r="1171" spans="1:6">
      <c r="A1171" s="1">
        <v>9124807</v>
      </c>
      <c r="B1171" s="1">
        <v>0.1987796826241871</v>
      </c>
      <c r="C1171" s="1">
        <v>121</v>
      </c>
      <c r="D1171" s="1">
        <v>597</v>
      </c>
      <c r="E1171" s="2">
        <v>43170</v>
      </c>
      <c r="F1171" s="6">
        <v>161.84274939613178</v>
      </c>
    </row>
    <row r="1172" spans="1:6">
      <c r="A1172" s="1">
        <v>9124810</v>
      </c>
      <c r="B1172" s="1">
        <v>0.21921701574867491</v>
      </c>
      <c r="C1172" s="1">
        <v>8</v>
      </c>
      <c r="D1172" s="1">
        <v>575</v>
      </c>
      <c r="E1172" s="2">
        <v>43137</v>
      </c>
      <c r="F1172" s="6">
        <v>17.342911514054485</v>
      </c>
    </row>
    <row r="1173" spans="1:6">
      <c r="A1173" s="1">
        <v>9124813</v>
      </c>
      <c r="B1173" s="1">
        <v>0.34425158975012515</v>
      </c>
      <c r="C1173" s="1">
        <v>107</v>
      </c>
      <c r="D1173" s="1">
        <v>510</v>
      </c>
      <c r="E1173" s="2">
        <v>43367</v>
      </c>
      <c r="F1173" s="6">
        <v>18.822529666554381</v>
      </c>
    </row>
    <row r="1174" spans="1:6">
      <c r="A1174" s="1">
        <v>9124816</v>
      </c>
      <c r="B1174" s="1">
        <v>0.83112674159355704</v>
      </c>
      <c r="C1174" s="1">
        <v>19</v>
      </c>
      <c r="D1174" s="1">
        <v>487</v>
      </c>
      <c r="E1174" s="2">
        <v>43033</v>
      </c>
      <c r="F1174" s="6">
        <v>336.26262872319342</v>
      </c>
    </row>
    <row r="1175" spans="1:6">
      <c r="A1175" s="1">
        <v>9124819</v>
      </c>
      <c r="B1175" s="1">
        <v>0.85709029708845252</v>
      </c>
      <c r="C1175" s="1">
        <v>65</v>
      </c>
      <c r="D1175" s="1">
        <v>359</v>
      </c>
      <c r="E1175" s="2">
        <v>42986</v>
      </c>
      <c r="F1175" s="6">
        <v>15.792406078139138</v>
      </c>
    </row>
    <row r="1176" spans="1:6">
      <c r="A1176" s="1">
        <v>9124822</v>
      </c>
      <c r="B1176" s="1">
        <v>0.9901576748706864</v>
      </c>
      <c r="C1176" s="1">
        <v>36</v>
      </c>
      <c r="D1176" s="1">
        <v>22</v>
      </c>
      <c r="E1176" s="2">
        <v>43011</v>
      </c>
      <c r="F1176" s="6">
        <v>43.924436472438416</v>
      </c>
    </row>
    <row r="1177" spans="1:6">
      <c r="A1177" s="1">
        <v>9124825</v>
      </c>
      <c r="B1177" s="1">
        <v>0.64013971004482739</v>
      </c>
      <c r="C1177" s="1">
        <v>1</v>
      </c>
      <c r="D1177" s="1">
        <v>176</v>
      </c>
      <c r="E1177" s="2">
        <v>43199</v>
      </c>
      <c r="F1177" s="6">
        <v>18.089189921215155</v>
      </c>
    </row>
    <row r="1178" spans="1:6">
      <c r="A1178" s="1">
        <v>9124828</v>
      </c>
      <c r="B1178" s="1">
        <v>0.55419760998945766</v>
      </c>
      <c r="C1178" s="1">
        <v>69</v>
      </c>
      <c r="D1178" s="1">
        <v>201</v>
      </c>
      <c r="E1178" s="2">
        <v>43458</v>
      </c>
      <c r="F1178" s="6">
        <v>36.976879096770929</v>
      </c>
    </row>
    <row r="1179" spans="1:6">
      <c r="A1179" s="1">
        <v>9124831</v>
      </c>
      <c r="B1179" s="1">
        <v>0.60493028959850814</v>
      </c>
      <c r="C1179" s="1">
        <v>183</v>
      </c>
      <c r="D1179" s="1">
        <v>22</v>
      </c>
      <c r="E1179" s="2">
        <v>43006</v>
      </c>
      <c r="F1179" s="6">
        <v>19.878991648491528</v>
      </c>
    </row>
    <row r="1180" spans="1:6">
      <c r="A1180" s="1">
        <v>9124834</v>
      </c>
      <c r="B1180" s="1">
        <v>3.2895674635551431E-2</v>
      </c>
      <c r="C1180" s="1">
        <v>6</v>
      </c>
      <c r="D1180" s="1">
        <v>197</v>
      </c>
      <c r="E1180" s="2">
        <v>43176</v>
      </c>
      <c r="F1180" s="6">
        <v>5.0540773603629123</v>
      </c>
    </row>
    <row r="1181" spans="1:6">
      <c r="A1181" s="1">
        <v>9124837</v>
      </c>
      <c r="B1181" s="1">
        <v>0.61484069726819535</v>
      </c>
      <c r="C1181" s="1">
        <v>160</v>
      </c>
      <c r="D1181" s="1">
        <v>272</v>
      </c>
      <c r="E1181" s="2">
        <v>43229</v>
      </c>
      <c r="F1181" s="6">
        <v>422.41538602485889</v>
      </c>
    </row>
    <row r="1182" spans="1:6">
      <c r="A1182" s="1">
        <v>9124840</v>
      </c>
      <c r="B1182" s="1">
        <v>0.59407103989771237</v>
      </c>
      <c r="C1182" s="1">
        <v>16</v>
      </c>
      <c r="D1182" s="1">
        <v>197</v>
      </c>
      <c r="E1182" s="2">
        <v>42778</v>
      </c>
      <c r="F1182" s="6">
        <v>21.445802811186486</v>
      </c>
    </row>
    <row r="1183" spans="1:6">
      <c r="A1183" s="1">
        <v>9124843</v>
      </c>
      <c r="B1183" s="1">
        <v>0.43681653655408925</v>
      </c>
      <c r="C1183" s="1">
        <v>20</v>
      </c>
      <c r="D1183" s="1">
        <v>592</v>
      </c>
      <c r="E1183" s="2">
        <v>43062</v>
      </c>
      <c r="F1183" s="6">
        <v>34.119857380088547</v>
      </c>
    </row>
    <row r="1184" spans="1:6">
      <c r="A1184" s="1">
        <v>9124846</v>
      </c>
      <c r="B1184" s="1">
        <v>0.38598579439304848</v>
      </c>
      <c r="C1184" s="1">
        <v>4</v>
      </c>
      <c r="D1184" s="1">
        <v>22</v>
      </c>
      <c r="E1184" s="2">
        <v>43066</v>
      </c>
      <c r="F1184" s="6">
        <v>53.245347254424559</v>
      </c>
    </row>
    <row r="1185" spans="1:6">
      <c r="A1185" s="1">
        <v>9124849</v>
      </c>
      <c r="B1185" s="1">
        <v>0.63289128467157008</v>
      </c>
      <c r="C1185" s="1">
        <v>98</v>
      </c>
      <c r="D1185" s="1">
        <v>394</v>
      </c>
      <c r="E1185" s="2">
        <v>42907</v>
      </c>
      <c r="F1185" s="6">
        <v>98.417120179910285</v>
      </c>
    </row>
    <row r="1186" spans="1:6">
      <c r="A1186" s="1">
        <v>9124852</v>
      </c>
      <c r="B1186" s="1">
        <v>0.20736958874830513</v>
      </c>
      <c r="C1186" s="1">
        <v>89</v>
      </c>
      <c r="D1186" s="1">
        <v>471</v>
      </c>
      <c r="E1186" s="2">
        <v>42890</v>
      </c>
      <c r="F1186" s="6">
        <v>18.230727041545933</v>
      </c>
    </row>
    <row r="1187" spans="1:6">
      <c r="A1187" s="1">
        <v>9124855</v>
      </c>
      <c r="B1187" s="1">
        <v>0.35701656729586972</v>
      </c>
      <c r="C1187" s="1">
        <v>81</v>
      </c>
      <c r="D1187" s="1">
        <v>156</v>
      </c>
      <c r="E1187" s="2">
        <v>43221</v>
      </c>
      <c r="F1187" s="6">
        <v>109.67015265364486</v>
      </c>
    </row>
    <row r="1188" spans="1:6">
      <c r="A1188" s="1">
        <v>9124858</v>
      </c>
      <c r="B1188" s="1">
        <v>0.5129656269938454</v>
      </c>
      <c r="C1188" s="1">
        <v>2</v>
      </c>
      <c r="D1188" s="1">
        <v>258</v>
      </c>
      <c r="E1188" s="2">
        <v>43209</v>
      </c>
      <c r="F1188" s="6">
        <v>68.980731395892235</v>
      </c>
    </row>
    <row r="1189" spans="1:6">
      <c r="A1189" s="1">
        <v>9124861</v>
      </c>
      <c r="B1189" s="1">
        <v>0.88337052597262111</v>
      </c>
      <c r="C1189" s="1">
        <v>11</v>
      </c>
      <c r="D1189" s="1">
        <v>348</v>
      </c>
      <c r="E1189" s="2">
        <v>43360</v>
      </c>
      <c r="F1189" s="6">
        <v>141.30913746266901</v>
      </c>
    </row>
    <row r="1190" spans="1:6">
      <c r="A1190" s="1">
        <v>9124864</v>
      </c>
      <c r="B1190" s="1">
        <v>0.54280318429066687</v>
      </c>
      <c r="C1190" s="1">
        <v>1</v>
      </c>
      <c r="D1190" s="1">
        <v>431</v>
      </c>
      <c r="E1190" s="2">
        <v>43402</v>
      </c>
      <c r="F1190" s="6">
        <v>4.7017860275440855</v>
      </c>
    </row>
    <row r="1191" spans="1:6">
      <c r="A1191" s="1">
        <v>9124867</v>
      </c>
      <c r="B1191" s="1">
        <v>0.83008040798836136</v>
      </c>
      <c r="C1191" s="1">
        <v>30</v>
      </c>
      <c r="D1191" s="1">
        <v>139</v>
      </c>
      <c r="E1191" s="2">
        <v>43453</v>
      </c>
      <c r="F1191" s="6">
        <v>36.306933970966654</v>
      </c>
    </row>
    <row r="1192" spans="1:6">
      <c r="A1192" s="1">
        <v>9124870</v>
      </c>
      <c r="B1192" s="1">
        <v>0.46440250924236059</v>
      </c>
      <c r="C1192" s="1">
        <v>1</v>
      </c>
      <c r="D1192" s="1">
        <v>592</v>
      </c>
      <c r="E1192" s="2">
        <v>43136</v>
      </c>
      <c r="F1192" s="6">
        <v>154.30319062110459</v>
      </c>
    </row>
    <row r="1193" spans="1:6">
      <c r="A1193" s="1">
        <v>9124873</v>
      </c>
      <c r="B1193" s="1">
        <v>0.94650431176517558</v>
      </c>
      <c r="C1193" s="1">
        <v>62</v>
      </c>
      <c r="D1193" s="1">
        <v>146</v>
      </c>
      <c r="E1193" s="2">
        <v>43460</v>
      </c>
      <c r="F1193" s="6">
        <v>5.3046813358634042</v>
      </c>
    </row>
    <row r="1194" spans="1:6">
      <c r="A1194" s="1">
        <v>9124876</v>
      </c>
      <c r="B1194" s="1">
        <v>0.83088154249974133</v>
      </c>
      <c r="C1194" s="1">
        <v>6</v>
      </c>
      <c r="D1194" s="1">
        <v>551</v>
      </c>
      <c r="E1194" s="2">
        <v>43405</v>
      </c>
      <c r="F1194" s="6">
        <v>3.7923691215463156</v>
      </c>
    </row>
    <row r="1195" spans="1:6">
      <c r="A1195" s="1">
        <v>9124879</v>
      </c>
      <c r="B1195" s="1">
        <v>0.8804701953372257</v>
      </c>
      <c r="C1195" s="1">
        <v>2</v>
      </c>
      <c r="D1195" s="1">
        <v>393</v>
      </c>
      <c r="E1195" s="2">
        <v>42937</v>
      </c>
      <c r="F1195" s="6">
        <v>23.589391746678999</v>
      </c>
    </row>
    <row r="1196" spans="1:6">
      <c r="A1196" s="1">
        <v>9124882</v>
      </c>
      <c r="B1196" s="1">
        <v>0.81178490361343936</v>
      </c>
      <c r="C1196" s="1">
        <v>54</v>
      </c>
      <c r="D1196" s="1">
        <v>41</v>
      </c>
      <c r="E1196" s="2">
        <v>43249</v>
      </c>
      <c r="F1196" s="6">
        <v>143.30834347139938</v>
      </c>
    </row>
    <row r="1197" spans="1:6">
      <c r="A1197" s="1">
        <v>9124885</v>
      </c>
      <c r="B1197" s="1">
        <v>0.32915746572873394</v>
      </c>
      <c r="C1197" s="1">
        <v>94</v>
      </c>
      <c r="D1197" s="1">
        <v>176</v>
      </c>
      <c r="E1197" s="2">
        <v>42751</v>
      </c>
      <c r="F1197" s="6">
        <v>55.415567513142989</v>
      </c>
    </row>
    <row r="1198" spans="1:6">
      <c r="A1198" s="1">
        <v>9124888</v>
      </c>
      <c r="B1198" s="1">
        <v>0.61397595444041564</v>
      </c>
      <c r="C1198" s="1">
        <v>2</v>
      </c>
      <c r="D1198" s="1">
        <v>359</v>
      </c>
      <c r="E1198" s="2">
        <v>42849</v>
      </c>
      <c r="F1198" s="6">
        <v>24.558356401310284</v>
      </c>
    </row>
    <row r="1199" spans="1:6">
      <c r="A1199" s="1">
        <v>9124891</v>
      </c>
      <c r="B1199" s="1">
        <v>0.37258584352442159</v>
      </c>
      <c r="C1199" s="1">
        <v>9</v>
      </c>
      <c r="D1199" s="1">
        <v>575</v>
      </c>
      <c r="E1199" s="2">
        <v>43474</v>
      </c>
      <c r="F1199" s="6">
        <v>87.578875855392951</v>
      </c>
    </row>
    <row r="1200" spans="1:6">
      <c r="A1200" s="1">
        <v>9124894</v>
      </c>
      <c r="B1200" s="1">
        <v>0.80761122868308655</v>
      </c>
      <c r="C1200" s="1">
        <v>1</v>
      </c>
      <c r="D1200" s="1">
        <v>462</v>
      </c>
      <c r="E1200" s="2">
        <v>43134</v>
      </c>
      <c r="F1200" s="6">
        <v>17.516230544957622</v>
      </c>
    </row>
    <row r="1201" spans="1:6">
      <c r="A1201" s="1">
        <v>9124897</v>
      </c>
      <c r="B1201" s="1">
        <v>0.6228439003895877</v>
      </c>
      <c r="C1201" s="1">
        <v>212</v>
      </c>
      <c r="D1201" s="1">
        <v>510</v>
      </c>
      <c r="E1201" s="2">
        <v>43146</v>
      </c>
      <c r="F1201" s="6">
        <v>94.489945941824715</v>
      </c>
    </row>
    <row r="1202" spans="1:6">
      <c r="A1202" s="1">
        <v>9124900</v>
      </c>
      <c r="B1202" s="1">
        <v>0.81755905667384754</v>
      </c>
      <c r="C1202" s="1">
        <v>13</v>
      </c>
      <c r="D1202" s="1">
        <v>366</v>
      </c>
      <c r="E1202" s="2">
        <v>43454</v>
      </c>
      <c r="F1202" s="6">
        <v>5.6779836671267052</v>
      </c>
    </row>
    <row r="1203" spans="1:6">
      <c r="A1203" s="1">
        <v>9124903</v>
      </c>
      <c r="B1203" s="1">
        <v>0.24742444861121993</v>
      </c>
      <c r="C1203" s="1">
        <v>49</v>
      </c>
      <c r="D1203" s="1">
        <v>348</v>
      </c>
      <c r="E1203" s="2">
        <v>43153</v>
      </c>
      <c r="F1203" s="6">
        <v>9.0783723233524185</v>
      </c>
    </row>
    <row r="1204" spans="1:6">
      <c r="A1204" s="1">
        <v>9124906</v>
      </c>
      <c r="B1204" s="1">
        <v>0.43135057476981076</v>
      </c>
      <c r="C1204" s="1">
        <v>166</v>
      </c>
      <c r="D1204" s="1">
        <v>77</v>
      </c>
      <c r="E1204" s="2">
        <v>42790</v>
      </c>
      <c r="F1204" s="6">
        <v>197.33020398346852</v>
      </c>
    </row>
    <row r="1205" spans="1:6">
      <c r="A1205" s="1">
        <v>9124909</v>
      </c>
      <c r="B1205" s="1">
        <v>0.62124602687181729</v>
      </c>
      <c r="C1205" s="1">
        <v>16</v>
      </c>
      <c r="D1205" s="1">
        <v>176</v>
      </c>
      <c r="E1205" s="2">
        <v>42974</v>
      </c>
      <c r="F1205" s="6">
        <v>3.716980511734632</v>
      </c>
    </row>
    <row r="1206" spans="1:6">
      <c r="A1206" s="1">
        <v>9124912</v>
      </c>
      <c r="B1206" s="1">
        <v>0.9808770631844328</v>
      </c>
      <c r="C1206" s="1">
        <v>189</v>
      </c>
      <c r="D1206" s="1">
        <v>90</v>
      </c>
      <c r="E1206" s="2">
        <v>43293</v>
      </c>
      <c r="F1206" s="6">
        <v>5.0792264391216282</v>
      </c>
    </row>
    <row r="1207" spans="1:6">
      <c r="A1207" s="1">
        <v>9124915</v>
      </c>
      <c r="B1207" s="1">
        <v>0.24713460162005496</v>
      </c>
      <c r="C1207" s="1">
        <v>19</v>
      </c>
      <c r="D1207" s="1">
        <v>564</v>
      </c>
      <c r="E1207" s="2">
        <v>42851</v>
      </c>
      <c r="F1207" s="6">
        <v>117.8004156673743</v>
      </c>
    </row>
    <row r="1208" spans="1:6">
      <c r="A1208" s="1">
        <v>9124918</v>
      </c>
      <c r="B1208" s="1">
        <v>0.11619828766725926</v>
      </c>
      <c r="C1208" s="1">
        <v>3</v>
      </c>
      <c r="D1208" s="1">
        <v>176</v>
      </c>
      <c r="E1208" s="2">
        <v>43314</v>
      </c>
      <c r="F1208" s="6">
        <v>115.41576205584521</v>
      </c>
    </row>
    <row r="1209" spans="1:6">
      <c r="A1209" s="1">
        <v>9124921</v>
      </c>
      <c r="B1209" s="1">
        <v>0.65303559119045018</v>
      </c>
      <c r="C1209" s="1">
        <v>95</v>
      </c>
      <c r="D1209" s="1">
        <v>176</v>
      </c>
      <c r="E1209" s="2">
        <v>43417</v>
      </c>
      <c r="F1209" s="6">
        <v>7.9188443325268985</v>
      </c>
    </row>
    <row r="1210" spans="1:6">
      <c r="A1210" s="1">
        <v>9124924</v>
      </c>
      <c r="B1210" s="1">
        <v>9.5262707412844261E-2</v>
      </c>
      <c r="C1210" s="1">
        <v>93</v>
      </c>
      <c r="D1210" s="1">
        <v>532</v>
      </c>
      <c r="E1210" s="2">
        <v>43252</v>
      </c>
      <c r="F1210" s="6">
        <v>17.705258719807091</v>
      </c>
    </row>
    <row r="1211" spans="1:6">
      <c r="A1211" s="1">
        <v>9124927</v>
      </c>
      <c r="B1211" s="1">
        <v>0.30133762650721674</v>
      </c>
      <c r="C1211" s="1">
        <v>2</v>
      </c>
      <c r="D1211" s="1">
        <v>420</v>
      </c>
      <c r="E1211" s="2">
        <v>43295</v>
      </c>
      <c r="F1211" s="6">
        <v>196.59370310555624</v>
      </c>
    </row>
    <row r="1212" spans="1:6">
      <c r="A1212" s="1">
        <v>9124930</v>
      </c>
      <c r="B1212" s="1">
        <v>0.69806829813329185</v>
      </c>
      <c r="C1212" s="1">
        <v>26</v>
      </c>
      <c r="D1212" s="1">
        <v>413</v>
      </c>
      <c r="E1212" s="2">
        <v>42888</v>
      </c>
      <c r="F1212" s="6">
        <v>27.876176989529846</v>
      </c>
    </row>
    <row r="1213" spans="1:6">
      <c r="A1213" s="1">
        <v>9124933</v>
      </c>
      <c r="B1213" s="1">
        <v>0.3041550735361751</v>
      </c>
      <c r="C1213" s="1">
        <v>7</v>
      </c>
      <c r="D1213" s="1">
        <v>448</v>
      </c>
      <c r="E1213" s="2">
        <v>42742</v>
      </c>
      <c r="F1213" s="6">
        <v>30.99147503356847</v>
      </c>
    </row>
    <row r="1214" spans="1:6">
      <c r="A1214" s="1">
        <v>9124936</v>
      </c>
      <c r="B1214" s="1">
        <v>0.34082182606862776</v>
      </c>
      <c r="C1214" s="1">
        <v>1</v>
      </c>
      <c r="D1214" s="1">
        <v>451</v>
      </c>
      <c r="E1214" s="2">
        <v>42911</v>
      </c>
      <c r="F1214" s="6">
        <v>76.504120746968283</v>
      </c>
    </row>
    <row r="1215" spans="1:6">
      <c r="A1215" s="1">
        <v>9124939</v>
      </c>
      <c r="B1215" s="1">
        <v>0.49122547727586807</v>
      </c>
      <c r="C1215" s="1">
        <v>41</v>
      </c>
      <c r="D1215" s="1">
        <v>244</v>
      </c>
      <c r="E1215" s="2">
        <v>42897</v>
      </c>
      <c r="F1215" s="6">
        <v>26.163423548770886</v>
      </c>
    </row>
    <row r="1216" spans="1:6">
      <c r="A1216" s="1">
        <v>9124942</v>
      </c>
      <c r="B1216" s="1">
        <v>2.4772177811982043E-2</v>
      </c>
      <c r="C1216" s="1">
        <v>2</v>
      </c>
      <c r="D1216" s="1">
        <v>343</v>
      </c>
      <c r="E1216" s="2">
        <v>43376</v>
      </c>
      <c r="F1216" s="6">
        <v>62.422601330311132</v>
      </c>
    </row>
    <row r="1217" spans="1:6">
      <c r="A1217" s="1">
        <v>9124945</v>
      </c>
      <c r="B1217" s="1">
        <v>0.83028927411087605</v>
      </c>
      <c r="C1217" s="1">
        <v>26</v>
      </c>
      <c r="D1217" s="1">
        <v>598</v>
      </c>
      <c r="E1217" s="2">
        <v>43266</v>
      </c>
      <c r="F1217" s="6">
        <v>98.254052459762377</v>
      </c>
    </row>
    <row r="1218" spans="1:6">
      <c r="A1218" s="1">
        <v>9124948</v>
      </c>
      <c r="B1218" s="1">
        <v>0.33215333493430899</v>
      </c>
      <c r="C1218" s="1">
        <v>6</v>
      </c>
      <c r="D1218" s="1">
        <v>40</v>
      </c>
      <c r="E1218" s="2">
        <v>42861</v>
      </c>
      <c r="F1218" s="6">
        <v>38.264917001710522</v>
      </c>
    </row>
    <row r="1219" spans="1:6">
      <c r="A1219" s="1">
        <v>9124951</v>
      </c>
      <c r="B1219" s="1">
        <v>0.50863968287246408</v>
      </c>
      <c r="C1219" s="1">
        <v>29</v>
      </c>
      <c r="D1219" s="1">
        <v>197</v>
      </c>
      <c r="E1219" s="2">
        <v>43425</v>
      </c>
      <c r="F1219" s="6">
        <v>3.3190642210088117</v>
      </c>
    </row>
    <row r="1220" spans="1:6">
      <c r="A1220" s="1">
        <v>9124954</v>
      </c>
      <c r="B1220" s="1">
        <v>0.19303631630163287</v>
      </c>
      <c r="C1220" s="1">
        <v>76</v>
      </c>
      <c r="D1220" s="1">
        <v>564</v>
      </c>
      <c r="E1220" s="2">
        <v>42950</v>
      </c>
      <c r="F1220" s="6">
        <v>124.87625957309163</v>
      </c>
    </row>
    <row r="1221" spans="1:6">
      <c r="A1221" s="1">
        <v>9124957</v>
      </c>
      <c r="B1221" s="1">
        <v>0.72884343920505912</v>
      </c>
      <c r="C1221" s="1">
        <v>5</v>
      </c>
      <c r="D1221" s="1">
        <v>458</v>
      </c>
      <c r="E1221" s="2">
        <v>43040</v>
      </c>
      <c r="F1221" s="6">
        <v>33.66013640095602</v>
      </c>
    </row>
    <row r="1222" spans="1:6">
      <c r="A1222" s="1">
        <v>9124960</v>
      </c>
      <c r="B1222" s="1">
        <v>0.75823741100941111</v>
      </c>
      <c r="C1222" s="1">
        <v>6</v>
      </c>
      <c r="D1222" s="1">
        <v>334</v>
      </c>
      <c r="E1222" s="2">
        <v>42947</v>
      </c>
      <c r="F1222" s="6">
        <v>23.579572300507859</v>
      </c>
    </row>
    <row r="1223" spans="1:6">
      <c r="A1223" s="1">
        <v>9124963</v>
      </c>
      <c r="B1223" s="1">
        <v>0.80666616432796157</v>
      </c>
      <c r="C1223" s="1">
        <v>66</v>
      </c>
      <c r="D1223" s="1">
        <v>458</v>
      </c>
      <c r="E1223" s="2">
        <v>43223</v>
      </c>
      <c r="F1223" s="6">
        <v>25.433494468091652</v>
      </c>
    </row>
    <row r="1224" spans="1:6">
      <c r="A1224" s="1">
        <v>9124966</v>
      </c>
      <c r="B1224" s="1">
        <v>0.82766602493632546</v>
      </c>
      <c r="C1224" s="1">
        <v>1</v>
      </c>
      <c r="D1224" s="1">
        <v>420</v>
      </c>
      <c r="E1224" s="2">
        <v>43111</v>
      </c>
      <c r="F1224" s="6">
        <v>21.130211250996425</v>
      </c>
    </row>
    <row r="1225" spans="1:6">
      <c r="A1225" s="1">
        <v>9124969</v>
      </c>
      <c r="B1225" s="1">
        <v>0.43165461747621403</v>
      </c>
      <c r="C1225" s="1">
        <v>57</v>
      </c>
      <c r="D1225" s="1">
        <v>570</v>
      </c>
      <c r="E1225" s="2">
        <v>43315</v>
      </c>
      <c r="F1225" s="6">
        <v>11.164830496045669</v>
      </c>
    </row>
    <row r="1226" spans="1:6">
      <c r="A1226" s="1">
        <v>9124972</v>
      </c>
      <c r="B1226" s="1">
        <v>0.36420550382316719</v>
      </c>
      <c r="C1226" s="1">
        <v>7</v>
      </c>
      <c r="D1226" s="1">
        <v>318</v>
      </c>
      <c r="E1226" s="2">
        <v>42805</v>
      </c>
      <c r="F1226" s="6">
        <v>237.77227876620614</v>
      </c>
    </row>
    <row r="1227" spans="1:6">
      <c r="A1227" s="1">
        <v>9124975</v>
      </c>
      <c r="B1227" s="1">
        <v>0.71816264471357016</v>
      </c>
      <c r="C1227" s="1">
        <v>18</v>
      </c>
      <c r="D1227" s="1">
        <v>451</v>
      </c>
      <c r="E1227" s="2">
        <v>42976</v>
      </c>
      <c r="F1227" s="6">
        <v>66.473718168179317</v>
      </c>
    </row>
    <row r="1228" spans="1:6">
      <c r="A1228" s="1">
        <v>9124978</v>
      </c>
      <c r="B1228" s="1">
        <v>0.60828228362889114</v>
      </c>
      <c r="C1228" s="1">
        <v>215</v>
      </c>
      <c r="D1228" s="1">
        <v>330</v>
      </c>
      <c r="E1228" s="2">
        <v>42864</v>
      </c>
      <c r="F1228" s="6">
        <v>48.455984131358953</v>
      </c>
    </row>
    <row r="1229" spans="1:6">
      <c r="A1229" s="1">
        <v>9124981</v>
      </c>
      <c r="B1229" s="1">
        <v>0.14948586918020002</v>
      </c>
      <c r="C1229" s="1">
        <v>44</v>
      </c>
      <c r="D1229" s="1">
        <v>139</v>
      </c>
      <c r="E1229" s="2">
        <v>43098</v>
      </c>
      <c r="F1229" s="6">
        <v>9.9648447545693557</v>
      </c>
    </row>
    <row r="1230" spans="1:6">
      <c r="A1230" s="1">
        <v>9124984</v>
      </c>
      <c r="B1230" s="1">
        <v>0.77870086756415968</v>
      </c>
      <c r="C1230" s="1">
        <v>164</v>
      </c>
      <c r="D1230" s="1">
        <v>458</v>
      </c>
      <c r="E1230" s="2">
        <v>43266</v>
      </c>
      <c r="F1230" s="6">
        <v>3.2934557936658395</v>
      </c>
    </row>
    <row r="1231" spans="1:6">
      <c r="A1231" s="1">
        <v>9124987</v>
      </c>
      <c r="B1231" s="1">
        <v>0.21332929339309259</v>
      </c>
      <c r="C1231" s="1">
        <v>44</v>
      </c>
      <c r="D1231" s="1">
        <v>176</v>
      </c>
      <c r="E1231" s="2">
        <v>43330</v>
      </c>
      <c r="F1231" s="6">
        <v>151.73592597293356</v>
      </c>
    </row>
    <row r="1232" spans="1:6">
      <c r="A1232" s="1">
        <v>9124990</v>
      </c>
      <c r="B1232" s="1">
        <v>0.53628605465513779</v>
      </c>
      <c r="C1232" s="1">
        <v>7</v>
      </c>
      <c r="D1232" s="1">
        <v>451</v>
      </c>
      <c r="E1232" s="2">
        <v>42934</v>
      </c>
      <c r="F1232" s="6">
        <v>22.060081008511023</v>
      </c>
    </row>
    <row r="1233" spans="1:6">
      <c r="A1233" s="1">
        <v>9124993</v>
      </c>
      <c r="B1233" s="1">
        <v>0.87798538559366446</v>
      </c>
      <c r="C1233" s="1">
        <v>8</v>
      </c>
      <c r="D1233" s="1">
        <v>98</v>
      </c>
      <c r="E1233" s="2">
        <v>43319</v>
      </c>
      <c r="F1233" s="6">
        <v>29.415503411931855</v>
      </c>
    </row>
    <row r="1234" spans="1:6">
      <c r="A1234" s="1">
        <v>9124996</v>
      </c>
      <c r="B1234" s="1">
        <v>0.62654878067364417</v>
      </c>
      <c r="C1234" s="1">
        <v>26</v>
      </c>
      <c r="D1234" s="1">
        <v>146</v>
      </c>
      <c r="E1234" s="2">
        <v>43128</v>
      </c>
      <c r="F1234" s="6">
        <v>104.94134347467114</v>
      </c>
    </row>
    <row r="1235" spans="1:6">
      <c r="A1235" s="1">
        <v>9124999</v>
      </c>
      <c r="B1235" s="1">
        <v>1.4979004941028995E-2</v>
      </c>
      <c r="C1235" s="1">
        <v>2</v>
      </c>
      <c r="D1235" s="1">
        <v>263</v>
      </c>
      <c r="E1235" s="2">
        <v>43262</v>
      </c>
      <c r="F1235" s="6">
        <v>108.80153321717629</v>
      </c>
    </row>
    <row r="1236" spans="1:6">
      <c r="A1236" s="1">
        <v>9125002</v>
      </c>
      <c r="B1236" s="1">
        <v>0.85532960236178635</v>
      </c>
      <c r="C1236" s="1">
        <v>3</v>
      </c>
      <c r="D1236" s="1">
        <v>145</v>
      </c>
      <c r="E1236" s="2">
        <v>42987</v>
      </c>
      <c r="F1236" s="6">
        <v>24.435960872619496</v>
      </c>
    </row>
    <row r="1237" spans="1:6">
      <c r="A1237" s="1">
        <v>9125005</v>
      </c>
      <c r="B1237" s="1">
        <v>0.36846195771891643</v>
      </c>
      <c r="C1237" s="1">
        <v>8</v>
      </c>
      <c r="D1237" s="1">
        <v>592</v>
      </c>
      <c r="E1237" s="2">
        <v>43413</v>
      </c>
      <c r="F1237" s="6">
        <v>58.302524967403969</v>
      </c>
    </row>
    <row r="1238" spans="1:6">
      <c r="A1238" s="1">
        <v>9125008</v>
      </c>
      <c r="B1238" s="1">
        <v>0.36563406080597438</v>
      </c>
      <c r="C1238" s="1">
        <v>134</v>
      </c>
      <c r="D1238" s="1">
        <v>510</v>
      </c>
      <c r="E1238" s="2">
        <v>43357</v>
      </c>
      <c r="F1238" s="6">
        <v>37.50594239094869</v>
      </c>
    </row>
    <row r="1239" spans="1:6">
      <c r="A1239" s="1">
        <v>9125011</v>
      </c>
      <c r="B1239" s="1">
        <v>0.16072804495688764</v>
      </c>
      <c r="C1239" s="1">
        <v>111</v>
      </c>
      <c r="D1239" s="1">
        <v>495</v>
      </c>
      <c r="E1239" s="2">
        <v>42990</v>
      </c>
      <c r="F1239" s="6">
        <v>4.2214467940127172</v>
      </c>
    </row>
    <row r="1240" spans="1:6">
      <c r="A1240" s="1">
        <v>9125014</v>
      </c>
      <c r="B1240" s="1">
        <v>0.53980242493925168</v>
      </c>
      <c r="C1240" s="1">
        <v>20</v>
      </c>
      <c r="D1240" s="1">
        <v>510</v>
      </c>
      <c r="E1240" s="2">
        <v>43202</v>
      </c>
      <c r="F1240" s="6">
        <v>15.620156521348919</v>
      </c>
    </row>
    <row r="1241" spans="1:6">
      <c r="A1241" s="1">
        <v>9125017</v>
      </c>
      <c r="B1241" s="1">
        <v>0.98929286179245401</v>
      </c>
      <c r="C1241" s="1">
        <v>54</v>
      </c>
      <c r="D1241" s="1">
        <v>366</v>
      </c>
      <c r="E1241" s="2">
        <v>43257</v>
      </c>
      <c r="F1241" s="6">
        <v>13.646146563561949</v>
      </c>
    </row>
    <row r="1242" spans="1:6">
      <c r="A1242" s="1">
        <v>9125020</v>
      </c>
      <c r="B1242" s="1">
        <v>0.49173692294344906</v>
      </c>
      <c r="C1242" s="1">
        <v>33</v>
      </c>
      <c r="D1242" s="1">
        <v>413</v>
      </c>
      <c r="E1242" s="2">
        <v>43442</v>
      </c>
      <c r="F1242" s="6">
        <v>50.880555047618415</v>
      </c>
    </row>
    <row r="1243" spans="1:6">
      <c r="A1243" s="1">
        <v>9125023</v>
      </c>
      <c r="B1243" s="1">
        <v>0.89641903760295993</v>
      </c>
      <c r="C1243" s="1">
        <v>51</v>
      </c>
      <c r="D1243" s="1">
        <v>61</v>
      </c>
      <c r="E1243" s="2">
        <v>43275</v>
      </c>
      <c r="F1243" s="6">
        <v>34.950963895553528</v>
      </c>
    </row>
    <row r="1244" spans="1:6">
      <c r="A1244" s="1">
        <v>9125026</v>
      </c>
      <c r="B1244" s="1">
        <v>0.56862388740558123</v>
      </c>
      <c r="C1244" s="1">
        <v>48</v>
      </c>
      <c r="D1244" s="1">
        <v>334</v>
      </c>
      <c r="E1244" s="2">
        <v>43110</v>
      </c>
      <c r="F1244" s="6">
        <v>194.2680045591494</v>
      </c>
    </row>
    <row r="1245" spans="1:6">
      <c r="A1245" s="1">
        <v>9125029</v>
      </c>
      <c r="B1245" s="1">
        <v>0.50369625138613772</v>
      </c>
      <c r="C1245" s="1">
        <v>25</v>
      </c>
      <c r="D1245" s="1">
        <v>326</v>
      </c>
      <c r="E1245" s="2">
        <v>43161</v>
      </c>
      <c r="F1245" s="6">
        <v>71.316979607010467</v>
      </c>
    </row>
    <row r="1246" spans="1:6">
      <c r="A1246" s="1">
        <v>9125032</v>
      </c>
      <c r="B1246" s="1">
        <v>0.69343298980883805</v>
      </c>
      <c r="C1246" s="1">
        <v>77</v>
      </c>
      <c r="D1246" s="1">
        <v>182</v>
      </c>
      <c r="E1246" s="2">
        <v>43335</v>
      </c>
      <c r="F1246" s="6">
        <v>10.581418570647799</v>
      </c>
    </row>
    <row r="1247" spans="1:6">
      <c r="A1247" s="1">
        <v>9125035</v>
      </c>
      <c r="B1247" s="1">
        <v>0.60146464577413805</v>
      </c>
      <c r="C1247" s="1">
        <v>45</v>
      </c>
      <c r="D1247" s="1">
        <v>420</v>
      </c>
      <c r="E1247" s="2">
        <v>43062</v>
      </c>
      <c r="F1247" s="6">
        <v>11.462277360123663</v>
      </c>
    </row>
    <row r="1248" spans="1:6">
      <c r="A1248" s="1">
        <v>9125038</v>
      </c>
      <c r="B1248" s="1">
        <v>0.70860965407102738</v>
      </c>
      <c r="C1248" s="1">
        <v>158</v>
      </c>
      <c r="D1248" s="1">
        <v>146</v>
      </c>
      <c r="E1248" s="2">
        <v>43137</v>
      </c>
      <c r="F1248" s="6">
        <v>39.699171049295678</v>
      </c>
    </row>
    <row r="1249" spans="1:6">
      <c r="A1249" s="1">
        <v>9125041</v>
      </c>
      <c r="B1249" s="1">
        <v>5.5780095195909096E-2</v>
      </c>
      <c r="C1249" s="1">
        <v>59</v>
      </c>
      <c r="D1249" s="1">
        <v>88</v>
      </c>
      <c r="E1249" s="2">
        <v>43044</v>
      </c>
      <c r="F1249" s="6">
        <v>20.028354876074498</v>
      </c>
    </row>
    <row r="1250" spans="1:6">
      <c r="A1250" s="1">
        <v>9125044</v>
      </c>
      <c r="B1250" s="1">
        <v>0.52622811905914813</v>
      </c>
      <c r="C1250" s="1">
        <v>5</v>
      </c>
      <c r="D1250" s="1">
        <v>182</v>
      </c>
      <c r="E1250" s="2">
        <v>43306</v>
      </c>
      <c r="F1250" s="6">
        <v>41.465067300733594</v>
      </c>
    </row>
    <row r="1251" spans="1:6">
      <c r="A1251" s="1">
        <v>9125047</v>
      </c>
      <c r="B1251" s="1">
        <v>0.27422166728962738</v>
      </c>
      <c r="C1251" s="1">
        <v>34</v>
      </c>
      <c r="D1251" s="1">
        <v>176</v>
      </c>
      <c r="E1251" s="2">
        <v>43304</v>
      </c>
      <c r="F1251" s="6">
        <v>68.317371426265581</v>
      </c>
    </row>
    <row r="1252" spans="1:6">
      <c r="A1252" s="1">
        <v>9125050</v>
      </c>
      <c r="B1252" s="1">
        <v>0.14385965008570278</v>
      </c>
      <c r="C1252" s="1">
        <v>84</v>
      </c>
      <c r="D1252" s="1">
        <v>343</v>
      </c>
      <c r="E1252" s="2">
        <v>43054</v>
      </c>
      <c r="F1252" s="6">
        <v>28.228362664975485</v>
      </c>
    </row>
    <row r="1253" spans="1:6">
      <c r="A1253" s="1">
        <v>9125053</v>
      </c>
      <c r="B1253" s="1">
        <v>0.86239658753622728</v>
      </c>
      <c r="C1253" s="1">
        <v>24</v>
      </c>
      <c r="D1253" s="1">
        <v>126</v>
      </c>
      <c r="E1253" s="2">
        <v>43099</v>
      </c>
      <c r="F1253" s="6">
        <v>261.55111375228194</v>
      </c>
    </row>
    <row r="1254" spans="1:6">
      <c r="A1254" s="1">
        <v>9125056</v>
      </c>
      <c r="B1254" s="1">
        <v>0.5663799670711861</v>
      </c>
      <c r="C1254" s="1">
        <v>306</v>
      </c>
      <c r="D1254" s="1">
        <v>541</v>
      </c>
      <c r="E1254" s="2">
        <v>43310</v>
      </c>
      <c r="F1254" s="6">
        <v>10.576887598386389</v>
      </c>
    </row>
    <row r="1255" spans="1:6">
      <c r="A1255" s="1">
        <v>9125059</v>
      </c>
      <c r="B1255" s="1">
        <v>0.94131518046965545</v>
      </c>
      <c r="C1255" s="1">
        <v>51</v>
      </c>
      <c r="D1255" s="1">
        <v>492</v>
      </c>
      <c r="E1255" s="2">
        <v>42928</v>
      </c>
      <c r="F1255" s="6">
        <v>17.51160228952687</v>
      </c>
    </row>
    <row r="1256" spans="1:6">
      <c r="A1256" s="1">
        <v>9125062</v>
      </c>
      <c r="B1256" s="1">
        <v>0.8916324128410078</v>
      </c>
      <c r="C1256" s="1">
        <v>87</v>
      </c>
      <c r="D1256" s="1">
        <v>273</v>
      </c>
      <c r="E1256" s="2">
        <v>43491</v>
      </c>
      <c r="F1256" s="6">
        <v>3.8271707982841514</v>
      </c>
    </row>
    <row r="1257" spans="1:6">
      <c r="A1257" s="1">
        <v>9125065</v>
      </c>
      <c r="B1257" s="1">
        <v>0.63122323886525844</v>
      </c>
      <c r="C1257" s="1">
        <v>8</v>
      </c>
      <c r="D1257" s="1">
        <v>293</v>
      </c>
      <c r="E1257" s="2">
        <v>43108</v>
      </c>
      <c r="F1257" s="6">
        <v>48.532466626211999</v>
      </c>
    </row>
    <row r="1258" spans="1:6">
      <c r="A1258" s="1">
        <v>9125068</v>
      </c>
      <c r="B1258" s="1">
        <v>0.40218301872780793</v>
      </c>
      <c r="C1258" s="1">
        <v>2</v>
      </c>
      <c r="D1258" s="1">
        <v>41</v>
      </c>
      <c r="E1258" s="2">
        <v>43435</v>
      </c>
      <c r="F1258" s="6">
        <v>70.251898510187644</v>
      </c>
    </row>
    <row r="1259" spans="1:6">
      <c r="A1259" s="1">
        <v>9125071</v>
      </c>
      <c r="B1259" s="1">
        <v>0.25595695694693876</v>
      </c>
      <c r="C1259" s="1">
        <v>107</v>
      </c>
      <c r="D1259" s="1">
        <v>510</v>
      </c>
      <c r="E1259" s="2">
        <v>43274</v>
      </c>
      <c r="F1259" s="6">
        <v>28.609027066681577</v>
      </c>
    </row>
    <row r="1260" spans="1:6">
      <c r="A1260" s="1">
        <v>9125074</v>
      </c>
      <c r="B1260" s="1">
        <v>0.63236150922342116</v>
      </c>
      <c r="C1260" s="1">
        <v>4</v>
      </c>
      <c r="D1260" s="1">
        <v>512</v>
      </c>
      <c r="E1260" s="2">
        <v>42820</v>
      </c>
      <c r="F1260" s="6">
        <v>24.46341865647506</v>
      </c>
    </row>
    <row r="1261" spans="1:6">
      <c r="A1261" s="1">
        <v>9125077</v>
      </c>
      <c r="B1261" s="1">
        <v>0.59917522176047111</v>
      </c>
      <c r="C1261" s="1">
        <v>55</v>
      </c>
      <c r="D1261" s="1">
        <v>492</v>
      </c>
      <c r="E1261" s="2">
        <v>42767</v>
      </c>
      <c r="F1261" s="6">
        <v>34.155269196222314</v>
      </c>
    </row>
    <row r="1262" spans="1:6">
      <c r="A1262" s="1">
        <v>9125080</v>
      </c>
      <c r="B1262" s="1">
        <v>0.23618281792136753</v>
      </c>
      <c r="C1262" s="1">
        <v>68</v>
      </c>
      <c r="D1262" s="1">
        <v>41</v>
      </c>
      <c r="E1262" s="2">
        <v>43374</v>
      </c>
      <c r="F1262" s="6">
        <v>15.830234283924399</v>
      </c>
    </row>
    <row r="1263" spans="1:6">
      <c r="A1263" s="1">
        <v>9125083</v>
      </c>
      <c r="B1263" s="1">
        <v>0.47465649579909985</v>
      </c>
      <c r="C1263" s="1">
        <v>9</v>
      </c>
      <c r="D1263" s="1">
        <v>149</v>
      </c>
      <c r="E1263" s="2">
        <v>43055</v>
      </c>
      <c r="F1263" s="6">
        <v>71.171821697948587</v>
      </c>
    </row>
    <row r="1264" spans="1:6">
      <c r="A1264" s="1">
        <v>9125086</v>
      </c>
      <c r="B1264" s="1">
        <v>0.5713424967761821</v>
      </c>
      <c r="C1264" s="1">
        <v>83</v>
      </c>
      <c r="D1264" s="1">
        <v>510</v>
      </c>
      <c r="E1264" s="2">
        <v>43337</v>
      </c>
      <c r="F1264" s="6">
        <v>6.8823987290597382</v>
      </c>
    </row>
    <row r="1265" spans="1:6">
      <c r="A1265" s="1">
        <v>9125089</v>
      </c>
      <c r="B1265" s="1">
        <v>0.42173987903450805</v>
      </c>
      <c r="C1265" s="1">
        <v>163</v>
      </c>
      <c r="D1265" s="1">
        <v>577</v>
      </c>
      <c r="E1265" s="2">
        <v>43155</v>
      </c>
      <c r="F1265" s="6">
        <v>98.079786049376551</v>
      </c>
    </row>
    <row r="1266" spans="1:6">
      <c r="A1266" s="1">
        <v>9125092</v>
      </c>
      <c r="B1266" s="1">
        <v>0.25908389554491529</v>
      </c>
      <c r="C1266" s="1">
        <v>111</v>
      </c>
      <c r="D1266" s="1">
        <v>520</v>
      </c>
      <c r="E1266" s="2">
        <v>43077</v>
      </c>
      <c r="F1266" s="6">
        <v>126.87959669947767</v>
      </c>
    </row>
    <row r="1267" spans="1:6">
      <c r="A1267" s="1">
        <v>9125095</v>
      </c>
      <c r="B1267" s="1">
        <v>0.11271519526734342</v>
      </c>
      <c r="C1267" s="1">
        <v>62</v>
      </c>
      <c r="D1267" s="1">
        <v>445</v>
      </c>
      <c r="E1267" s="2">
        <v>43422</v>
      </c>
      <c r="F1267" s="6">
        <v>106.38121874464186</v>
      </c>
    </row>
    <row r="1268" spans="1:6">
      <c r="A1268" s="1">
        <v>9125098</v>
      </c>
      <c r="B1268" s="1">
        <v>0.36746949570472964</v>
      </c>
      <c r="C1268" s="1">
        <v>9</v>
      </c>
      <c r="D1268" s="1">
        <v>258</v>
      </c>
      <c r="E1268" s="2">
        <v>42838</v>
      </c>
      <c r="F1268" s="6">
        <v>23.420251165487304</v>
      </c>
    </row>
    <row r="1269" spans="1:6">
      <c r="A1269" s="1">
        <v>9125101</v>
      </c>
      <c r="B1269" s="1">
        <v>0.49974320769615999</v>
      </c>
      <c r="C1269" s="1">
        <v>16</v>
      </c>
      <c r="D1269" s="1">
        <v>510</v>
      </c>
      <c r="E1269" s="2">
        <v>43458</v>
      </c>
      <c r="F1269" s="6">
        <v>4.199668275311204</v>
      </c>
    </row>
    <row r="1270" spans="1:6">
      <c r="A1270" s="1">
        <v>9125104</v>
      </c>
      <c r="B1270" s="1">
        <v>0.94421269284440146</v>
      </c>
      <c r="C1270" s="1">
        <v>50</v>
      </c>
      <c r="D1270" s="1">
        <v>458</v>
      </c>
      <c r="E1270" s="2">
        <v>43076</v>
      </c>
      <c r="F1270" s="6">
        <v>85.268482865465458</v>
      </c>
    </row>
    <row r="1271" spans="1:6">
      <c r="A1271" s="1">
        <v>9125107</v>
      </c>
      <c r="B1271" s="1">
        <v>0.38095405487803291</v>
      </c>
      <c r="C1271" s="1">
        <v>20</v>
      </c>
      <c r="D1271" s="1">
        <v>88</v>
      </c>
      <c r="E1271" s="2">
        <v>43054</v>
      </c>
      <c r="F1271" s="6">
        <v>41.372177196790005</v>
      </c>
    </row>
    <row r="1272" spans="1:6">
      <c r="A1272" s="1">
        <v>9125110</v>
      </c>
      <c r="B1272" s="1">
        <v>0.77194295290263704</v>
      </c>
      <c r="C1272" s="1">
        <v>62</v>
      </c>
      <c r="D1272" s="1">
        <v>348</v>
      </c>
      <c r="E1272" s="2">
        <v>43394</v>
      </c>
      <c r="F1272" s="6">
        <v>54.260167128641513</v>
      </c>
    </row>
    <row r="1273" spans="1:6">
      <c r="A1273" s="1">
        <v>9125113</v>
      </c>
      <c r="B1273" s="1">
        <v>0.42964404680431445</v>
      </c>
      <c r="C1273" s="1">
        <v>390</v>
      </c>
      <c r="D1273" s="1">
        <v>592</v>
      </c>
      <c r="E1273" s="2">
        <v>42835</v>
      </c>
      <c r="F1273" s="6">
        <v>103.38983783943756</v>
      </c>
    </row>
    <row r="1274" spans="1:6">
      <c r="A1274" s="1">
        <v>9125116</v>
      </c>
      <c r="B1274" s="1">
        <v>0.29829709738344989</v>
      </c>
      <c r="C1274" s="1">
        <v>70</v>
      </c>
      <c r="D1274" s="1">
        <v>592</v>
      </c>
      <c r="E1274" s="2">
        <v>42927</v>
      </c>
      <c r="F1274" s="6">
        <v>57.864602770310192</v>
      </c>
    </row>
    <row r="1275" spans="1:6">
      <c r="A1275" s="1">
        <v>9125119</v>
      </c>
      <c r="B1275" s="1">
        <v>0.98526337211915449</v>
      </c>
      <c r="C1275" s="1">
        <v>9</v>
      </c>
      <c r="D1275" s="1">
        <v>88</v>
      </c>
      <c r="E1275" s="2">
        <v>43442</v>
      </c>
      <c r="F1275" s="6">
        <v>32.984910335990051</v>
      </c>
    </row>
    <row r="1276" spans="1:6">
      <c r="A1276" s="1">
        <v>9125122</v>
      </c>
      <c r="B1276" s="1">
        <v>0.47767807647832405</v>
      </c>
      <c r="C1276" s="1">
        <v>43</v>
      </c>
      <c r="D1276" s="1">
        <v>393</v>
      </c>
      <c r="E1276" s="2">
        <v>43340</v>
      </c>
      <c r="F1276" s="6">
        <v>186.66609747661846</v>
      </c>
    </row>
    <row r="1277" spans="1:6">
      <c r="A1277" s="1">
        <v>9125125</v>
      </c>
      <c r="B1277" s="1">
        <v>0.16238149030895843</v>
      </c>
      <c r="C1277" s="1">
        <v>54</v>
      </c>
      <c r="D1277" s="1">
        <v>146</v>
      </c>
      <c r="E1277" s="2">
        <v>42835</v>
      </c>
      <c r="F1277" s="6">
        <v>5.6690875595900216</v>
      </c>
    </row>
    <row r="1278" spans="1:6">
      <c r="A1278" s="1">
        <v>9125128</v>
      </c>
      <c r="B1278" s="1">
        <v>0.41083050905252505</v>
      </c>
      <c r="C1278" s="1">
        <v>95</v>
      </c>
      <c r="D1278" s="1">
        <v>258</v>
      </c>
      <c r="E1278" s="2">
        <v>42902</v>
      </c>
      <c r="F1278" s="6">
        <v>61.421922704799755</v>
      </c>
    </row>
    <row r="1279" spans="1:6">
      <c r="A1279" s="1">
        <v>9125131</v>
      </c>
      <c r="B1279" s="1">
        <v>0.47398584071723326</v>
      </c>
      <c r="C1279" s="1">
        <v>3</v>
      </c>
      <c r="D1279" s="1">
        <v>577</v>
      </c>
      <c r="E1279" s="2">
        <v>43471</v>
      </c>
      <c r="F1279" s="6">
        <v>60.118239414704796</v>
      </c>
    </row>
    <row r="1280" spans="1:6">
      <c r="A1280" s="1">
        <v>9125134</v>
      </c>
      <c r="B1280" s="1">
        <v>0.66381672959476412</v>
      </c>
      <c r="C1280" s="1">
        <v>17</v>
      </c>
      <c r="D1280" s="1">
        <v>599</v>
      </c>
      <c r="E1280" s="2">
        <v>42903</v>
      </c>
      <c r="F1280" s="6">
        <v>112.09962413391577</v>
      </c>
    </row>
    <row r="1281" spans="1:6">
      <c r="A1281" s="1">
        <v>9125137</v>
      </c>
      <c r="B1281" s="1">
        <v>0.78600469461566524</v>
      </c>
      <c r="C1281" s="1">
        <v>179</v>
      </c>
      <c r="D1281" s="1">
        <v>541</v>
      </c>
      <c r="E1281" s="2">
        <v>43079</v>
      </c>
      <c r="F1281" s="6">
        <v>25.518807661860695</v>
      </c>
    </row>
    <row r="1282" spans="1:6">
      <c r="A1282" s="1">
        <v>9125140</v>
      </c>
      <c r="B1282" s="1">
        <v>0.76242729947168386</v>
      </c>
      <c r="C1282" s="1">
        <v>3</v>
      </c>
      <c r="D1282" s="1">
        <v>458</v>
      </c>
      <c r="E1282" s="2">
        <v>43353</v>
      </c>
      <c r="F1282" s="6">
        <v>134.47106318928653</v>
      </c>
    </row>
    <row r="1283" spans="1:6">
      <c r="A1283" s="1">
        <v>9125143</v>
      </c>
      <c r="B1283" s="1">
        <v>0.713726331160769</v>
      </c>
      <c r="C1283" s="1">
        <v>18</v>
      </c>
      <c r="D1283" s="1">
        <v>592</v>
      </c>
      <c r="E1283" s="2">
        <v>43345</v>
      </c>
      <c r="F1283" s="6">
        <v>10.645327562684397</v>
      </c>
    </row>
    <row r="1284" spans="1:6">
      <c r="A1284" s="1">
        <v>9125146</v>
      </c>
      <c r="B1284" s="1">
        <v>0.42674829568722694</v>
      </c>
      <c r="C1284" s="1">
        <v>2</v>
      </c>
      <c r="D1284" s="1">
        <v>575</v>
      </c>
      <c r="E1284" s="2">
        <v>43055</v>
      </c>
      <c r="F1284" s="6">
        <v>35.520392523752825</v>
      </c>
    </row>
    <row r="1285" spans="1:6">
      <c r="A1285" s="1">
        <v>9125149</v>
      </c>
      <c r="B1285" s="1">
        <v>0.43275023964139669</v>
      </c>
      <c r="C1285" s="1">
        <v>189</v>
      </c>
      <c r="D1285" s="1">
        <v>38</v>
      </c>
      <c r="E1285" s="2">
        <v>43085</v>
      </c>
      <c r="F1285" s="6">
        <v>4.8753697580937869</v>
      </c>
    </row>
    <row r="1286" spans="1:6">
      <c r="A1286" s="1">
        <v>9125152</v>
      </c>
      <c r="B1286" s="1">
        <v>0.59113107570033729</v>
      </c>
      <c r="C1286" s="1">
        <v>220</v>
      </c>
      <c r="D1286" s="1">
        <v>492</v>
      </c>
      <c r="E1286" s="2">
        <v>42803</v>
      </c>
      <c r="F1286" s="6">
        <v>68.61862665769759</v>
      </c>
    </row>
    <row r="1287" spans="1:6">
      <c r="A1287" s="1">
        <v>9125155</v>
      </c>
      <c r="B1287" s="1">
        <v>0.34141542034443961</v>
      </c>
      <c r="C1287" s="1">
        <v>6</v>
      </c>
      <c r="D1287" s="1">
        <v>221</v>
      </c>
      <c r="E1287" s="2">
        <v>43229</v>
      </c>
      <c r="F1287" s="6">
        <v>121.77074771101748</v>
      </c>
    </row>
    <row r="1288" spans="1:6">
      <c r="A1288" s="1">
        <v>9125158</v>
      </c>
      <c r="B1288" s="1">
        <v>0.64339886545491054</v>
      </c>
      <c r="C1288" s="1">
        <v>83</v>
      </c>
      <c r="D1288" s="1">
        <v>451</v>
      </c>
      <c r="E1288" s="2">
        <v>42971</v>
      </c>
      <c r="F1288" s="6">
        <v>16.81257816707031</v>
      </c>
    </row>
    <row r="1289" spans="1:6">
      <c r="A1289" s="1">
        <v>9125161</v>
      </c>
      <c r="B1289" s="1">
        <v>8.3738594991870752E-2</v>
      </c>
      <c r="C1289" s="1">
        <v>1</v>
      </c>
      <c r="D1289" s="1">
        <v>548</v>
      </c>
      <c r="E1289" s="2">
        <v>42904</v>
      </c>
      <c r="F1289" s="6">
        <v>3.1155704640891275</v>
      </c>
    </row>
    <row r="1290" spans="1:6">
      <c r="A1290" s="1">
        <v>9125164</v>
      </c>
      <c r="B1290" s="1">
        <v>0.59597858835953665</v>
      </c>
      <c r="C1290" s="1">
        <v>2</v>
      </c>
      <c r="D1290" s="1">
        <v>512</v>
      </c>
      <c r="E1290" s="2">
        <v>43451</v>
      </c>
      <c r="F1290" s="6">
        <v>24.511109720696851</v>
      </c>
    </row>
    <row r="1291" spans="1:6">
      <c r="A1291" s="1">
        <v>9125167</v>
      </c>
      <c r="B1291" s="1">
        <v>0.99387411251156077</v>
      </c>
      <c r="C1291" s="1">
        <v>1</v>
      </c>
      <c r="D1291" s="1">
        <v>588</v>
      </c>
      <c r="E1291" s="2">
        <v>43415</v>
      </c>
      <c r="F1291" s="6">
        <v>61.713218921946819</v>
      </c>
    </row>
    <row r="1292" spans="1:6">
      <c r="A1292" s="1">
        <v>9125170</v>
      </c>
      <c r="B1292" s="1">
        <v>0.21428242165839928</v>
      </c>
      <c r="C1292" s="1">
        <v>1</v>
      </c>
      <c r="D1292" s="1">
        <v>178</v>
      </c>
      <c r="E1292" s="2">
        <v>42790</v>
      </c>
      <c r="F1292" s="6">
        <v>76.997918289089952</v>
      </c>
    </row>
    <row r="1293" spans="1:6">
      <c r="A1293" s="1">
        <v>9125173</v>
      </c>
      <c r="B1293" s="1">
        <v>0.60020073480374758</v>
      </c>
      <c r="C1293" s="1">
        <v>53</v>
      </c>
      <c r="D1293" s="1">
        <v>216</v>
      </c>
      <c r="E1293" s="2">
        <v>43461</v>
      </c>
      <c r="F1293" s="6">
        <v>114.93657948017002</v>
      </c>
    </row>
    <row r="1294" spans="1:6">
      <c r="A1294" s="1">
        <v>9125176</v>
      </c>
      <c r="B1294" s="1">
        <v>5.5692385371787556E-2</v>
      </c>
      <c r="C1294" s="1">
        <v>4</v>
      </c>
      <c r="D1294" s="1">
        <v>588</v>
      </c>
      <c r="E1294" s="2">
        <v>43189</v>
      </c>
      <c r="F1294" s="6">
        <v>167.30908591337092</v>
      </c>
    </row>
    <row r="1295" spans="1:6">
      <c r="A1295" s="1">
        <v>9125179</v>
      </c>
      <c r="B1295" s="1">
        <v>0.95305276363315305</v>
      </c>
      <c r="C1295" s="1">
        <v>5</v>
      </c>
      <c r="D1295" s="1">
        <v>495</v>
      </c>
      <c r="E1295" s="2">
        <v>42904</v>
      </c>
      <c r="F1295" s="6">
        <v>3.711343964640847</v>
      </c>
    </row>
    <row r="1296" spans="1:6">
      <c r="A1296" s="1">
        <v>9125182</v>
      </c>
      <c r="B1296" s="1">
        <v>0.21687724049565027</v>
      </c>
      <c r="C1296" s="1">
        <v>3</v>
      </c>
      <c r="D1296" s="1">
        <v>293</v>
      </c>
      <c r="E1296" s="2">
        <v>43033</v>
      </c>
      <c r="F1296" s="6">
        <v>13.447247662036652</v>
      </c>
    </row>
    <row r="1297" spans="1:6">
      <c r="A1297" s="1">
        <v>9125185</v>
      </c>
      <c r="B1297" s="1">
        <v>0.32069707072319409</v>
      </c>
      <c r="C1297" s="1">
        <v>2</v>
      </c>
      <c r="D1297" s="1">
        <v>263</v>
      </c>
      <c r="E1297" s="2">
        <v>43474</v>
      </c>
      <c r="F1297" s="6">
        <v>6.7127697792054644</v>
      </c>
    </row>
    <row r="1298" spans="1:6">
      <c r="A1298" s="1">
        <v>9125188</v>
      </c>
      <c r="B1298" s="1">
        <v>0.32217647523286441</v>
      </c>
      <c r="C1298" s="1">
        <v>24</v>
      </c>
      <c r="D1298" s="1">
        <v>462</v>
      </c>
      <c r="E1298" s="2">
        <v>43496</v>
      </c>
      <c r="F1298" s="6">
        <v>17.295856310373701</v>
      </c>
    </row>
    <row r="1299" spans="1:6">
      <c r="A1299" s="1">
        <v>9125191</v>
      </c>
      <c r="B1299" s="1">
        <v>0.66492344271687542</v>
      </c>
      <c r="C1299" s="1">
        <v>4</v>
      </c>
      <c r="D1299" s="1">
        <v>346</v>
      </c>
      <c r="E1299" s="2">
        <v>42767</v>
      </c>
      <c r="F1299" s="6">
        <v>187.10326699274972</v>
      </c>
    </row>
    <row r="1300" spans="1:6">
      <c r="A1300" s="1">
        <v>9125194</v>
      </c>
      <c r="B1300" s="1">
        <v>0.65172396922424958</v>
      </c>
      <c r="C1300" s="1">
        <v>119</v>
      </c>
      <c r="D1300" s="1">
        <v>592</v>
      </c>
      <c r="E1300" s="2">
        <v>43109</v>
      </c>
      <c r="F1300" s="6">
        <v>64.528847950200486</v>
      </c>
    </row>
    <row r="1301" spans="1:6">
      <c r="A1301" s="1">
        <v>9125197</v>
      </c>
      <c r="B1301" s="1">
        <v>2.0329352340768381E-2</v>
      </c>
      <c r="C1301" s="1">
        <v>14</v>
      </c>
      <c r="D1301" s="1">
        <v>591</v>
      </c>
      <c r="E1301" s="2">
        <v>43028</v>
      </c>
      <c r="F1301" s="6">
        <v>13.29629684024435</v>
      </c>
    </row>
    <row r="1302" spans="1:6">
      <c r="A1302" s="1">
        <v>9125200</v>
      </c>
      <c r="B1302" s="1">
        <v>0.50502115771402023</v>
      </c>
      <c r="C1302" s="1">
        <v>47</v>
      </c>
      <c r="D1302" s="1">
        <v>597</v>
      </c>
      <c r="E1302" s="2">
        <v>43112</v>
      </c>
      <c r="F1302" s="6">
        <v>14.535501829847952</v>
      </c>
    </row>
    <row r="1303" spans="1:6">
      <c r="A1303" s="1">
        <v>9125203</v>
      </c>
      <c r="B1303" s="1">
        <v>0.68078129470425552</v>
      </c>
      <c r="C1303" s="1">
        <v>129</v>
      </c>
      <c r="D1303" s="1">
        <v>22</v>
      </c>
      <c r="E1303" s="2">
        <v>42759</v>
      </c>
      <c r="F1303" s="6">
        <v>41.923649100608316</v>
      </c>
    </row>
    <row r="1304" spans="1:6">
      <c r="A1304" s="1">
        <v>9125206</v>
      </c>
      <c r="B1304" s="1">
        <v>7.6427021770764769E-2</v>
      </c>
      <c r="C1304" s="1">
        <v>48</v>
      </c>
      <c r="D1304" s="1">
        <v>134</v>
      </c>
      <c r="E1304" s="2">
        <v>43210</v>
      </c>
      <c r="F1304" s="6">
        <v>8.6647767454946472</v>
      </c>
    </row>
    <row r="1305" spans="1:6">
      <c r="A1305" s="1">
        <v>9125209</v>
      </c>
      <c r="B1305" s="1">
        <v>0.15212836639553917</v>
      </c>
      <c r="C1305" s="1">
        <v>63</v>
      </c>
      <c r="D1305" s="1">
        <v>510</v>
      </c>
      <c r="E1305" s="2">
        <v>42871</v>
      </c>
      <c r="F1305" s="6">
        <v>48.733492888821978</v>
      </c>
    </row>
    <row r="1306" spans="1:6">
      <c r="A1306" s="1">
        <v>9125212</v>
      </c>
      <c r="B1306" s="1">
        <v>0.79571361478237501</v>
      </c>
      <c r="C1306" s="1">
        <v>3</v>
      </c>
      <c r="D1306" s="1">
        <v>564</v>
      </c>
      <c r="E1306" s="2">
        <v>42736</v>
      </c>
      <c r="F1306" s="6">
        <v>163.9445431348033</v>
      </c>
    </row>
    <row r="1307" spans="1:6">
      <c r="A1307" s="1">
        <v>9125215</v>
      </c>
      <c r="B1307" s="1">
        <v>0.20333755963888289</v>
      </c>
      <c r="C1307" s="1">
        <v>42</v>
      </c>
      <c r="D1307" s="1">
        <v>369</v>
      </c>
      <c r="E1307" s="2">
        <v>43438</v>
      </c>
      <c r="F1307" s="6">
        <v>33.522833693460832</v>
      </c>
    </row>
    <row r="1308" spans="1:6">
      <c r="A1308" s="1">
        <v>9125218</v>
      </c>
      <c r="B1308" s="1">
        <v>2.4174975177894353E-2</v>
      </c>
      <c r="C1308" s="1">
        <v>45</v>
      </c>
      <c r="D1308" s="1">
        <v>572</v>
      </c>
      <c r="E1308" s="2">
        <v>42975</v>
      </c>
      <c r="F1308" s="6">
        <v>59.795074422470393</v>
      </c>
    </row>
    <row r="1309" spans="1:6">
      <c r="A1309" s="1">
        <v>9125221</v>
      </c>
      <c r="B1309" s="1">
        <v>0.53215438617472577</v>
      </c>
      <c r="C1309" s="1">
        <v>37</v>
      </c>
      <c r="D1309" s="1">
        <v>176</v>
      </c>
      <c r="E1309" s="2">
        <v>43020</v>
      </c>
      <c r="F1309" s="6">
        <v>23.272755417483953</v>
      </c>
    </row>
    <row r="1310" spans="1:6">
      <c r="A1310" s="1">
        <v>9125224</v>
      </c>
      <c r="B1310" s="1">
        <v>0.68019616409782491</v>
      </c>
      <c r="C1310" s="1">
        <v>3</v>
      </c>
      <c r="D1310" s="1">
        <v>359</v>
      </c>
      <c r="E1310" s="2">
        <v>42829</v>
      </c>
      <c r="F1310" s="6">
        <v>11.146645501148225</v>
      </c>
    </row>
    <row r="1311" spans="1:6">
      <c r="A1311" s="1">
        <v>9125227</v>
      </c>
      <c r="B1311" s="1">
        <v>0.66214619629062632</v>
      </c>
      <c r="C1311" s="1">
        <v>3</v>
      </c>
      <c r="D1311" s="1">
        <v>156</v>
      </c>
      <c r="E1311" s="2">
        <v>43304</v>
      </c>
      <c r="F1311" s="6">
        <v>5.8611539788940927</v>
      </c>
    </row>
    <row r="1312" spans="1:6">
      <c r="A1312" s="1">
        <v>9125230</v>
      </c>
      <c r="B1312" s="1">
        <v>0.67550717533524396</v>
      </c>
      <c r="C1312" s="1">
        <v>29</v>
      </c>
      <c r="D1312" s="1">
        <v>88</v>
      </c>
      <c r="E1312" s="2">
        <v>43087</v>
      </c>
      <c r="F1312" s="6">
        <v>74.847623228902037</v>
      </c>
    </row>
    <row r="1313" spans="1:6">
      <c r="A1313" s="1">
        <v>9125233</v>
      </c>
      <c r="B1313" s="1">
        <v>0.35398185627072998</v>
      </c>
      <c r="C1313" s="1">
        <v>72</v>
      </c>
      <c r="D1313" s="1">
        <v>421</v>
      </c>
      <c r="E1313" s="2">
        <v>43328</v>
      </c>
      <c r="F1313" s="6">
        <v>9.1413444214405892</v>
      </c>
    </row>
    <row r="1314" spans="1:6">
      <c r="A1314" s="1">
        <v>9125236</v>
      </c>
      <c r="B1314" s="1">
        <v>0.46663787363271525</v>
      </c>
      <c r="C1314" s="1">
        <v>24</v>
      </c>
      <c r="D1314" s="1">
        <v>77</v>
      </c>
      <c r="E1314" s="2">
        <v>43328</v>
      </c>
      <c r="F1314" s="6">
        <v>345.89187993867114</v>
      </c>
    </row>
    <row r="1315" spans="1:6">
      <c r="A1315" s="1">
        <v>9125239</v>
      </c>
      <c r="B1315" s="1">
        <v>0.7710168172229922</v>
      </c>
      <c r="C1315" s="1">
        <v>228</v>
      </c>
      <c r="D1315" s="1">
        <v>134</v>
      </c>
      <c r="E1315" s="2">
        <v>42744</v>
      </c>
      <c r="F1315" s="6">
        <v>159.77916650236921</v>
      </c>
    </row>
    <row r="1316" spans="1:6">
      <c r="A1316" s="1">
        <v>9125242</v>
      </c>
      <c r="B1316" s="1">
        <v>0.34853117143473489</v>
      </c>
      <c r="C1316" s="1">
        <v>23</v>
      </c>
      <c r="D1316" s="1">
        <v>510</v>
      </c>
      <c r="E1316" s="2">
        <v>43427</v>
      </c>
      <c r="F1316" s="6">
        <v>10.367870831856532</v>
      </c>
    </row>
    <row r="1317" spans="1:6">
      <c r="A1317" s="1">
        <v>9125245</v>
      </c>
      <c r="B1317" s="1">
        <v>0.83672335493294481</v>
      </c>
      <c r="C1317" s="1">
        <v>2</v>
      </c>
      <c r="D1317" s="1">
        <v>592</v>
      </c>
      <c r="E1317" s="2">
        <v>42826</v>
      </c>
      <c r="F1317" s="6">
        <v>6.2973461523468686</v>
      </c>
    </row>
    <row r="1318" spans="1:6">
      <c r="A1318" s="1">
        <v>9125248</v>
      </c>
      <c r="B1318" s="1">
        <v>0.43355298959109034</v>
      </c>
      <c r="C1318" s="1">
        <v>164</v>
      </c>
      <c r="D1318" s="1">
        <v>509</v>
      </c>
      <c r="E1318" s="2">
        <v>43092</v>
      </c>
      <c r="F1318" s="6">
        <v>54.989982751560923</v>
      </c>
    </row>
    <row r="1319" spans="1:6">
      <c r="A1319" s="1">
        <v>9125251</v>
      </c>
      <c r="B1319" s="1">
        <v>2.5717709286081636E-3</v>
      </c>
      <c r="C1319" s="1">
        <v>19</v>
      </c>
      <c r="D1319" s="1">
        <v>89</v>
      </c>
      <c r="E1319" s="2">
        <v>42926</v>
      </c>
      <c r="F1319" s="6">
        <v>50.040319506612128</v>
      </c>
    </row>
    <row r="1320" spans="1:6">
      <c r="A1320" s="1">
        <v>9125254</v>
      </c>
      <c r="B1320" s="1">
        <v>0.10832853108533513</v>
      </c>
      <c r="C1320" s="1">
        <v>39</v>
      </c>
      <c r="D1320" s="1">
        <v>176</v>
      </c>
      <c r="E1320" s="2">
        <v>43191</v>
      </c>
      <c r="F1320" s="6">
        <v>28.439702206433189</v>
      </c>
    </row>
    <row r="1321" spans="1:6">
      <c r="A1321" s="1">
        <v>9125257</v>
      </c>
      <c r="B1321" s="1">
        <v>0.38687719571552548</v>
      </c>
      <c r="C1321" s="1">
        <v>81</v>
      </c>
      <c r="D1321" s="1">
        <v>395</v>
      </c>
      <c r="E1321" s="2">
        <v>43190</v>
      </c>
      <c r="F1321" s="6">
        <v>410.39843747473554</v>
      </c>
    </row>
    <row r="1322" spans="1:6">
      <c r="A1322" s="1">
        <v>9125260</v>
      </c>
      <c r="B1322" s="1">
        <v>0.7559164268714591</v>
      </c>
      <c r="C1322" s="1">
        <v>13</v>
      </c>
      <c r="D1322" s="1">
        <v>495</v>
      </c>
      <c r="E1322" s="2">
        <v>43403</v>
      </c>
      <c r="F1322" s="6">
        <v>52.927238920158992</v>
      </c>
    </row>
    <row r="1323" spans="1:6">
      <c r="A1323" s="1">
        <v>9125263</v>
      </c>
      <c r="B1323" s="1">
        <v>0.81751743866982551</v>
      </c>
      <c r="C1323" s="1">
        <v>5</v>
      </c>
      <c r="D1323" s="1">
        <v>140</v>
      </c>
      <c r="E1323" s="2">
        <v>43389</v>
      </c>
      <c r="F1323" s="6">
        <v>4.2974895084328875</v>
      </c>
    </row>
    <row r="1324" spans="1:6">
      <c r="A1324" s="1">
        <v>9125266</v>
      </c>
      <c r="B1324" s="1">
        <v>0.37917273534966911</v>
      </c>
      <c r="C1324" s="1">
        <v>11</v>
      </c>
      <c r="D1324" s="1">
        <v>89</v>
      </c>
      <c r="E1324" s="2">
        <v>43166</v>
      </c>
      <c r="F1324" s="6">
        <v>127.36372342864858</v>
      </c>
    </row>
    <row r="1325" spans="1:6">
      <c r="A1325" s="1">
        <v>9125269</v>
      </c>
      <c r="B1325" s="1">
        <v>0.33410928219673774</v>
      </c>
      <c r="C1325" s="1">
        <v>42</v>
      </c>
      <c r="D1325" s="1">
        <v>40</v>
      </c>
      <c r="E1325" s="2">
        <v>43335</v>
      </c>
      <c r="F1325" s="6">
        <v>11.431820349518683</v>
      </c>
    </row>
    <row r="1326" spans="1:6">
      <c r="A1326" s="1">
        <v>9125272</v>
      </c>
      <c r="B1326" s="1">
        <v>0.78124869146014786</v>
      </c>
      <c r="C1326" s="1">
        <v>50</v>
      </c>
      <c r="D1326" s="1">
        <v>139</v>
      </c>
      <c r="E1326" s="2">
        <v>43349</v>
      </c>
      <c r="F1326" s="6">
        <v>19.492570375227135</v>
      </c>
    </row>
    <row r="1327" spans="1:6">
      <c r="A1327" s="1">
        <v>9125275</v>
      </c>
      <c r="B1327" s="1">
        <v>3.9173567634371409E-2</v>
      </c>
      <c r="C1327" s="1">
        <v>48</v>
      </c>
      <c r="D1327" s="1">
        <v>71</v>
      </c>
      <c r="E1327" s="2">
        <v>42768</v>
      </c>
      <c r="F1327" s="6">
        <v>3.9140118350023694</v>
      </c>
    </row>
    <row r="1328" spans="1:6">
      <c r="A1328" s="1">
        <v>9125278</v>
      </c>
      <c r="B1328" s="1">
        <v>4.8869030420330972E-3</v>
      </c>
      <c r="C1328" s="1">
        <v>15</v>
      </c>
      <c r="D1328" s="1">
        <v>592</v>
      </c>
      <c r="E1328" s="2">
        <v>43426</v>
      </c>
      <c r="F1328" s="6">
        <v>123.20022806536623</v>
      </c>
    </row>
    <row r="1329" spans="1:6">
      <c r="A1329" s="1">
        <v>9125281</v>
      </c>
      <c r="B1329" s="1">
        <v>0.12653498882930914</v>
      </c>
      <c r="C1329" s="1">
        <v>52</v>
      </c>
      <c r="D1329" s="1">
        <v>22</v>
      </c>
      <c r="E1329" s="2">
        <v>43488</v>
      </c>
      <c r="F1329" s="6">
        <v>94.352940423354056</v>
      </c>
    </row>
    <row r="1330" spans="1:6">
      <c r="A1330" s="1">
        <v>9125284</v>
      </c>
      <c r="B1330" s="1">
        <v>0.54321511715827941</v>
      </c>
      <c r="C1330" s="1">
        <v>11</v>
      </c>
      <c r="D1330" s="1">
        <v>474</v>
      </c>
      <c r="E1330" s="2">
        <v>42753</v>
      </c>
      <c r="F1330" s="6">
        <v>4.7927853732037313</v>
      </c>
    </row>
    <row r="1331" spans="1:6">
      <c r="A1331" s="1">
        <v>9125287</v>
      </c>
      <c r="B1331" s="1">
        <v>4.4334218445591156E-2</v>
      </c>
      <c r="C1331" s="1">
        <v>11</v>
      </c>
      <c r="D1331" s="1">
        <v>448</v>
      </c>
      <c r="E1331" s="2">
        <v>42765</v>
      </c>
      <c r="F1331" s="6">
        <v>63.031313012466725</v>
      </c>
    </row>
    <row r="1332" spans="1:6">
      <c r="A1332" s="1">
        <v>9125290</v>
      </c>
      <c r="B1332" s="1">
        <v>4.7990241756982299E-2</v>
      </c>
      <c r="C1332" s="1">
        <v>197</v>
      </c>
      <c r="D1332" s="1">
        <v>340</v>
      </c>
      <c r="E1332" s="2">
        <v>43145</v>
      </c>
      <c r="F1332" s="6">
        <v>3.0691440935747529</v>
      </c>
    </row>
    <row r="1333" spans="1:6">
      <c r="A1333" s="1">
        <v>9125293</v>
      </c>
      <c r="B1333" s="1">
        <v>0.57153632135692312</v>
      </c>
      <c r="C1333" s="1">
        <v>219</v>
      </c>
      <c r="D1333" s="1">
        <v>365</v>
      </c>
      <c r="E1333" s="2">
        <v>43097</v>
      </c>
      <c r="F1333" s="6">
        <v>86.735667140592895</v>
      </c>
    </row>
    <row r="1334" spans="1:6">
      <c r="A1334" s="1">
        <v>9125296</v>
      </c>
      <c r="B1334" s="1">
        <v>0.30590722050382835</v>
      </c>
      <c r="C1334" s="1">
        <v>6</v>
      </c>
      <c r="D1334" s="1">
        <v>176</v>
      </c>
      <c r="E1334" s="2">
        <v>42822</v>
      </c>
      <c r="F1334" s="6">
        <v>55.972424830956754</v>
      </c>
    </row>
    <row r="1335" spans="1:6">
      <c r="A1335" s="1">
        <v>9125299</v>
      </c>
      <c r="B1335" s="1">
        <v>0.50664948752134897</v>
      </c>
      <c r="C1335" s="1">
        <v>13</v>
      </c>
      <c r="D1335" s="1">
        <v>592</v>
      </c>
      <c r="E1335" s="2">
        <v>42786</v>
      </c>
      <c r="F1335" s="6">
        <v>9.8422831471857037</v>
      </c>
    </row>
    <row r="1336" spans="1:6">
      <c r="A1336" s="1">
        <v>9125302</v>
      </c>
      <c r="B1336" s="1">
        <v>0.52681803514738912</v>
      </c>
      <c r="C1336" s="1">
        <v>43</v>
      </c>
      <c r="D1336" s="1">
        <v>22</v>
      </c>
      <c r="E1336" s="2">
        <v>43344</v>
      </c>
      <c r="F1336" s="6">
        <v>10.082839401317798</v>
      </c>
    </row>
    <row r="1337" spans="1:6">
      <c r="A1337" s="1">
        <v>9125305</v>
      </c>
      <c r="B1337" s="1">
        <v>0.40316627800327576</v>
      </c>
      <c r="C1337" s="1">
        <v>74</v>
      </c>
      <c r="D1337" s="1">
        <v>520</v>
      </c>
      <c r="E1337" s="2">
        <v>43124</v>
      </c>
      <c r="F1337" s="6">
        <v>141.07248054242024</v>
      </c>
    </row>
    <row r="1338" spans="1:6">
      <c r="A1338" s="1">
        <v>9125308</v>
      </c>
      <c r="B1338" s="1">
        <v>0.65435952632644911</v>
      </c>
      <c r="C1338" s="1">
        <v>2</v>
      </c>
      <c r="D1338" s="1">
        <v>273</v>
      </c>
      <c r="E1338" s="2">
        <v>42780</v>
      </c>
      <c r="F1338" s="6">
        <v>6.0103225905497606</v>
      </c>
    </row>
    <row r="1339" spans="1:6">
      <c r="A1339" s="1">
        <v>9125311</v>
      </c>
      <c r="B1339" s="1">
        <v>0.33052125483441264</v>
      </c>
      <c r="C1339" s="1">
        <v>41</v>
      </c>
      <c r="D1339" s="1">
        <v>38</v>
      </c>
      <c r="E1339" s="2">
        <v>43352</v>
      </c>
      <c r="F1339" s="6">
        <v>107.09899762390297</v>
      </c>
    </row>
    <row r="1340" spans="1:6">
      <c r="A1340" s="1">
        <v>9125314</v>
      </c>
      <c r="B1340" s="1">
        <v>0.14033738564827403</v>
      </c>
      <c r="C1340" s="1">
        <v>9</v>
      </c>
      <c r="D1340" s="1">
        <v>451</v>
      </c>
      <c r="E1340" s="2">
        <v>43055</v>
      </c>
      <c r="F1340" s="6">
        <v>3.2219038312108981</v>
      </c>
    </row>
    <row r="1341" spans="1:6">
      <c r="A1341" s="1">
        <v>9125317</v>
      </c>
      <c r="B1341" s="1">
        <v>0.55467445340386901</v>
      </c>
      <c r="C1341" s="1">
        <v>229</v>
      </c>
      <c r="D1341" s="1">
        <v>176</v>
      </c>
      <c r="E1341" s="2">
        <v>43144</v>
      </c>
      <c r="F1341" s="6">
        <v>3.5665050195173778</v>
      </c>
    </row>
    <row r="1342" spans="1:6">
      <c r="A1342" s="1">
        <v>9125320</v>
      </c>
      <c r="B1342" s="1">
        <v>9.2710115158629258E-2</v>
      </c>
      <c r="C1342" s="1">
        <v>14</v>
      </c>
      <c r="D1342" s="1">
        <v>451</v>
      </c>
      <c r="E1342" s="2">
        <v>43250</v>
      </c>
      <c r="F1342" s="6">
        <v>6.5089520320370067</v>
      </c>
    </row>
    <row r="1343" spans="1:6">
      <c r="A1343" s="1">
        <v>9125323</v>
      </c>
      <c r="B1343" s="1">
        <v>0.45027558271713986</v>
      </c>
      <c r="C1343" s="1">
        <v>13</v>
      </c>
      <c r="D1343" s="1">
        <v>575</v>
      </c>
      <c r="E1343" s="2">
        <v>43195</v>
      </c>
      <c r="F1343" s="6">
        <v>24.802809997757787</v>
      </c>
    </row>
    <row r="1344" spans="1:6">
      <c r="A1344" s="1">
        <v>9125326</v>
      </c>
      <c r="B1344" s="1">
        <v>0.28943884286856947</v>
      </c>
      <c r="C1344" s="1">
        <v>11</v>
      </c>
      <c r="D1344" s="1">
        <v>176</v>
      </c>
      <c r="E1344" s="2">
        <v>43292</v>
      </c>
      <c r="F1344" s="6">
        <v>5.6138327540279187</v>
      </c>
    </row>
    <row r="1345" spans="1:6">
      <c r="A1345" s="1">
        <v>9125329</v>
      </c>
      <c r="B1345" s="1">
        <v>0.97646920623562561</v>
      </c>
      <c r="C1345" s="1">
        <v>52</v>
      </c>
      <c r="D1345" s="1">
        <v>510</v>
      </c>
      <c r="E1345" s="2">
        <v>42923</v>
      </c>
      <c r="F1345" s="6">
        <v>6.2167963907090646</v>
      </c>
    </row>
    <row r="1346" spans="1:6">
      <c r="A1346" s="1">
        <v>9125332</v>
      </c>
      <c r="B1346" s="1">
        <v>0.26017589301904687</v>
      </c>
      <c r="C1346" s="1">
        <v>14</v>
      </c>
      <c r="D1346" s="1">
        <v>510</v>
      </c>
      <c r="E1346" s="2">
        <v>43059</v>
      </c>
      <c r="F1346" s="6">
        <v>17.480836078624158</v>
      </c>
    </row>
    <row r="1347" spans="1:6">
      <c r="A1347" s="1">
        <v>9125335</v>
      </c>
      <c r="B1347" s="1">
        <v>0.95267290196400012</v>
      </c>
      <c r="C1347" s="1">
        <v>22</v>
      </c>
      <c r="D1347" s="1">
        <v>431</v>
      </c>
      <c r="E1347" s="2">
        <v>42923</v>
      </c>
      <c r="F1347" s="6">
        <v>13.926720715675216</v>
      </c>
    </row>
    <row r="1348" spans="1:6">
      <c r="A1348" s="1">
        <v>9125338</v>
      </c>
      <c r="B1348" s="1">
        <v>0.85494612659029467</v>
      </c>
      <c r="C1348" s="1">
        <v>18</v>
      </c>
      <c r="D1348" s="1">
        <v>176</v>
      </c>
      <c r="E1348" s="2">
        <v>43482</v>
      </c>
      <c r="F1348" s="6">
        <v>49.177902357031876</v>
      </c>
    </row>
    <row r="1349" spans="1:6">
      <c r="A1349" s="1">
        <v>9125341</v>
      </c>
      <c r="B1349" s="1">
        <v>0.43037830060208082</v>
      </c>
      <c r="C1349" s="1">
        <v>109</v>
      </c>
      <c r="D1349" s="1">
        <v>564</v>
      </c>
      <c r="E1349" s="2">
        <v>43476</v>
      </c>
      <c r="F1349" s="6">
        <v>68.435576597844133</v>
      </c>
    </row>
    <row r="1350" spans="1:6">
      <c r="A1350" s="1">
        <v>9125344</v>
      </c>
      <c r="B1350" s="1">
        <v>0.60345939913212798</v>
      </c>
      <c r="C1350" s="1">
        <v>29</v>
      </c>
      <c r="D1350" s="1">
        <v>564</v>
      </c>
      <c r="E1350" s="2">
        <v>43162</v>
      </c>
      <c r="F1350" s="6">
        <v>74.479644269034665</v>
      </c>
    </row>
    <row r="1351" spans="1:6">
      <c r="A1351" s="1">
        <v>9125347</v>
      </c>
      <c r="B1351" s="1">
        <v>0.64909414996589754</v>
      </c>
      <c r="C1351" s="1">
        <v>89</v>
      </c>
      <c r="D1351" s="1">
        <v>541</v>
      </c>
      <c r="E1351" s="2">
        <v>42865</v>
      </c>
      <c r="F1351" s="6">
        <v>48.844609900354392</v>
      </c>
    </row>
    <row r="1352" spans="1:6">
      <c r="A1352" s="1">
        <v>9125350</v>
      </c>
      <c r="B1352" s="1">
        <v>0.4730939897547618</v>
      </c>
      <c r="C1352" s="1">
        <v>6</v>
      </c>
      <c r="D1352" s="1">
        <v>132</v>
      </c>
      <c r="E1352" s="2">
        <v>42831</v>
      </c>
      <c r="F1352" s="6">
        <v>345.12064544079192</v>
      </c>
    </row>
    <row r="1353" spans="1:6">
      <c r="A1353" s="1">
        <v>9125353</v>
      </c>
      <c r="B1353" s="1">
        <v>0.21175465994524789</v>
      </c>
      <c r="C1353" s="1">
        <v>11</v>
      </c>
      <c r="D1353" s="1">
        <v>599</v>
      </c>
      <c r="E1353" s="2">
        <v>43230</v>
      </c>
      <c r="F1353" s="6">
        <v>48.93471315317187</v>
      </c>
    </row>
    <row r="1354" spans="1:6">
      <c r="A1354" s="1">
        <v>9125356</v>
      </c>
      <c r="B1354" s="1">
        <v>0.81992971828111672</v>
      </c>
      <c r="C1354" s="1">
        <v>130</v>
      </c>
      <c r="D1354" s="1">
        <v>263</v>
      </c>
      <c r="E1354" s="2">
        <v>43264</v>
      </c>
      <c r="F1354" s="6">
        <v>35.982814704029316</v>
      </c>
    </row>
    <row r="1355" spans="1:6">
      <c r="A1355" s="1">
        <v>9125359</v>
      </c>
      <c r="B1355" s="1">
        <v>0.68622187936841073</v>
      </c>
      <c r="C1355" s="1">
        <v>1</v>
      </c>
      <c r="D1355" s="1">
        <v>597</v>
      </c>
      <c r="E1355" s="2">
        <v>42788</v>
      </c>
      <c r="F1355" s="6">
        <v>89.378490557357807</v>
      </c>
    </row>
    <row r="1356" spans="1:6">
      <c r="A1356" s="1">
        <v>9125362</v>
      </c>
      <c r="B1356" s="1">
        <v>0.86780345703339223</v>
      </c>
      <c r="C1356" s="1">
        <v>1</v>
      </c>
      <c r="D1356" s="1">
        <v>368</v>
      </c>
      <c r="E1356" s="2">
        <v>42768</v>
      </c>
      <c r="F1356" s="6">
        <v>57.98219749934001</v>
      </c>
    </row>
    <row r="1357" spans="1:6">
      <c r="A1357" s="1">
        <v>9125365</v>
      </c>
      <c r="B1357" s="1">
        <v>0.75682696740662669</v>
      </c>
      <c r="C1357" s="1">
        <v>1</v>
      </c>
      <c r="D1357" s="1">
        <v>541</v>
      </c>
      <c r="E1357" s="2">
        <v>43174</v>
      </c>
      <c r="F1357" s="6">
        <v>32.784185532948577</v>
      </c>
    </row>
    <row r="1358" spans="1:6">
      <c r="A1358" s="1">
        <v>9125368</v>
      </c>
      <c r="B1358" s="1">
        <v>4.7214578165382326E-2</v>
      </c>
      <c r="C1358" s="1">
        <v>2</v>
      </c>
      <c r="D1358" s="1">
        <v>597</v>
      </c>
      <c r="E1358" s="2">
        <v>43111</v>
      </c>
      <c r="F1358" s="6">
        <v>10.721658750091052</v>
      </c>
    </row>
    <row r="1359" spans="1:6">
      <c r="A1359" s="1">
        <v>9125371</v>
      </c>
      <c r="B1359" s="1">
        <v>0.29715909653641881</v>
      </c>
      <c r="C1359" s="1">
        <v>2</v>
      </c>
      <c r="D1359" s="1">
        <v>225</v>
      </c>
      <c r="E1359" s="2">
        <v>43493</v>
      </c>
      <c r="F1359" s="6">
        <v>115.65499230732328</v>
      </c>
    </row>
    <row r="1360" spans="1:6">
      <c r="A1360" s="1">
        <v>9125374</v>
      </c>
      <c r="B1360" s="1">
        <v>0.5070241412567732</v>
      </c>
      <c r="C1360" s="1">
        <v>28</v>
      </c>
      <c r="D1360" s="1">
        <v>592</v>
      </c>
      <c r="E1360" s="2">
        <v>43414</v>
      </c>
      <c r="F1360" s="6">
        <v>11.416632711535801</v>
      </c>
    </row>
    <row r="1361" spans="1:6">
      <c r="A1361" s="1">
        <v>9125377</v>
      </c>
      <c r="B1361" s="1">
        <v>0.14810510639740693</v>
      </c>
      <c r="C1361" s="1">
        <v>1</v>
      </c>
      <c r="D1361" s="1">
        <v>176</v>
      </c>
      <c r="E1361" s="2">
        <v>43121</v>
      </c>
      <c r="F1361" s="6">
        <v>57.019425896881444</v>
      </c>
    </row>
    <row r="1362" spans="1:6">
      <c r="A1362" s="1">
        <v>9125380</v>
      </c>
      <c r="B1362" s="1">
        <v>0.90205878334019607</v>
      </c>
      <c r="C1362" s="1">
        <v>5</v>
      </c>
      <c r="D1362" s="1">
        <v>182</v>
      </c>
      <c r="E1362" s="2">
        <v>43380</v>
      </c>
      <c r="F1362" s="6">
        <v>52.263197143179696</v>
      </c>
    </row>
    <row r="1363" spans="1:6">
      <c r="A1363" s="1">
        <v>9125383</v>
      </c>
      <c r="B1363" s="1">
        <v>0.75099228245402772</v>
      </c>
      <c r="C1363" s="1">
        <v>3</v>
      </c>
      <c r="D1363" s="1">
        <v>77</v>
      </c>
      <c r="E1363" s="2">
        <v>43173</v>
      </c>
      <c r="F1363" s="6">
        <v>3.0579022879440236</v>
      </c>
    </row>
    <row r="1364" spans="1:6">
      <c r="A1364" s="1">
        <v>9125386</v>
      </c>
      <c r="B1364" s="1">
        <v>0.45321498154388729</v>
      </c>
      <c r="C1364" s="1">
        <v>4</v>
      </c>
      <c r="D1364" s="1">
        <v>149</v>
      </c>
      <c r="E1364" s="2">
        <v>43301</v>
      </c>
      <c r="F1364" s="6">
        <v>5.6528715728346119</v>
      </c>
    </row>
    <row r="1365" spans="1:6">
      <c r="A1365" s="1">
        <v>9125389</v>
      </c>
      <c r="B1365" s="1">
        <v>0.81217840398762753</v>
      </c>
      <c r="C1365" s="1">
        <v>4</v>
      </c>
      <c r="D1365" s="1">
        <v>348</v>
      </c>
      <c r="E1365" s="2">
        <v>43279</v>
      </c>
      <c r="F1365" s="6">
        <v>32.911648716642034</v>
      </c>
    </row>
    <row r="1366" spans="1:6">
      <c r="A1366" s="1">
        <v>9125392</v>
      </c>
      <c r="B1366" s="1">
        <v>0.84056051960033717</v>
      </c>
      <c r="C1366" s="1">
        <v>1</v>
      </c>
      <c r="D1366" s="1">
        <v>564</v>
      </c>
      <c r="E1366" s="2">
        <v>43272</v>
      </c>
      <c r="F1366" s="6">
        <v>48.248250270555474</v>
      </c>
    </row>
    <row r="1367" spans="1:6">
      <c r="A1367" s="1">
        <v>9125395</v>
      </c>
      <c r="B1367" s="1">
        <v>0.24100644767081192</v>
      </c>
      <c r="C1367" s="1">
        <v>47</v>
      </c>
      <c r="D1367" s="1">
        <v>243</v>
      </c>
      <c r="E1367" s="2">
        <v>43020</v>
      </c>
      <c r="F1367" s="6">
        <v>137.33830704968412</v>
      </c>
    </row>
    <row r="1368" spans="1:6">
      <c r="A1368" s="1">
        <v>9125398</v>
      </c>
      <c r="B1368" s="1">
        <v>0.87415625070412684</v>
      </c>
      <c r="C1368" s="1">
        <v>81</v>
      </c>
      <c r="D1368" s="1">
        <v>235</v>
      </c>
      <c r="E1368" s="2">
        <v>43490</v>
      </c>
      <c r="F1368" s="6">
        <v>5.069902135628217</v>
      </c>
    </row>
    <row r="1369" spans="1:6">
      <c r="A1369" s="1">
        <v>9125401</v>
      </c>
      <c r="B1369" s="1">
        <v>0.13556405687619644</v>
      </c>
      <c r="C1369" s="1">
        <v>31</v>
      </c>
      <c r="D1369" s="1">
        <v>149</v>
      </c>
      <c r="E1369" s="2">
        <v>43173</v>
      </c>
      <c r="F1369" s="6">
        <v>3.5642207161877266</v>
      </c>
    </row>
    <row r="1370" spans="1:6">
      <c r="A1370" s="1">
        <v>9125404</v>
      </c>
      <c r="B1370" s="1">
        <v>0.37659275584055218</v>
      </c>
      <c r="C1370" s="1">
        <v>6</v>
      </c>
      <c r="D1370" s="1">
        <v>149</v>
      </c>
      <c r="E1370" s="2">
        <v>43025</v>
      </c>
      <c r="F1370" s="6">
        <v>45.457229372543864</v>
      </c>
    </row>
    <row r="1371" spans="1:6">
      <c r="A1371" s="1">
        <v>9125407</v>
      </c>
      <c r="B1371" s="1">
        <v>0.3587168687664043</v>
      </c>
      <c r="C1371" s="1">
        <v>27</v>
      </c>
      <c r="D1371" s="1">
        <v>154</v>
      </c>
      <c r="E1371" s="2">
        <v>43111</v>
      </c>
      <c r="F1371" s="6">
        <v>16.386079410176762</v>
      </c>
    </row>
    <row r="1372" spans="1:6">
      <c r="A1372" s="1">
        <v>9125410</v>
      </c>
      <c r="B1372" s="1">
        <v>0.15445008507836966</v>
      </c>
      <c r="C1372" s="1">
        <v>7</v>
      </c>
      <c r="D1372" s="1">
        <v>176</v>
      </c>
      <c r="E1372" s="2">
        <v>43134</v>
      </c>
      <c r="F1372" s="6">
        <v>669.06931310628829</v>
      </c>
    </row>
    <row r="1373" spans="1:6">
      <c r="A1373" s="1">
        <v>9125413</v>
      </c>
      <c r="B1373" s="1">
        <v>0.62368489152662054</v>
      </c>
      <c r="C1373" s="1">
        <v>3</v>
      </c>
      <c r="D1373" s="1">
        <v>197</v>
      </c>
      <c r="E1373" s="2">
        <v>43278</v>
      </c>
      <c r="F1373" s="6">
        <v>23.018480727634611</v>
      </c>
    </row>
    <row r="1374" spans="1:6">
      <c r="A1374" s="1">
        <v>9125416</v>
      </c>
      <c r="B1374" s="1">
        <v>0.61540262907316035</v>
      </c>
      <c r="C1374" s="1">
        <v>133</v>
      </c>
      <c r="D1374" s="1">
        <v>510</v>
      </c>
      <c r="E1374" s="2">
        <v>43289</v>
      </c>
      <c r="F1374" s="6">
        <v>254.51391248768849</v>
      </c>
    </row>
    <row r="1375" spans="1:6">
      <c r="A1375" s="1">
        <v>9125419</v>
      </c>
      <c r="B1375" s="1">
        <v>0.4452839696983214</v>
      </c>
      <c r="C1375" s="1">
        <v>14</v>
      </c>
      <c r="D1375" s="1">
        <v>430</v>
      </c>
      <c r="E1375" s="2">
        <v>42753</v>
      </c>
      <c r="F1375" s="6">
        <v>11.542539825880043</v>
      </c>
    </row>
    <row r="1376" spans="1:6">
      <c r="A1376" s="1">
        <v>9125422</v>
      </c>
      <c r="B1376" s="1">
        <v>0.33144661755855842</v>
      </c>
      <c r="C1376" s="1">
        <v>57</v>
      </c>
      <c r="D1376" s="1">
        <v>510</v>
      </c>
      <c r="E1376" s="2">
        <v>43345</v>
      </c>
      <c r="F1376" s="6">
        <v>6.3995123502723326</v>
      </c>
    </row>
    <row r="1377" spans="1:6">
      <c r="A1377" s="1">
        <v>9125425</v>
      </c>
      <c r="B1377" s="1">
        <v>0.18269677692625386</v>
      </c>
      <c r="C1377" s="1">
        <v>99</v>
      </c>
      <c r="D1377" s="1">
        <v>510</v>
      </c>
      <c r="E1377" s="2">
        <v>42874</v>
      </c>
      <c r="F1377" s="6">
        <v>45.554734757979766</v>
      </c>
    </row>
    <row r="1378" spans="1:6">
      <c r="A1378" s="1">
        <v>9125428</v>
      </c>
      <c r="B1378" s="1">
        <v>0.85975288584576337</v>
      </c>
      <c r="C1378" s="1">
        <v>6</v>
      </c>
      <c r="D1378" s="1">
        <v>67</v>
      </c>
      <c r="E1378" s="2">
        <v>43232</v>
      </c>
      <c r="F1378" s="6">
        <v>25.797353581778836</v>
      </c>
    </row>
    <row r="1379" spans="1:6">
      <c r="A1379" s="1">
        <v>9125431</v>
      </c>
      <c r="B1379" s="1">
        <v>0.9284073248229967</v>
      </c>
      <c r="C1379" s="1">
        <v>24</v>
      </c>
      <c r="D1379" s="1">
        <v>176</v>
      </c>
      <c r="E1379" s="2">
        <v>43302</v>
      </c>
      <c r="F1379" s="6">
        <v>159.12668267700775</v>
      </c>
    </row>
    <row r="1380" spans="1:6">
      <c r="A1380" s="1">
        <v>9125434</v>
      </c>
      <c r="B1380" s="1">
        <v>0.97158922722014363</v>
      </c>
      <c r="C1380" s="1">
        <v>1</v>
      </c>
      <c r="D1380" s="1">
        <v>90</v>
      </c>
      <c r="E1380" s="2">
        <v>43142</v>
      </c>
      <c r="F1380" s="6">
        <v>37.684339210268803</v>
      </c>
    </row>
    <row r="1381" spans="1:6">
      <c r="A1381" s="1">
        <v>9125437</v>
      </c>
      <c r="B1381" s="1">
        <v>0.59316980663195862</v>
      </c>
      <c r="C1381" s="1">
        <v>78</v>
      </c>
      <c r="D1381" s="1">
        <v>510</v>
      </c>
      <c r="E1381" s="2">
        <v>43371</v>
      </c>
      <c r="F1381" s="6">
        <v>15.361892941417207</v>
      </c>
    </row>
    <row r="1382" spans="1:6">
      <c r="A1382" s="1">
        <v>9125440</v>
      </c>
      <c r="B1382" s="1">
        <v>0.73831850681085442</v>
      </c>
      <c r="C1382" s="1">
        <v>1</v>
      </c>
      <c r="D1382" s="1">
        <v>510</v>
      </c>
      <c r="E1382" s="2">
        <v>42780</v>
      </c>
      <c r="F1382" s="6">
        <v>137.19898877676067</v>
      </c>
    </row>
    <row r="1383" spans="1:6">
      <c r="A1383" s="1">
        <v>9125443</v>
      </c>
      <c r="B1383" s="1">
        <v>0.19179981237842381</v>
      </c>
      <c r="C1383" s="1">
        <v>47</v>
      </c>
      <c r="D1383" s="1">
        <v>326</v>
      </c>
      <c r="E1383" s="2">
        <v>43180</v>
      </c>
      <c r="F1383" s="6">
        <v>4.2744583723346743</v>
      </c>
    </row>
    <row r="1384" spans="1:6">
      <c r="A1384" s="1">
        <v>9125446</v>
      </c>
      <c r="B1384" s="1">
        <v>0.36912890565427403</v>
      </c>
      <c r="C1384" s="1">
        <v>39</v>
      </c>
      <c r="D1384" s="1">
        <v>258</v>
      </c>
      <c r="E1384" s="2">
        <v>43292</v>
      </c>
      <c r="F1384" s="6">
        <v>124.53851398540567</v>
      </c>
    </row>
    <row r="1385" spans="1:6">
      <c r="A1385" s="1">
        <v>9125449</v>
      </c>
      <c r="B1385" s="1">
        <v>0.30586196623100059</v>
      </c>
      <c r="C1385" s="1">
        <v>34</v>
      </c>
      <c r="D1385" s="1">
        <v>176</v>
      </c>
      <c r="E1385" s="2">
        <v>43341</v>
      </c>
      <c r="F1385" s="6">
        <v>31.44248722073014</v>
      </c>
    </row>
    <row r="1386" spans="1:6">
      <c r="A1386" s="1">
        <v>9125452</v>
      </c>
      <c r="B1386" s="1">
        <v>0.31554917303451668</v>
      </c>
      <c r="C1386" s="1">
        <v>175</v>
      </c>
      <c r="D1386" s="1">
        <v>458</v>
      </c>
      <c r="E1386" s="2">
        <v>42827</v>
      </c>
      <c r="F1386" s="6">
        <v>285.62978989560679</v>
      </c>
    </row>
    <row r="1387" spans="1:6">
      <c r="A1387" s="1">
        <v>9125455</v>
      </c>
      <c r="B1387" s="1">
        <v>0.90913192455575675</v>
      </c>
      <c r="C1387" s="1">
        <v>1</v>
      </c>
      <c r="D1387" s="1">
        <v>597</v>
      </c>
      <c r="E1387" s="2">
        <v>43050</v>
      </c>
      <c r="F1387" s="6">
        <v>5.4678585983427084</v>
      </c>
    </row>
    <row r="1388" spans="1:6">
      <c r="A1388" s="1">
        <v>9125458</v>
      </c>
      <c r="B1388" s="1">
        <v>0.8919163044691617</v>
      </c>
      <c r="C1388" s="1">
        <v>5</v>
      </c>
      <c r="D1388" s="1">
        <v>592</v>
      </c>
      <c r="E1388" s="2">
        <v>42832</v>
      </c>
      <c r="F1388" s="6">
        <v>95.194967896344721</v>
      </c>
    </row>
    <row r="1389" spans="1:6">
      <c r="A1389" s="1">
        <v>9125461</v>
      </c>
      <c r="B1389" s="1">
        <v>0.63834985741422079</v>
      </c>
      <c r="C1389" s="1">
        <v>79</v>
      </c>
      <c r="D1389" s="1">
        <v>182</v>
      </c>
      <c r="E1389" s="2">
        <v>43352</v>
      </c>
      <c r="F1389" s="6">
        <v>130.82325435933143</v>
      </c>
    </row>
    <row r="1390" spans="1:6">
      <c r="A1390" s="1">
        <v>9125464</v>
      </c>
      <c r="B1390" s="1">
        <v>0.96583326458195162</v>
      </c>
      <c r="C1390" s="1">
        <v>6</v>
      </c>
      <c r="D1390" s="1">
        <v>599</v>
      </c>
      <c r="E1390" s="2">
        <v>43183</v>
      </c>
      <c r="F1390" s="6">
        <v>65.091144192837234</v>
      </c>
    </row>
    <row r="1391" spans="1:6">
      <c r="A1391" s="1">
        <v>9125467</v>
      </c>
      <c r="B1391" s="1">
        <v>0.36957710504396268</v>
      </c>
      <c r="C1391" s="1">
        <v>29</v>
      </c>
      <c r="D1391" s="1">
        <v>366</v>
      </c>
      <c r="E1391" s="2">
        <v>43362</v>
      </c>
      <c r="F1391" s="6">
        <v>207.19950720029041</v>
      </c>
    </row>
    <row r="1392" spans="1:6">
      <c r="A1392" s="1">
        <v>9125470</v>
      </c>
      <c r="B1392" s="1">
        <v>0.6845527378193571</v>
      </c>
      <c r="C1392" s="1">
        <v>21</v>
      </c>
      <c r="D1392" s="1">
        <v>495</v>
      </c>
      <c r="E1392" s="2">
        <v>43019</v>
      </c>
      <c r="F1392" s="6">
        <v>43.242023405275937</v>
      </c>
    </row>
    <row r="1393" spans="1:6">
      <c r="A1393" s="1">
        <v>9125473</v>
      </c>
      <c r="B1393" s="1">
        <v>0.7772306055682644</v>
      </c>
      <c r="C1393" s="1">
        <v>86</v>
      </c>
      <c r="D1393" s="1">
        <v>575</v>
      </c>
      <c r="E1393" s="2">
        <v>43046</v>
      </c>
      <c r="F1393" s="6">
        <v>120.54577103347464</v>
      </c>
    </row>
    <row r="1394" spans="1:6">
      <c r="A1394" s="1">
        <v>9125476</v>
      </c>
      <c r="B1394" s="1">
        <v>2.8487629310364415E-2</v>
      </c>
      <c r="C1394" s="1">
        <v>69</v>
      </c>
      <c r="D1394" s="1">
        <v>468</v>
      </c>
      <c r="E1394" s="2">
        <v>43338</v>
      </c>
      <c r="F1394" s="6">
        <v>15.064677453963474</v>
      </c>
    </row>
    <row r="1395" spans="1:6">
      <c r="A1395" s="1">
        <v>9125479</v>
      </c>
      <c r="B1395" s="1">
        <v>0.51300872639344008</v>
      </c>
      <c r="C1395" s="1">
        <v>2</v>
      </c>
      <c r="D1395" s="1">
        <v>451</v>
      </c>
      <c r="E1395" s="2">
        <v>43010</v>
      </c>
      <c r="F1395" s="6">
        <v>37.26829008427147</v>
      </c>
    </row>
    <row r="1396" spans="1:6">
      <c r="A1396" s="1">
        <v>9125482</v>
      </c>
      <c r="B1396" s="1">
        <v>0.53444145349085348</v>
      </c>
      <c r="C1396" s="1">
        <v>38</v>
      </c>
      <c r="D1396" s="1">
        <v>54</v>
      </c>
      <c r="E1396" s="2">
        <v>43249</v>
      </c>
      <c r="F1396" s="6">
        <v>528.11180805928279</v>
      </c>
    </row>
    <row r="1397" spans="1:6">
      <c r="A1397" s="1">
        <v>9125485</v>
      </c>
      <c r="B1397" s="1">
        <v>0.17167737249428683</v>
      </c>
      <c r="C1397" s="1">
        <v>172</v>
      </c>
      <c r="D1397" s="1">
        <v>258</v>
      </c>
      <c r="E1397" s="2">
        <v>43054</v>
      </c>
      <c r="F1397" s="6">
        <v>160.16892018177845</v>
      </c>
    </row>
    <row r="1398" spans="1:6">
      <c r="A1398" s="1">
        <v>9125488</v>
      </c>
      <c r="B1398" s="1">
        <v>0.42424195131203424</v>
      </c>
      <c r="C1398" s="1">
        <v>10</v>
      </c>
      <c r="D1398" s="1">
        <v>149</v>
      </c>
      <c r="E1398" s="2">
        <v>42762</v>
      </c>
      <c r="F1398" s="6">
        <v>150.61154693460898</v>
      </c>
    </row>
    <row r="1399" spans="1:6">
      <c r="A1399" s="1">
        <v>9125491</v>
      </c>
      <c r="B1399" s="1">
        <v>0.80467205747938497</v>
      </c>
      <c r="C1399" s="1">
        <v>99</v>
      </c>
      <c r="D1399" s="1">
        <v>182</v>
      </c>
      <c r="E1399" s="2">
        <v>43101</v>
      </c>
      <c r="F1399" s="6">
        <v>6.774349130767261</v>
      </c>
    </row>
    <row r="1400" spans="1:6">
      <c r="A1400" s="1">
        <v>9125494</v>
      </c>
      <c r="B1400" s="1">
        <v>0.47797036547139005</v>
      </c>
      <c r="C1400" s="1">
        <v>87</v>
      </c>
      <c r="D1400" s="1">
        <v>510</v>
      </c>
      <c r="E1400" s="2">
        <v>42873</v>
      </c>
      <c r="F1400" s="6">
        <v>257.93772550304539</v>
      </c>
    </row>
    <row r="1401" spans="1:6">
      <c r="A1401" s="1">
        <v>9125497</v>
      </c>
      <c r="B1401" s="1">
        <v>0.32737977816285746</v>
      </c>
      <c r="C1401" s="1">
        <v>63</v>
      </c>
      <c r="D1401" s="1">
        <v>495</v>
      </c>
      <c r="E1401" s="2">
        <v>43027</v>
      </c>
      <c r="F1401" s="6">
        <v>21.631881153034261</v>
      </c>
    </row>
    <row r="1402" spans="1:6">
      <c r="A1402" s="1">
        <v>9125500</v>
      </c>
      <c r="B1402" s="1">
        <v>0.60743110014618906</v>
      </c>
      <c r="C1402" s="1">
        <v>1</v>
      </c>
      <c r="D1402" s="1">
        <v>554</v>
      </c>
      <c r="E1402" s="2">
        <v>43049</v>
      </c>
      <c r="F1402" s="6">
        <v>13.446293074817738</v>
      </c>
    </row>
    <row r="1403" spans="1:6">
      <c r="A1403" s="1">
        <v>9125503</v>
      </c>
      <c r="B1403" s="1">
        <v>0.79739879628601573</v>
      </c>
      <c r="C1403" s="1">
        <v>12</v>
      </c>
      <c r="D1403" s="1">
        <v>548</v>
      </c>
      <c r="E1403" s="2">
        <v>42982</v>
      </c>
      <c r="F1403" s="6">
        <v>14.920097238694789</v>
      </c>
    </row>
    <row r="1404" spans="1:6">
      <c r="A1404" s="1">
        <v>9125506</v>
      </c>
      <c r="B1404" s="1">
        <v>0.21310715525685964</v>
      </c>
      <c r="C1404" s="1">
        <v>96</v>
      </c>
      <c r="D1404" s="1">
        <v>573</v>
      </c>
      <c r="E1404" s="2">
        <v>42967</v>
      </c>
      <c r="F1404" s="6">
        <v>76.763019848054483</v>
      </c>
    </row>
    <row r="1405" spans="1:6">
      <c r="A1405" s="1">
        <v>9125509</v>
      </c>
      <c r="B1405" s="1">
        <v>0.53104222093092668</v>
      </c>
      <c r="C1405" s="1">
        <v>27</v>
      </c>
      <c r="D1405" s="1">
        <v>495</v>
      </c>
      <c r="E1405" s="2">
        <v>43186</v>
      </c>
      <c r="F1405" s="6">
        <v>4.2101290791223525</v>
      </c>
    </row>
    <row r="1406" spans="1:6">
      <c r="A1406" s="1">
        <v>9125512</v>
      </c>
      <c r="B1406" s="1">
        <v>0.10913566222554294</v>
      </c>
      <c r="C1406" s="1">
        <v>6</v>
      </c>
      <c r="D1406" s="1">
        <v>16</v>
      </c>
      <c r="E1406" s="2">
        <v>42928</v>
      </c>
      <c r="F1406" s="6">
        <v>51.64606928642943</v>
      </c>
    </row>
    <row r="1407" spans="1:6">
      <c r="A1407" s="1">
        <v>9125515</v>
      </c>
      <c r="B1407" s="1">
        <v>2.8112482976343278E-2</v>
      </c>
      <c r="C1407" s="1">
        <v>94</v>
      </c>
      <c r="D1407" s="1">
        <v>248</v>
      </c>
      <c r="E1407" s="2">
        <v>43358</v>
      </c>
      <c r="F1407" s="6">
        <v>7.6267623090401679</v>
      </c>
    </row>
    <row r="1408" spans="1:6">
      <c r="A1408" s="1">
        <v>9125518</v>
      </c>
      <c r="B1408" s="1">
        <v>0.8310180986353275</v>
      </c>
      <c r="C1408" s="1">
        <v>84</v>
      </c>
      <c r="D1408" s="1">
        <v>510</v>
      </c>
      <c r="E1408" s="2">
        <v>43254</v>
      </c>
      <c r="F1408" s="6">
        <v>68.786874216001394</v>
      </c>
    </row>
    <row r="1409" spans="1:6">
      <c r="A1409" s="1">
        <v>9125521</v>
      </c>
      <c r="B1409" s="1">
        <v>0.46290776322274474</v>
      </c>
      <c r="C1409" s="1">
        <v>7</v>
      </c>
      <c r="D1409" s="1">
        <v>592</v>
      </c>
      <c r="E1409" s="2">
        <v>43432</v>
      </c>
      <c r="F1409" s="6">
        <v>9.7487933191163059</v>
      </c>
    </row>
    <row r="1410" spans="1:6">
      <c r="A1410" s="1">
        <v>9125524</v>
      </c>
      <c r="B1410" s="1">
        <v>1.9459019334720606E-2</v>
      </c>
      <c r="C1410" s="1">
        <v>98</v>
      </c>
      <c r="D1410" s="1">
        <v>258</v>
      </c>
      <c r="E1410" s="2">
        <v>43296</v>
      </c>
      <c r="F1410" s="6">
        <v>137.19792479547564</v>
      </c>
    </row>
    <row r="1411" spans="1:6">
      <c r="A1411" s="1">
        <v>9125527</v>
      </c>
      <c r="B1411" s="1">
        <v>0.88801799864764841</v>
      </c>
      <c r="C1411" s="1">
        <v>11</v>
      </c>
      <c r="D1411" s="1">
        <v>176</v>
      </c>
      <c r="E1411" s="2">
        <v>42784</v>
      </c>
      <c r="F1411" s="6">
        <v>13.062379202084536</v>
      </c>
    </row>
    <row r="1412" spans="1:6">
      <c r="A1412" s="1">
        <v>9125530</v>
      </c>
      <c r="B1412" s="1">
        <v>0.28147837768916129</v>
      </c>
      <c r="C1412" s="1">
        <v>36</v>
      </c>
      <c r="D1412" s="1">
        <v>458</v>
      </c>
      <c r="E1412" s="2">
        <v>43203</v>
      </c>
      <c r="F1412" s="6">
        <v>16.615673333350525</v>
      </c>
    </row>
    <row r="1413" spans="1:6">
      <c r="A1413" s="1">
        <v>9125533</v>
      </c>
      <c r="B1413" s="1">
        <v>0.50790117954598435</v>
      </c>
      <c r="C1413" s="1">
        <v>424</v>
      </c>
      <c r="D1413" s="1">
        <v>510</v>
      </c>
      <c r="E1413" s="2">
        <v>43398</v>
      </c>
      <c r="F1413" s="6">
        <v>13.204930824521592</v>
      </c>
    </row>
    <row r="1414" spans="1:6">
      <c r="A1414" s="1">
        <v>9125536</v>
      </c>
      <c r="B1414" s="1">
        <v>0.15701619041614157</v>
      </c>
      <c r="C1414" s="1">
        <v>31</v>
      </c>
      <c r="D1414" s="1">
        <v>588</v>
      </c>
      <c r="E1414" s="2">
        <v>42996</v>
      </c>
      <c r="F1414" s="6">
        <v>13.827978165490542</v>
      </c>
    </row>
    <row r="1415" spans="1:6">
      <c r="A1415" s="1">
        <v>9125539</v>
      </c>
      <c r="B1415" s="1">
        <v>0.7202841946818751</v>
      </c>
      <c r="C1415" s="1">
        <v>46</v>
      </c>
      <c r="D1415" s="1">
        <v>221</v>
      </c>
      <c r="E1415" s="2">
        <v>43018</v>
      </c>
      <c r="F1415" s="6">
        <v>94.846242187990185</v>
      </c>
    </row>
    <row r="1416" spans="1:6">
      <c r="A1416" s="1">
        <v>9125542</v>
      </c>
      <c r="B1416" s="1">
        <v>8.2513130060555162E-2</v>
      </c>
      <c r="C1416" s="1">
        <v>19</v>
      </c>
      <c r="D1416" s="1">
        <v>551</v>
      </c>
      <c r="E1416" s="2">
        <v>43308</v>
      </c>
      <c r="F1416" s="6">
        <v>3.3336120523789194</v>
      </c>
    </row>
    <row r="1417" spans="1:6">
      <c r="A1417" s="1">
        <v>9125545</v>
      </c>
      <c r="B1417" s="1">
        <v>0.78041368313071191</v>
      </c>
      <c r="C1417" s="1">
        <v>68</v>
      </c>
      <c r="D1417" s="1">
        <v>175</v>
      </c>
      <c r="E1417" s="2">
        <v>42741</v>
      </c>
      <c r="F1417" s="6">
        <v>23.60722284880362</v>
      </c>
    </row>
    <row r="1418" spans="1:6">
      <c r="A1418" s="1">
        <v>9125548</v>
      </c>
      <c r="B1418" s="1">
        <v>0.56593538874744509</v>
      </c>
      <c r="C1418" s="1">
        <v>8</v>
      </c>
      <c r="D1418" s="1">
        <v>514</v>
      </c>
      <c r="E1418" s="2">
        <v>43231</v>
      </c>
      <c r="F1418" s="6">
        <v>85.088517116601906</v>
      </c>
    </row>
    <row r="1419" spans="1:6">
      <c r="A1419" s="1">
        <v>9125551</v>
      </c>
      <c r="B1419" s="1">
        <v>0.70041120756735509</v>
      </c>
      <c r="C1419" s="1">
        <v>31</v>
      </c>
      <c r="D1419" s="1">
        <v>424</v>
      </c>
      <c r="E1419" s="2">
        <v>43290</v>
      </c>
      <c r="F1419" s="6">
        <v>197.56025092252617</v>
      </c>
    </row>
    <row r="1420" spans="1:6">
      <c r="A1420" s="1">
        <v>9125554</v>
      </c>
      <c r="B1420" s="1">
        <v>0.56698264801951748</v>
      </c>
      <c r="C1420" s="1">
        <v>93</v>
      </c>
      <c r="D1420" s="1">
        <v>182</v>
      </c>
      <c r="E1420" s="2">
        <v>42888</v>
      </c>
      <c r="F1420" s="6">
        <v>32.305150515140824</v>
      </c>
    </row>
    <row r="1421" spans="1:6">
      <c r="A1421" s="1">
        <v>9125557</v>
      </c>
      <c r="B1421" s="1">
        <v>0.28449700072858841</v>
      </c>
      <c r="C1421" s="1">
        <v>55</v>
      </c>
      <c r="D1421" s="1">
        <v>90</v>
      </c>
      <c r="E1421" s="2">
        <v>43156</v>
      </c>
      <c r="F1421" s="6">
        <v>146.23476349950755</v>
      </c>
    </row>
    <row r="1422" spans="1:6">
      <c r="A1422" s="1">
        <v>9125560</v>
      </c>
      <c r="B1422" s="1">
        <v>0.89785336516022085</v>
      </c>
      <c r="C1422" s="1">
        <v>34</v>
      </c>
      <c r="D1422" s="1">
        <v>145</v>
      </c>
      <c r="E1422" s="2">
        <v>42968</v>
      </c>
      <c r="F1422" s="6">
        <v>269.34817029964239</v>
      </c>
    </row>
    <row r="1423" spans="1:6">
      <c r="A1423" s="1">
        <v>9125563</v>
      </c>
      <c r="B1423" s="1">
        <v>0.77267020861582336</v>
      </c>
      <c r="C1423" s="1">
        <v>12</v>
      </c>
      <c r="D1423" s="1">
        <v>592</v>
      </c>
      <c r="E1423" s="2">
        <v>42928</v>
      </c>
      <c r="F1423" s="6">
        <v>69.046543612872341</v>
      </c>
    </row>
    <row r="1424" spans="1:6">
      <c r="A1424" s="1">
        <v>9125566</v>
      </c>
      <c r="B1424" s="1">
        <v>0.10856853343337813</v>
      </c>
      <c r="C1424" s="1">
        <v>127</v>
      </c>
      <c r="D1424" s="1">
        <v>200</v>
      </c>
      <c r="E1424" s="2">
        <v>42828</v>
      </c>
      <c r="F1424" s="6">
        <v>129.14408737984365</v>
      </c>
    </row>
    <row r="1425" spans="1:6">
      <c r="A1425" s="1">
        <v>9125569</v>
      </c>
      <c r="B1425" s="1">
        <v>0.36085498425950957</v>
      </c>
      <c r="C1425" s="1">
        <v>3</v>
      </c>
      <c r="D1425" s="1">
        <v>510</v>
      </c>
      <c r="E1425" s="2">
        <v>43480</v>
      </c>
      <c r="F1425" s="6">
        <v>11.458013718271173</v>
      </c>
    </row>
    <row r="1426" spans="1:6">
      <c r="A1426" s="1">
        <v>9125572</v>
      </c>
      <c r="B1426" s="1">
        <v>0.75794420361248938</v>
      </c>
      <c r="C1426" s="1">
        <v>14</v>
      </c>
      <c r="D1426" s="1">
        <v>458</v>
      </c>
      <c r="E1426" s="2">
        <v>42825</v>
      </c>
      <c r="F1426" s="6">
        <v>49.199875395643041</v>
      </c>
    </row>
    <row r="1427" spans="1:6">
      <c r="A1427" s="1">
        <v>9125575</v>
      </c>
      <c r="B1427" s="1">
        <v>0.54871420448163621</v>
      </c>
      <c r="C1427" s="1">
        <v>67</v>
      </c>
      <c r="D1427" s="1">
        <v>98</v>
      </c>
      <c r="E1427" s="2">
        <v>42812</v>
      </c>
      <c r="F1427" s="6">
        <v>11.925080153905807</v>
      </c>
    </row>
    <row r="1428" spans="1:6">
      <c r="A1428" s="1">
        <v>9125578</v>
      </c>
      <c r="B1428" s="1">
        <v>0.89805482772055178</v>
      </c>
      <c r="C1428" s="1">
        <v>78</v>
      </c>
      <c r="D1428" s="1">
        <v>431</v>
      </c>
      <c r="E1428" s="2">
        <v>43344</v>
      </c>
      <c r="F1428" s="6">
        <v>192.13665670224026</v>
      </c>
    </row>
    <row r="1429" spans="1:6">
      <c r="A1429" s="1">
        <v>9125581</v>
      </c>
      <c r="B1429" s="1">
        <v>0.26148423625070127</v>
      </c>
      <c r="C1429" s="1">
        <v>2</v>
      </c>
      <c r="D1429" s="1">
        <v>182</v>
      </c>
      <c r="E1429" s="2">
        <v>43303</v>
      </c>
      <c r="F1429" s="6">
        <v>87.217200679332777</v>
      </c>
    </row>
    <row r="1430" spans="1:6">
      <c r="A1430" s="1">
        <v>9125584</v>
      </c>
      <c r="B1430" s="1">
        <v>0.72113629615462893</v>
      </c>
      <c r="C1430" s="1">
        <v>28</v>
      </c>
      <c r="D1430" s="1">
        <v>359</v>
      </c>
      <c r="E1430" s="2">
        <v>43203</v>
      </c>
      <c r="F1430" s="6">
        <v>346.87332765504692</v>
      </c>
    </row>
    <row r="1431" spans="1:6">
      <c r="A1431" s="1">
        <v>9125587</v>
      </c>
      <c r="B1431" s="1">
        <v>0.4389721104546831</v>
      </c>
      <c r="C1431" s="1">
        <v>71</v>
      </c>
      <c r="D1431" s="1">
        <v>393</v>
      </c>
      <c r="E1431" s="2">
        <v>42869</v>
      </c>
      <c r="F1431" s="6">
        <v>21.232698700553762</v>
      </c>
    </row>
    <row r="1432" spans="1:6">
      <c r="A1432" s="1">
        <v>9125590</v>
      </c>
      <c r="B1432" s="1">
        <v>6.1840983493455681E-2</v>
      </c>
      <c r="C1432" s="1">
        <v>13</v>
      </c>
      <c r="D1432" s="1">
        <v>510</v>
      </c>
      <c r="E1432" s="2">
        <v>43491</v>
      </c>
      <c r="F1432" s="6">
        <v>130.78153882970037</v>
      </c>
    </row>
    <row r="1433" spans="1:6">
      <c r="A1433" s="1">
        <v>9125593</v>
      </c>
      <c r="B1433" s="1">
        <v>0.33981536108862975</v>
      </c>
      <c r="C1433" s="1">
        <v>28</v>
      </c>
      <c r="D1433" s="1">
        <v>176</v>
      </c>
      <c r="E1433" s="2">
        <v>42788</v>
      </c>
      <c r="F1433" s="6">
        <v>9.0852444703122721</v>
      </c>
    </row>
    <row r="1434" spans="1:6">
      <c r="A1434" s="1">
        <v>9125596</v>
      </c>
      <c r="B1434" s="1">
        <v>0.4760764142903352</v>
      </c>
      <c r="C1434" s="1">
        <v>100</v>
      </c>
      <c r="D1434" s="1">
        <v>258</v>
      </c>
      <c r="E1434" s="2">
        <v>42749</v>
      </c>
      <c r="F1434" s="6">
        <v>3.0386280160207195</v>
      </c>
    </row>
    <row r="1435" spans="1:6">
      <c r="A1435" s="1">
        <v>9125599</v>
      </c>
      <c r="B1435" s="1">
        <v>0.31052829072575483</v>
      </c>
      <c r="C1435" s="1">
        <v>86</v>
      </c>
      <c r="D1435" s="1">
        <v>38</v>
      </c>
      <c r="E1435" s="2">
        <v>42778</v>
      </c>
      <c r="F1435" s="6">
        <v>154.12669001824491</v>
      </c>
    </row>
    <row r="1436" spans="1:6">
      <c r="A1436" s="1">
        <v>9125602</v>
      </c>
      <c r="B1436" s="1">
        <v>0.78141136969521086</v>
      </c>
      <c r="C1436" s="1">
        <v>3</v>
      </c>
      <c r="D1436" s="1">
        <v>358</v>
      </c>
      <c r="E1436" s="2">
        <v>42915</v>
      </c>
      <c r="F1436" s="6">
        <v>25.078263601013973</v>
      </c>
    </row>
    <row r="1437" spans="1:6">
      <c r="A1437" s="1">
        <v>9125605</v>
      </c>
      <c r="B1437" s="1">
        <v>0.50761305652798849</v>
      </c>
      <c r="C1437" s="1">
        <v>170</v>
      </c>
      <c r="D1437" s="1">
        <v>176</v>
      </c>
      <c r="E1437" s="2">
        <v>42971</v>
      </c>
      <c r="F1437" s="6">
        <v>42.678143134780932</v>
      </c>
    </row>
    <row r="1438" spans="1:6">
      <c r="A1438" s="1">
        <v>9125608</v>
      </c>
      <c r="B1438" s="1">
        <v>0.36936616437021319</v>
      </c>
      <c r="C1438" s="1">
        <v>2</v>
      </c>
      <c r="D1438" s="1">
        <v>359</v>
      </c>
      <c r="E1438" s="2">
        <v>42915</v>
      </c>
      <c r="F1438" s="6">
        <v>14.748363777843855</v>
      </c>
    </row>
    <row r="1439" spans="1:6">
      <c r="A1439" s="1">
        <v>9125611</v>
      </c>
      <c r="B1439" s="1">
        <v>0.21355337653682072</v>
      </c>
      <c r="C1439" s="1">
        <v>111</v>
      </c>
      <c r="D1439" s="1">
        <v>182</v>
      </c>
      <c r="E1439" s="2">
        <v>42839</v>
      </c>
      <c r="F1439" s="6">
        <v>55.862835767246217</v>
      </c>
    </row>
    <row r="1440" spans="1:6">
      <c r="A1440" s="1">
        <v>9125614</v>
      </c>
      <c r="B1440" s="1">
        <v>0.82195346068004604</v>
      </c>
      <c r="C1440" s="1">
        <v>2</v>
      </c>
      <c r="D1440" s="1">
        <v>126</v>
      </c>
      <c r="E1440" s="2">
        <v>43287</v>
      </c>
      <c r="F1440" s="6">
        <v>43.734944601798766</v>
      </c>
    </row>
    <row r="1441" spans="1:6">
      <c r="A1441" s="1">
        <v>9125617</v>
      </c>
      <c r="B1441" s="1">
        <v>0.58192014910914169</v>
      </c>
      <c r="C1441" s="1">
        <v>20</v>
      </c>
      <c r="D1441" s="1">
        <v>541</v>
      </c>
      <c r="E1441" s="2">
        <v>43377</v>
      </c>
      <c r="F1441" s="6">
        <v>19.04507553770436</v>
      </c>
    </row>
    <row r="1442" spans="1:6">
      <c r="A1442" s="1">
        <v>9125620</v>
      </c>
      <c r="B1442" s="1">
        <v>0.43595206276718679</v>
      </c>
      <c r="C1442" s="1">
        <v>460</v>
      </c>
      <c r="D1442" s="1">
        <v>356</v>
      </c>
      <c r="E1442" s="2">
        <v>42996</v>
      </c>
      <c r="F1442" s="6">
        <v>181.01868346390125</v>
      </c>
    </row>
    <row r="1443" spans="1:6">
      <c r="A1443" s="1">
        <v>9125623</v>
      </c>
      <c r="B1443" s="1">
        <v>0.40687267219662593</v>
      </c>
      <c r="C1443" s="1">
        <v>6</v>
      </c>
      <c r="D1443" s="1">
        <v>169</v>
      </c>
      <c r="E1443" s="2">
        <v>43397</v>
      </c>
      <c r="F1443" s="6">
        <v>43.641602767098505</v>
      </c>
    </row>
    <row r="1444" spans="1:6">
      <c r="A1444" s="1">
        <v>9125626</v>
      </c>
      <c r="B1444" s="1">
        <v>0.65800746941641541</v>
      </c>
      <c r="C1444" s="1">
        <v>81</v>
      </c>
      <c r="D1444" s="1">
        <v>149</v>
      </c>
      <c r="E1444" s="2">
        <v>42742</v>
      </c>
      <c r="F1444" s="6">
        <v>90.992064118689157</v>
      </c>
    </row>
    <row r="1445" spans="1:6">
      <c r="A1445" s="1">
        <v>9125629</v>
      </c>
      <c r="B1445" s="1">
        <v>0.63787150082767385</v>
      </c>
      <c r="C1445" s="1">
        <v>8</v>
      </c>
      <c r="D1445" s="1">
        <v>146</v>
      </c>
      <c r="E1445" s="2">
        <v>43109</v>
      </c>
      <c r="F1445" s="6">
        <v>212.14266679294306</v>
      </c>
    </row>
    <row r="1446" spans="1:6">
      <c r="A1446" s="1">
        <v>9125632</v>
      </c>
      <c r="B1446" s="1">
        <v>0.93304312041085613</v>
      </c>
      <c r="C1446" s="1">
        <v>18</v>
      </c>
      <c r="D1446" s="1">
        <v>38</v>
      </c>
      <c r="E1446" s="2">
        <v>43490</v>
      </c>
      <c r="F1446" s="6">
        <v>6.5719998903618091</v>
      </c>
    </row>
    <row r="1447" spans="1:6">
      <c r="A1447" s="1">
        <v>9125635</v>
      </c>
      <c r="B1447" s="1">
        <v>0.58295902581537196</v>
      </c>
      <c r="C1447" s="1">
        <v>95</v>
      </c>
      <c r="D1447" s="1">
        <v>299</v>
      </c>
      <c r="E1447" s="2">
        <v>43001</v>
      </c>
      <c r="F1447" s="6">
        <v>22.427694129490337</v>
      </c>
    </row>
    <row r="1448" spans="1:6">
      <c r="A1448" s="1">
        <v>9125638</v>
      </c>
      <c r="B1448" s="1">
        <v>0.65884950541865162</v>
      </c>
      <c r="C1448" s="1">
        <v>17</v>
      </c>
      <c r="D1448" s="1">
        <v>493</v>
      </c>
      <c r="E1448" s="2">
        <v>43089</v>
      </c>
      <c r="F1448" s="6">
        <v>65.993493797746964</v>
      </c>
    </row>
    <row r="1449" spans="1:6">
      <c r="A1449" s="1">
        <v>9125641</v>
      </c>
      <c r="B1449" s="1">
        <v>0.58500225545199958</v>
      </c>
      <c r="C1449" s="1">
        <v>38</v>
      </c>
      <c r="D1449" s="1">
        <v>334</v>
      </c>
      <c r="E1449" s="2">
        <v>43228</v>
      </c>
      <c r="F1449" s="6">
        <v>146.52237458795989</v>
      </c>
    </row>
    <row r="1450" spans="1:6">
      <c r="A1450" s="1">
        <v>9125644</v>
      </c>
      <c r="B1450" s="1">
        <v>1.4215481652450346E-2</v>
      </c>
      <c r="C1450" s="1">
        <v>50</v>
      </c>
      <c r="D1450" s="1">
        <v>551</v>
      </c>
      <c r="E1450" s="2">
        <v>42951</v>
      </c>
      <c r="F1450" s="6">
        <v>13.223293764469995</v>
      </c>
    </row>
    <row r="1451" spans="1:6">
      <c r="A1451" s="1">
        <v>9125647</v>
      </c>
      <c r="B1451" s="1">
        <v>0.79018280764447735</v>
      </c>
      <c r="C1451" s="1">
        <v>115</v>
      </c>
      <c r="D1451" s="1">
        <v>383</v>
      </c>
      <c r="E1451" s="2">
        <v>43446</v>
      </c>
      <c r="F1451" s="6">
        <v>37.092311790333696</v>
      </c>
    </row>
    <row r="1452" spans="1:6">
      <c r="A1452" s="1">
        <v>9125650</v>
      </c>
      <c r="B1452" s="1">
        <v>4.5620677856888059E-2</v>
      </c>
      <c r="C1452" s="1">
        <v>1</v>
      </c>
      <c r="D1452" s="1">
        <v>592</v>
      </c>
      <c r="E1452" s="2">
        <v>42963</v>
      </c>
      <c r="F1452" s="6">
        <v>118.82180560995867</v>
      </c>
    </row>
    <row r="1453" spans="1:6">
      <c r="A1453" s="1">
        <v>9125653</v>
      </c>
      <c r="B1453" s="1">
        <v>0.52526401301635006</v>
      </c>
      <c r="C1453" s="1">
        <v>2</v>
      </c>
      <c r="D1453" s="1">
        <v>395</v>
      </c>
      <c r="E1453" s="2">
        <v>43329</v>
      </c>
      <c r="F1453" s="6">
        <v>118.72566959964435</v>
      </c>
    </row>
    <row r="1454" spans="1:6">
      <c r="A1454" s="1">
        <v>9125656</v>
      </c>
      <c r="B1454" s="1">
        <v>0.60935936443596983</v>
      </c>
      <c r="C1454" s="1">
        <v>61</v>
      </c>
      <c r="D1454" s="1">
        <v>431</v>
      </c>
      <c r="E1454" s="2">
        <v>43360</v>
      </c>
      <c r="F1454" s="6">
        <v>6.1537924804606234</v>
      </c>
    </row>
    <row r="1455" spans="1:6">
      <c r="A1455" s="1">
        <v>9125659</v>
      </c>
      <c r="B1455" s="1">
        <v>0.2270588106129654</v>
      </c>
      <c r="C1455" s="1">
        <v>19</v>
      </c>
      <c r="D1455" s="1">
        <v>495</v>
      </c>
      <c r="E1455" s="2">
        <v>43417</v>
      </c>
      <c r="F1455" s="6">
        <v>145.46323321428076</v>
      </c>
    </row>
    <row r="1456" spans="1:6">
      <c r="A1456" s="1">
        <v>9125662</v>
      </c>
      <c r="B1456" s="1">
        <v>0.76969127679566673</v>
      </c>
      <c r="C1456" s="1">
        <v>89</v>
      </c>
      <c r="D1456" s="1">
        <v>510</v>
      </c>
      <c r="E1456" s="2">
        <v>43405</v>
      </c>
      <c r="F1456" s="6">
        <v>9.0045287392591646</v>
      </c>
    </row>
    <row r="1457" spans="1:6">
      <c r="A1457" s="1">
        <v>9125665</v>
      </c>
      <c r="B1457" s="1">
        <v>0.41899243978839384</v>
      </c>
      <c r="C1457" s="1">
        <v>9</v>
      </c>
      <c r="D1457" s="1">
        <v>514</v>
      </c>
      <c r="E1457" s="2">
        <v>43252</v>
      </c>
      <c r="F1457" s="6">
        <v>76.247597430373006</v>
      </c>
    </row>
    <row r="1458" spans="1:6">
      <c r="A1458" s="1">
        <v>9125668</v>
      </c>
      <c r="B1458" s="1">
        <v>0.30726340379881623</v>
      </c>
      <c r="C1458" s="1">
        <v>109</v>
      </c>
      <c r="D1458" s="1">
        <v>493</v>
      </c>
      <c r="E1458" s="2">
        <v>43460</v>
      </c>
      <c r="F1458" s="6">
        <v>16.608347389366948</v>
      </c>
    </row>
    <row r="1459" spans="1:6">
      <c r="A1459" s="1">
        <v>9125671</v>
      </c>
      <c r="B1459" s="1">
        <v>0.78955214824246667</v>
      </c>
      <c r="C1459" s="1">
        <v>28</v>
      </c>
      <c r="D1459" s="1">
        <v>359</v>
      </c>
      <c r="E1459" s="2">
        <v>43218</v>
      </c>
      <c r="F1459" s="6">
        <v>28.807670109226205</v>
      </c>
    </row>
    <row r="1460" spans="1:6">
      <c r="A1460" s="1">
        <v>9125674</v>
      </c>
      <c r="B1460" s="1">
        <v>0.83835251923956311</v>
      </c>
      <c r="C1460" s="1">
        <v>55</v>
      </c>
      <c r="D1460" s="1">
        <v>592</v>
      </c>
      <c r="E1460" s="2">
        <v>43041</v>
      </c>
      <c r="F1460" s="6">
        <v>9.6531543335856504</v>
      </c>
    </row>
    <row r="1461" spans="1:6">
      <c r="A1461" s="1">
        <v>9125677</v>
      </c>
      <c r="B1461" s="1">
        <v>0.86303054546399371</v>
      </c>
      <c r="C1461" s="1">
        <v>110</v>
      </c>
      <c r="D1461" s="1">
        <v>145</v>
      </c>
      <c r="E1461" s="2">
        <v>43289</v>
      </c>
      <c r="F1461" s="6">
        <v>18.768289931342427</v>
      </c>
    </row>
    <row r="1462" spans="1:6">
      <c r="A1462" s="1">
        <v>9125680</v>
      </c>
      <c r="B1462" s="1">
        <v>0.88810548227040154</v>
      </c>
      <c r="C1462" s="1">
        <v>9</v>
      </c>
      <c r="D1462" s="1">
        <v>506</v>
      </c>
      <c r="E1462" s="2">
        <v>43294</v>
      </c>
      <c r="F1462" s="6">
        <v>29.395182116180312</v>
      </c>
    </row>
    <row r="1463" spans="1:6">
      <c r="A1463" s="1">
        <v>9125683</v>
      </c>
      <c r="B1463" s="1">
        <v>0.17541773254490434</v>
      </c>
      <c r="C1463" s="1">
        <v>8</v>
      </c>
      <c r="D1463" s="1">
        <v>225</v>
      </c>
      <c r="E1463" s="2">
        <v>42868</v>
      </c>
      <c r="F1463" s="6">
        <v>19.237546983894024</v>
      </c>
    </row>
    <row r="1464" spans="1:6">
      <c r="A1464" s="1">
        <v>9125686</v>
      </c>
      <c r="B1464" s="1">
        <v>0.77682681744804938</v>
      </c>
      <c r="C1464" s="1">
        <v>2</v>
      </c>
      <c r="D1464" s="1">
        <v>218</v>
      </c>
      <c r="E1464" s="2">
        <v>43062</v>
      </c>
      <c r="F1464" s="6">
        <v>8.0825704044699549</v>
      </c>
    </row>
    <row r="1465" spans="1:6">
      <c r="A1465" s="1">
        <v>9125689</v>
      </c>
      <c r="B1465" s="1">
        <v>0.11898988042284786</v>
      </c>
      <c r="C1465" s="1">
        <v>4</v>
      </c>
      <c r="D1465" s="1">
        <v>248</v>
      </c>
      <c r="E1465" s="2">
        <v>43373</v>
      </c>
      <c r="F1465" s="6">
        <v>10.851089479430408</v>
      </c>
    </row>
    <row r="1466" spans="1:6">
      <c r="A1466" s="1">
        <v>9125692</v>
      </c>
      <c r="B1466" s="1">
        <v>0.19476686190937476</v>
      </c>
      <c r="C1466" s="1">
        <v>4</v>
      </c>
      <c r="D1466" s="1">
        <v>329</v>
      </c>
      <c r="E1466" s="2">
        <v>43315</v>
      </c>
      <c r="F1466" s="6">
        <v>34.448530991526468</v>
      </c>
    </row>
    <row r="1467" spans="1:6">
      <c r="A1467" s="1">
        <v>9125695</v>
      </c>
      <c r="B1467" s="1">
        <v>0.71626054674805006</v>
      </c>
      <c r="C1467" s="1">
        <v>2</v>
      </c>
      <c r="D1467" s="1">
        <v>263</v>
      </c>
      <c r="E1467" s="2">
        <v>43146</v>
      </c>
      <c r="F1467" s="6">
        <v>123.20733792360075</v>
      </c>
    </row>
    <row r="1468" spans="1:6">
      <c r="A1468" s="1">
        <v>9125698</v>
      </c>
      <c r="B1468" s="1">
        <v>0.65400671829496804</v>
      </c>
      <c r="C1468" s="1">
        <v>1</v>
      </c>
      <c r="D1468" s="1">
        <v>176</v>
      </c>
      <c r="E1468" s="2">
        <v>43018</v>
      </c>
      <c r="F1468" s="6">
        <v>87.423665006760189</v>
      </c>
    </row>
    <row r="1469" spans="1:6">
      <c r="A1469" s="1">
        <v>9125701</v>
      </c>
      <c r="B1469" s="1">
        <v>0.88940012454848538</v>
      </c>
      <c r="C1469" s="1">
        <v>66</v>
      </c>
      <c r="D1469" s="1">
        <v>592</v>
      </c>
      <c r="E1469" s="2">
        <v>42858</v>
      </c>
      <c r="F1469" s="6">
        <v>9.8755879391476871</v>
      </c>
    </row>
    <row r="1470" spans="1:6">
      <c r="A1470" s="1">
        <v>9125704</v>
      </c>
      <c r="B1470" s="1">
        <v>0.40418979863382476</v>
      </c>
      <c r="C1470" s="1">
        <v>3</v>
      </c>
      <c r="D1470" s="1">
        <v>597</v>
      </c>
      <c r="E1470" s="2">
        <v>43140</v>
      </c>
      <c r="F1470" s="6">
        <v>24.195312800226546</v>
      </c>
    </row>
    <row r="1471" spans="1:6">
      <c r="A1471" s="1">
        <v>9125707</v>
      </c>
      <c r="B1471" s="1">
        <v>0.63198894720575682</v>
      </c>
      <c r="C1471" s="1">
        <v>4</v>
      </c>
      <c r="D1471" s="1">
        <v>176</v>
      </c>
      <c r="E1471" s="2">
        <v>43053</v>
      </c>
      <c r="F1471" s="6">
        <v>122.68077056134163</v>
      </c>
    </row>
    <row r="1472" spans="1:6">
      <c r="A1472" s="1">
        <v>9125710</v>
      </c>
      <c r="B1472" s="1">
        <v>0.49045302752040532</v>
      </c>
      <c r="C1472" s="1">
        <v>17</v>
      </c>
      <c r="D1472" s="1">
        <v>90</v>
      </c>
      <c r="E1472" s="2">
        <v>42915</v>
      </c>
      <c r="F1472" s="6">
        <v>5.7475402635656607</v>
      </c>
    </row>
    <row r="1473" spans="1:6">
      <c r="A1473" s="1">
        <v>9125713</v>
      </c>
      <c r="B1473" s="1">
        <v>0.86681356676928512</v>
      </c>
      <c r="C1473" s="1">
        <v>8</v>
      </c>
      <c r="D1473" s="1">
        <v>258</v>
      </c>
      <c r="E1473" s="2">
        <v>42761</v>
      </c>
      <c r="F1473" s="6">
        <v>33.236166642088762</v>
      </c>
    </row>
    <row r="1474" spans="1:6">
      <c r="A1474" s="1">
        <v>9125716</v>
      </c>
      <c r="B1474" s="1">
        <v>1.0753077167643399E-2</v>
      </c>
      <c r="C1474" s="1">
        <v>9</v>
      </c>
      <c r="D1474" s="1">
        <v>176</v>
      </c>
      <c r="E1474" s="2">
        <v>42859</v>
      </c>
      <c r="F1474" s="6">
        <v>103.02636793057951</v>
      </c>
    </row>
    <row r="1475" spans="1:6">
      <c r="A1475" s="1">
        <v>9125719</v>
      </c>
      <c r="B1475" s="1">
        <v>0.29463975996142855</v>
      </c>
      <c r="C1475" s="1">
        <v>9</v>
      </c>
      <c r="D1475" s="1">
        <v>258</v>
      </c>
      <c r="E1475" s="2">
        <v>43485</v>
      </c>
      <c r="F1475" s="6">
        <v>92.427500912752308</v>
      </c>
    </row>
    <row r="1476" spans="1:6">
      <c r="A1476" s="1">
        <v>9125722</v>
      </c>
      <c r="B1476" s="1">
        <v>5.0091907828931026E-2</v>
      </c>
      <c r="C1476" s="1">
        <v>18</v>
      </c>
      <c r="D1476" s="1">
        <v>592</v>
      </c>
      <c r="E1476" s="2">
        <v>43379</v>
      </c>
      <c r="F1476" s="6">
        <v>40.654002276262197</v>
      </c>
    </row>
    <row r="1477" spans="1:6">
      <c r="A1477" s="1">
        <v>9125725</v>
      </c>
      <c r="B1477" s="1">
        <v>0.86387217793476612</v>
      </c>
      <c r="C1477" s="1">
        <v>3</v>
      </c>
      <c r="D1477" s="1">
        <v>357</v>
      </c>
      <c r="E1477" s="2">
        <v>42752</v>
      </c>
      <c r="F1477" s="6">
        <v>96.56038493676833</v>
      </c>
    </row>
    <row r="1478" spans="1:6">
      <c r="A1478" s="1">
        <v>9125728</v>
      </c>
      <c r="B1478" s="1">
        <v>0.81870492913716786</v>
      </c>
      <c r="C1478" s="1">
        <v>1</v>
      </c>
      <c r="D1478" s="1">
        <v>334</v>
      </c>
      <c r="E1478" s="2">
        <v>43385</v>
      </c>
      <c r="F1478" s="6">
        <v>109.34950379921742</v>
      </c>
    </row>
    <row r="1479" spans="1:6">
      <c r="A1479" s="1">
        <v>9125731</v>
      </c>
      <c r="B1479" s="1">
        <v>0.60183274873741077</v>
      </c>
      <c r="C1479" s="1">
        <v>1</v>
      </c>
      <c r="D1479" s="1">
        <v>260</v>
      </c>
      <c r="E1479" s="2">
        <v>43260</v>
      </c>
      <c r="F1479" s="6">
        <v>43.533291920287866</v>
      </c>
    </row>
    <row r="1480" spans="1:6">
      <c r="A1480" s="1">
        <v>9125734</v>
      </c>
      <c r="B1480" s="1">
        <v>0.46944376337417482</v>
      </c>
      <c r="C1480" s="1">
        <v>2</v>
      </c>
      <c r="D1480" s="1">
        <v>348</v>
      </c>
      <c r="E1480" s="2">
        <v>43114</v>
      </c>
      <c r="F1480" s="6">
        <v>28.683801298412657</v>
      </c>
    </row>
    <row r="1481" spans="1:6">
      <c r="A1481" s="1">
        <v>9125737</v>
      </c>
      <c r="B1481" s="1">
        <v>0.80792521999838607</v>
      </c>
      <c r="C1481" s="1">
        <v>8</v>
      </c>
      <c r="D1481" s="1">
        <v>366</v>
      </c>
      <c r="E1481" s="2">
        <v>43322</v>
      </c>
      <c r="F1481" s="6">
        <v>102.89021038351461</v>
      </c>
    </row>
    <row r="1482" spans="1:6">
      <c r="A1482" s="1">
        <v>9125740</v>
      </c>
      <c r="B1482" s="1">
        <v>0.97720266796500399</v>
      </c>
      <c r="C1482" s="1">
        <v>238</v>
      </c>
      <c r="D1482" s="1">
        <v>38</v>
      </c>
      <c r="E1482" s="2">
        <v>42953</v>
      </c>
      <c r="F1482" s="6">
        <v>21.767281028774821</v>
      </c>
    </row>
    <row r="1483" spans="1:6">
      <c r="A1483" s="1">
        <v>9125743</v>
      </c>
      <c r="B1483" s="1">
        <v>0.96121234444376358</v>
      </c>
      <c r="C1483" s="1">
        <v>179</v>
      </c>
      <c r="D1483" s="1">
        <v>53</v>
      </c>
      <c r="E1483" s="2">
        <v>43118</v>
      </c>
      <c r="F1483" s="6">
        <v>44.931334124482724</v>
      </c>
    </row>
    <row r="1484" spans="1:6">
      <c r="A1484" s="1">
        <v>9125746</v>
      </c>
      <c r="B1484" s="1">
        <v>1.5623089284054759E-2</v>
      </c>
      <c r="C1484" s="1">
        <v>34</v>
      </c>
      <c r="D1484" s="1">
        <v>495</v>
      </c>
      <c r="E1484" s="2">
        <v>43094</v>
      </c>
      <c r="F1484" s="6">
        <v>17.659196059224325</v>
      </c>
    </row>
    <row r="1485" spans="1:6">
      <c r="A1485" s="1">
        <v>9125749</v>
      </c>
      <c r="B1485" s="1">
        <v>0.7824547627555074</v>
      </c>
      <c r="C1485" s="1">
        <v>301</v>
      </c>
      <c r="D1485" s="1">
        <v>597</v>
      </c>
      <c r="E1485" s="2">
        <v>43012</v>
      </c>
      <c r="F1485" s="6">
        <v>62.012264755518842</v>
      </c>
    </row>
    <row r="1486" spans="1:6">
      <c r="A1486" s="1">
        <v>9125752</v>
      </c>
      <c r="B1486" s="1">
        <v>0.25906603258899841</v>
      </c>
      <c r="C1486" s="1">
        <v>41</v>
      </c>
      <c r="D1486" s="1">
        <v>509</v>
      </c>
      <c r="E1486" s="2">
        <v>42785</v>
      </c>
      <c r="F1486" s="6">
        <v>241.25064628972495</v>
      </c>
    </row>
    <row r="1487" spans="1:6">
      <c r="A1487" s="1">
        <v>9125755</v>
      </c>
      <c r="B1487" s="1">
        <v>0.53897341313006253</v>
      </c>
      <c r="C1487" s="1">
        <v>165</v>
      </c>
      <c r="D1487" s="1">
        <v>234</v>
      </c>
      <c r="E1487" s="2">
        <v>42867</v>
      </c>
      <c r="F1487" s="6">
        <v>68.111187729147119</v>
      </c>
    </row>
    <row r="1488" spans="1:6">
      <c r="A1488" s="1">
        <v>9125758</v>
      </c>
      <c r="B1488" s="1">
        <v>0.52968311761676523</v>
      </c>
      <c r="C1488" s="1">
        <v>12</v>
      </c>
      <c r="D1488" s="1">
        <v>258</v>
      </c>
      <c r="E1488" s="2">
        <v>42989</v>
      </c>
      <c r="F1488" s="6">
        <v>7.0781047208030214</v>
      </c>
    </row>
    <row r="1489" spans="1:6">
      <c r="A1489" s="1">
        <v>9125761</v>
      </c>
      <c r="B1489" s="1">
        <v>0.97223591248045993</v>
      </c>
      <c r="C1489" s="1">
        <v>20</v>
      </c>
      <c r="D1489" s="1">
        <v>258</v>
      </c>
      <c r="E1489" s="2">
        <v>43159</v>
      </c>
      <c r="F1489" s="6">
        <v>4.0658825535928615</v>
      </c>
    </row>
    <row r="1490" spans="1:6">
      <c r="A1490" s="1">
        <v>9125764</v>
      </c>
      <c r="B1490" s="1">
        <v>0.60398442495006033</v>
      </c>
      <c r="C1490" s="1">
        <v>15</v>
      </c>
      <c r="D1490" s="1">
        <v>393</v>
      </c>
      <c r="E1490" s="2">
        <v>42981</v>
      </c>
      <c r="F1490" s="6">
        <v>14.849111796438274</v>
      </c>
    </row>
    <row r="1491" spans="1:6">
      <c r="A1491" s="1">
        <v>9125767</v>
      </c>
      <c r="B1491" s="1">
        <v>0.83703568471511491</v>
      </c>
      <c r="C1491" s="1">
        <v>24</v>
      </c>
      <c r="D1491" s="1">
        <v>359</v>
      </c>
      <c r="E1491" s="2">
        <v>43122</v>
      </c>
      <c r="F1491" s="6">
        <v>74.461348541124536</v>
      </c>
    </row>
    <row r="1492" spans="1:6">
      <c r="A1492" s="1">
        <v>9125770</v>
      </c>
      <c r="B1492" s="1">
        <v>0.78803816413667238</v>
      </c>
      <c r="C1492" s="1">
        <v>159</v>
      </c>
      <c r="D1492" s="1">
        <v>102</v>
      </c>
      <c r="E1492" s="2">
        <v>42949</v>
      </c>
      <c r="F1492" s="6">
        <v>39.029659109998825</v>
      </c>
    </row>
    <row r="1493" spans="1:6">
      <c r="A1493" s="1">
        <v>9125773</v>
      </c>
      <c r="B1493" s="1">
        <v>0.76241977541659045</v>
      </c>
      <c r="C1493" s="1">
        <v>99</v>
      </c>
      <c r="D1493" s="1">
        <v>592</v>
      </c>
      <c r="E1493" s="2">
        <v>43128</v>
      </c>
      <c r="F1493" s="6">
        <v>192.98535317215089</v>
      </c>
    </row>
    <row r="1494" spans="1:6">
      <c r="A1494" s="1">
        <v>9125776</v>
      </c>
      <c r="B1494" s="1">
        <v>1.6163563343735143E-3</v>
      </c>
      <c r="C1494" s="1">
        <v>19</v>
      </c>
      <c r="D1494" s="1">
        <v>40</v>
      </c>
      <c r="E1494" s="2">
        <v>43093</v>
      </c>
      <c r="F1494" s="6">
        <v>3.2000940335858226</v>
      </c>
    </row>
    <row r="1495" spans="1:6">
      <c r="A1495" s="1">
        <v>9125779</v>
      </c>
      <c r="B1495" s="1">
        <v>0.12195360852048098</v>
      </c>
      <c r="C1495" s="1">
        <v>7</v>
      </c>
      <c r="D1495" s="1">
        <v>358</v>
      </c>
      <c r="E1495" s="2">
        <v>43369</v>
      </c>
      <c r="F1495" s="6">
        <v>3.116188879811117</v>
      </c>
    </row>
    <row r="1496" spans="1:6">
      <c r="A1496" s="1">
        <v>9125782</v>
      </c>
      <c r="B1496" s="1">
        <v>0.32902651827006402</v>
      </c>
      <c r="C1496" s="1">
        <v>2</v>
      </c>
      <c r="D1496" s="1">
        <v>344</v>
      </c>
      <c r="E1496" s="2">
        <v>43425</v>
      </c>
      <c r="F1496" s="6">
        <v>52.75239008322778</v>
      </c>
    </row>
    <row r="1497" spans="1:6">
      <c r="A1497" s="1">
        <v>9125785</v>
      </c>
      <c r="B1497" s="1">
        <v>0.13920437706226374</v>
      </c>
      <c r="C1497" s="1">
        <v>12</v>
      </c>
      <c r="D1497" s="1">
        <v>512</v>
      </c>
      <c r="E1497" s="2">
        <v>43348</v>
      </c>
      <c r="F1497" s="6">
        <v>90.186396106513968</v>
      </c>
    </row>
    <row r="1498" spans="1:6">
      <c r="A1498" s="1">
        <v>9125788</v>
      </c>
      <c r="B1498" s="1">
        <v>0.99151051025965709</v>
      </c>
      <c r="C1498" s="1">
        <v>2</v>
      </c>
      <c r="D1498" s="1">
        <v>22</v>
      </c>
      <c r="E1498" s="2">
        <v>43306</v>
      </c>
      <c r="F1498" s="6">
        <v>17.357316066088952</v>
      </c>
    </row>
    <row r="1499" spans="1:6">
      <c r="A1499" s="1">
        <v>9125791</v>
      </c>
      <c r="B1499" s="1">
        <v>0.78600015007752466</v>
      </c>
      <c r="C1499" s="1">
        <v>177</v>
      </c>
      <c r="D1499" s="1">
        <v>176</v>
      </c>
      <c r="E1499" s="2">
        <v>43085</v>
      </c>
      <c r="F1499" s="6">
        <v>6.4578921536851315</v>
      </c>
    </row>
    <row r="1500" spans="1:6">
      <c r="A1500" s="1">
        <v>9125794</v>
      </c>
      <c r="B1500" s="1">
        <v>0.31181982643937523</v>
      </c>
      <c r="C1500" s="1">
        <v>9</v>
      </c>
      <c r="D1500" s="1">
        <v>232</v>
      </c>
      <c r="E1500" s="2">
        <v>43178</v>
      </c>
      <c r="F1500" s="6">
        <v>5.2425892300714487</v>
      </c>
    </row>
    <row r="1501" spans="1:6">
      <c r="A1501" s="1">
        <v>9125797</v>
      </c>
      <c r="B1501" s="1">
        <v>0.86128678977804674</v>
      </c>
      <c r="C1501" s="1">
        <v>42</v>
      </c>
      <c r="D1501" s="1">
        <v>145</v>
      </c>
      <c r="E1501" s="2">
        <v>43285</v>
      </c>
      <c r="F1501" s="6">
        <v>40.941434874978277</v>
      </c>
    </row>
    <row r="1502" spans="1:6">
      <c r="A1502" s="1">
        <v>9125800</v>
      </c>
      <c r="B1502" s="1">
        <v>0.4861100290521585</v>
      </c>
      <c r="C1502" s="1">
        <v>35</v>
      </c>
      <c r="D1502" s="1">
        <v>182</v>
      </c>
      <c r="E1502" s="2">
        <v>42769</v>
      </c>
      <c r="F1502" s="6">
        <v>29.534618804985399</v>
      </c>
    </row>
    <row r="1503" spans="1:6">
      <c r="A1503" s="1">
        <v>9125803</v>
      </c>
      <c r="B1503" s="1">
        <v>0.96443464891697617</v>
      </c>
      <c r="C1503" s="1">
        <v>175</v>
      </c>
      <c r="D1503" s="1">
        <v>457</v>
      </c>
      <c r="E1503" s="2">
        <v>43189</v>
      </c>
      <c r="F1503" s="6">
        <v>6.3764179401382552</v>
      </c>
    </row>
    <row r="1504" spans="1:6">
      <c r="A1504" s="1">
        <v>9125806</v>
      </c>
      <c r="B1504" s="1">
        <v>0.17621568157686518</v>
      </c>
      <c r="C1504" s="1">
        <v>65</v>
      </c>
      <c r="D1504" s="1">
        <v>422</v>
      </c>
      <c r="E1504" s="2">
        <v>42742</v>
      </c>
      <c r="F1504" s="6">
        <v>14.491412153498242</v>
      </c>
    </row>
    <row r="1505" spans="1:6">
      <c r="A1505" s="1">
        <v>9125809</v>
      </c>
      <c r="B1505" s="1">
        <v>0.86605711084869763</v>
      </c>
      <c r="C1505" s="1">
        <v>4</v>
      </c>
      <c r="D1505" s="1">
        <v>541</v>
      </c>
      <c r="E1505" s="2">
        <v>43399</v>
      </c>
      <c r="F1505" s="6">
        <v>41.75206025452654</v>
      </c>
    </row>
    <row r="1506" spans="1:6">
      <c r="A1506" s="1">
        <v>9125812</v>
      </c>
      <c r="B1506" s="1">
        <v>0.59754539302557719</v>
      </c>
      <c r="C1506" s="1">
        <v>115</v>
      </c>
      <c r="D1506" s="1">
        <v>510</v>
      </c>
      <c r="E1506" s="2">
        <v>42828</v>
      </c>
      <c r="F1506" s="6">
        <v>7.1789496472652319</v>
      </c>
    </row>
    <row r="1507" spans="1:6">
      <c r="A1507" s="1">
        <v>9125815</v>
      </c>
      <c r="B1507" s="1">
        <v>0.103459978996847</v>
      </c>
      <c r="C1507" s="1">
        <v>71</v>
      </c>
      <c r="D1507" s="1">
        <v>366</v>
      </c>
      <c r="E1507" s="2">
        <v>43258</v>
      </c>
      <c r="F1507" s="6">
        <v>33.003658656169989</v>
      </c>
    </row>
    <row r="1508" spans="1:6">
      <c r="A1508" s="1">
        <v>9125818</v>
      </c>
      <c r="B1508" s="1">
        <v>0.79155318716935064</v>
      </c>
      <c r="C1508" s="1">
        <v>88</v>
      </c>
      <c r="D1508" s="1">
        <v>430</v>
      </c>
      <c r="E1508" s="2">
        <v>42945</v>
      </c>
      <c r="F1508" s="6">
        <v>71.185299965622846</v>
      </c>
    </row>
    <row r="1509" spans="1:6">
      <c r="A1509" s="1">
        <v>9125821</v>
      </c>
      <c r="B1509" s="1">
        <v>0.56714340952002729</v>
      </c>
      <c r="C1509" s="1">
        <v>1</v>
      </c>
      <c r="D1509" s="1">
        <v>146</v>
      </c>
      <c r="E1509" s="2">
        <v>42871</v>
      </c>
      <c r="F1509" s="6">
        <v>85.099919674133432</v>
      </c>
    </row>
    <row r="1510" spans="1:6">
      <c r="A1510" s="1">
        <v>9125824</v>
      </c>
      <c r="B1510" s="1">
        <v>0.54480960052192962</v>
      </c>
      <c r="C1510" s="1">
        <v>36</v>
      </c>
      <c r="D1510" s="1">
        <v>176</v>
      </c>
      <c r="E1510" s="2">
        <v>43054</v>
      </c>
      <c r="F1510" s="6">
        <v>35.776205392421964</v>
      </c>
    </row>
    <row r="1511" spans="1:6">
      <c r="A1511" s="1">
        <v>9125827</v>
      </c>
      <c r="B1511" s="1">
        <v>0.65435315692856377</v>
      </c>
      <c r="C1511" s="1">
        <v>2</v>
      </c>
      <c r="D1511" s="1">
        <v>487</v>
      </c>
      <c r="E1511" s="2">
        <v>42787</v>
      </c>
      <c r="F1511" s="6">
        <v>10.422479940241395</v>
      </c>
    </row>
    <row r="1512" spans="1:6">
      <c r="A1512" s="1">
        <v>9125830</v>
      </c>
      <c r="B1512" s="1">
        <v>0.17404781684677739</v>
      </c>
      <c r="C1512" s="1">
        <v>2</v>
      </c>
      <c r="D1512" s="1">
        <v>149</v>
      </c>
      <c r="E1512" s="2">
        <v>42853</v>
      </c>
      <c r="F1512" s="6">
        <v>33.317636994451433</v>
      </c>
    </row>
    <row r="1513" spans="1:6">
      <c r="A1513" s="1">
        <v>9125833</v>
      </c>
      <c r="B1513" s="1">
        <v>0.39027990051633177</v>
      </c>
      <c r="C1513" s="1">
        <v>176</v>
      </c>
      <c r="D1513" s="1">
        <v>264</v>
      </c>
      <c r="E1513" s="2">
        <v>43408</v>
      </c>
      <c r="F1513" s="6">
        <v>79.569289457170015</v>
      </c>
    </row>
    <row r="1514" spans="1:6">
      <c r="A1514" s="1">
        <v>9125836</v>
      </c>
      <c r="B1514" s="1">
        <v>0.19368364382299907</v>
      </c>
      <c r="C1514" s="1">
        <v>6</v>
      </c>
      <c r="D1514" s="1">
        <v>564</v>
      </c>
      <c r="E1514" s="2">
        <v>43407</v>
      </c>
      <c r="F1514" s="6">
        <v>5.4204367793653354</v>
      </c>
    </row>
    <row r="1515" spans="1:6">
      <c r="A1515" s="1">
        <v>9125839</v>
      </c>
      <c r="B1515" s="1">
        <v>0.59347586614652936</v>
      </c>
      <c r="C1515" s="1">
        <v>1</v>
      </c>
      <c r="D1515" s="1">
        <v>141</v>
      </c>
      <c r="E1515" s="2">
        <v>42797</v>
      </c>
      <c r="F1515" s="6">
        <v>42.519705710146908</v>
      </c>
    </row>
    <row r="1516" spans="1:6">
      <c r="A1516" s="1">
        <v>9125842</v>
      </c>
      <c r="B1516" s="1">
        <v>0.93337227476672568</v>
      </c>
      <c r="C1516" s="1">
        <v>21</v>
      </c>
      <c r="D1516" s="1">
        <v>146</v>
      </c>
      <c r="E1516" s="2">
        <v>43043</v>
      </c>
      <c r="F1516" s="6">
        <v>13.528251496299077</v>
      </c>
    </row>
    <row r="1517" spans="1:6">
      <c r="A1517" s="1">
        <v>9125845</v>
      </c>
      <c r="B1517" s="1">
        <v>0.579426272664335</v>
      </c>
      <c r="C1517" s="1">
        <v>20</v>
      </c>
      <c r="D1517" s="1">
        <v>88</v>
      </c>
      <c r="E1517" s="2">
        <v>42903</v>
      </c>
      <c r="F1517" s="6">
        <v>77.062602585371835</v>
      </c>
    </row>
    <row r="1518" spans="1:6">
      <c r="A1518" s="1">
        <v>9125848</v>
      </c>
      <c r="B1518" s="1">
        <v>0.1269547116780928</v>
      </c>
      <c r="C1518" s="1">
        <v>19</v>
      </c>
      <c r="D1518" s="1">
        <v>329</v>
      </c>
      <c r="E1518" s="2">
        <v>43167</v>
      </c>
      <c r="F1518" s="6">
        <v>14.434188918203157</v>
      </c>
    </row>
    <row r="1519" spans="1:6">
      <c r="A1519" s="1">
        <v>9125851</v>
      </c>
      <c r="B1519" s="1">
        <v>0.86802154253949304</v>
      </c>
      <c r="C1519" s="1">
        <v>11</v>
      </c>
      <c r="D1519" s="1">
        <v>120</v>
      </c>
      <c r="E1519" s="2">
        <v>42966</v>
      </c>
      <c r="F1519" s="6">
        <v>36.549947628625496</v>
      </c>
    </row>
    <row r="1520" spans="1:6">
      <c r="A1520" s="1">
        <v>9125854</v>
      </c>
      <c r="B1520" s="1">
        <v>0.7688341664833046</v>
      </c>
      <c r="C1520" s="1">
        <v>22</v>
      </c>
      <c r="D1520" s="1">
        <v>502</v>
      </c>
      <c r="E1520" s="2">
        <v>42801</v>
      </c>
      <c r="F1520" s="6">
        <v>49.178438540547155</v>
      </c>
    </row>
    <row r="1521" spans="1:6">
      <c r="A1521" s="1">
        <v>9125857</v>
      </c>
      <c r="B1521" s="1">
        <v>0.29783844711416985</v>
      </c>
      <c r="C1521" s="1">
        <v>1</v>
      </c>
      <c r="D1521" s="1">
        <v>544</v>
      </c>
      <c r="E1521" s="2">
        <v>42781</v>
      </c>
      <c r="F1521" s="6">
        <v>41.894086363853098</v>
      </c>
    </row>
    <row r="1522" spans="1:6">
      <c r="A1522" s="1">
        <v>9125860</v>
      </c>
      <c r="B1522" s="1">
        <v>0.16988521630093689</v>
      </c>
      <c r="C1522" s="1">
        <v>176</v>
      </c>
      <c r="D1522" s="1">
        <v>258</v>
      </c>
      <c r="E1522" s="2">
        <v>43007</v>
      </c>
      <c r="F1522" s="6">
        <v>51.094874226865116</v>
      </c>
    </row>
    <row r="1523" spans="1:6">
      <c r="A1523" s="1">
        <v>9125863</v>
      </c>
      <c r="B1523" s="1">
        <v>0.7081681264358124</v>
      </c>
      <c r="C1523" s="1">
        <v>26</v>
      </c>
      <c r="D1523" s="1">
        <v>222</v>
      </c>
      <c r="E1523" s="2">
        <v>43207</v>
      </c>
      <c r="F1523" s="6">
        <v>74.864345488015857</v>
      </c>
    </row>
    <row r="1524" spans="1:6">
      <c r="A1524" s="1">
        <v>9125866</v>
      </c>
      <c r="B1524" s="1">
        <v>0.66384474375050961</v>
      </c>
      <c r="C1524" s="1">
        <v>11</v>
      </c>
      <c r="D1524" s="1">
        <v>176</v>
      </c>
      <c r="E1524" s="2">
        <v>42890</v>
      </c>
      <c r="F1524" s="6">
        <v>32.194535468176852</v>
      </c>
    </row>
    <row r="1525" spans="1:6">
      <c r="A1525" s="1">
        <v>9125869</v>
      </c>
      <c r="B1525" s="1">
        <v>0.36419275476283686</v>
      </c>
      <c r="C1525" s="1">
        <v>6</v>
      </c>
      <c r="D1525" s="1">
        <v>575</v>
      </c>
      <c r="E1525" s="2">
        <v>43221</v>
      </c>
      <c r="F1525" s="6">
        <v>167.34431329951482</v>
      </c>
    </row>
    <row r="1526" spans="1:6">
      <c r="A1526" s="1">
        <v>9125872</v>
      </c>
      <c r="B1526" s="1">
        <v>0.2111188746990158</v>
      </c>
      <c r="C1526" s="1">
        <v>69</v>
      </c>
      <c r="D1526" s="1">
        <v>176</v>
      </c>
      <c r="E1526" s="2">
        <v>43319</v>
      </c>
      <c r="F1526" s="6">
        <v>79.755290949942989</v>
      </c>
    </row>
    <row r="1527" spans="1:6">
      <c r="A1527" s="1">
        <v>9125875</v>
      </c>
      <c r="B1527" s="1">
        <v>4.4493334837629184E-2</v>
      </c>
      <c r="C1527" s="1">
        <v>1</v>
      </c>
      <c r="D1527" s="1">
        <v>458</v>
      </c>
      <c r="E1527" s="2">
        <v>42949</v>
      </c>
      <c r="F1527" s="6">
        <v>6.3256693960229162</v>
      </c>
    </row>
    <row r="1528" spans="1:6">
      <c r="A1528" s="1">
        <v>9125878</v>
      </c>
      <c r="B1528" s="1">
        <v>0.59942944892968342</v>
      </c>
      <c r="C1528" s="1">
        <v>69</v>
      </c>
      <c r="D1528" s="1">
        <v>216</v>
      </c>
      <c r="E1528" s="2">
        <v>42774</v>
      </c>
      <c r="F1528" s="6">
        <v>133.08774738260649</v>
      </c>
    </row>
    <row r="1529" spans="1:6">
      <c r="A1529" s="1">
        <v>9125881</v>
      </c>
      <c r="B1529" s="1">
        <v>0.24797669999199123</v>
      </c>
      <c r="C1529" s="1">
        <v>252</v>
      </c>
      <c r="D1529" s="1">
        <v>149</v>
      </c>
      <c r="E1529" s="2">
        <v>42828</v>
      </c>
      <c r="F1529" s="6">
        <v>216.94214275378735</v>
      </c>
    </row>
    <row r="1530" spans="1:6">
      <c r="A1530" s="1">
        <v>9125884</v>
      </c>
      <c r="B1530" s="1">
        <v>0.77124093227113988</v>
      </c>
      <c r="C1530" s="1">
        <v>6</v>
      </c>
      <c r="D1530" s="1">
        <v>413</v>
      </c>
      <c r="E1530" s="2">
        <v>42865</v>
      </c>
      <c r="F1530" s="6">
        <v>430.03725422208441</v>
      </c>
    </row>
    <row r="1531" spans="1:6">
      <c r="A1531" s="1">
        <v>9125887</v>
      </c>
      <c r="B1531" s="1">
        <v>0.19030328244740602</v>
      </c>
      <c r="C1531" s="1">
        <v>7</v>
      </c>
      <c r="D1531" s="1">
        <v>248</v>
      </c>
      <c r="E1531" s="2">
        <v>43182</v>
      </c>
      <c r="F1531" s="6">
        <v>48.412931668546271</v>
      </c>
    </row>
    <row r="1532" spans="1:6">
      <c r="A1532" s="1">
        <v>9125890</v>
      </c>
      <c r="B1532" s="1">
        <v>0.1405377507927188</v>
      </c>
      <c r="C1532" s="1">
        <v>67</v>
      </c>
      <c r="D1532" s="1">
        <v>575</v>
      </c>
      <c r="E1532" s="2">
        <v>43101</v>
      </c>
      <c r="F1532" s="6">
        <v>39.49485794142435</v>
      </c>
    </row>
    <row r="1533" spans="1:6">
      <c r="A1533" s="1">
        <v>9125893</v>
      </c>
      <c r="B1533" s="1">
        <v>0.22226053286832148</v>
      </c>
      <c r="C1533" s="1">
        <v>13</v>
      </c>
      <c r="D1533" s="1">
        <v>146</v>
      </c>
      <c r="E1533" s="2">
        <v>43220</v>
      </c>
      <c r="F1533" s="6">
        <v>71.055700104123787</v>
      </c>
    </row>
    <row r="1534" spans="1:6">
      <c r="A1534" s="1">
        <v>9125896</v>
      </c>
      <c r="B1534" s="1">
        <v>0.68518867847166887</v>
      </c>
      <c r="C1534" s="1">
        <v>113</v>
      </c>
      <c r="D1534" s="1">
        <v>22</v>
      </c>
      <c r="E1534" s="2">
        <v>43343</v>
      </c>
      <c r="F1534" s="6">
        <v>247.28984346230456</v>
      </c>
    </row>
    <row r="1535" spans="1:6">
      <c r="A1535" s="1">
        <v>9125899</v>
      </c>
      <c r="B1535" s="1">
        <v>0.49114523239974961</v>
      </c>
      <c r="C1535" s="1">
        <v>2</v>
      </c>
      <c r="D1535" s="1">
        <v>359</v>
      </c>
      <c r="E1535" s="2">
        <v>42929</v>
      </c>
      <c r="F1535" s="6">
        <v>70.390158539118559</v>
      </c>
    </row>
    <row r="1536" spans="1:6">
      <c r="A1536" s="1">
        <v>9125902</v>
      </c>
      <c r="B1536" s="1">
        <v>0.78272499045730892</v>
      </c>
      <c r="C1536" s="1">
        <v>57</v>
      </c>
      <c r="D1536" s="1">
        <v>368</v>
      </c>
      <c r="E1536" s="2">
        <v>43107</v>
      </c>
      <c r="F1536" s="6">
        <v>6.2522717639305219</v>
      </c>
    </row>
    <row r="1537" spans="1:6">
      <c r="A1537" s="1">
        <v>9125905</v>
      </c>
      <c r="B1537" s="1">
        <v>0.56523992942032897</v>
      </c>
      <c r="C1537" s="1">
        <v>126</v>
      </c>
      <c r="D1537" s="1">
        <v>458</v>
      </c>
      <c r="E1537" s="2">
        <v>42991</v>
      </c>
      <c r="F1537" s="6">
        <v>45.900865083260761</v>
      </c>
    </row>
    <row r="1538" spans="1:6">
      <c r="A1538" s="1">
        <v>9125908</v>
      </c>
      <c r="B1538" s="1">
        <v>0.16681300877833227</v>
      </c>
      <c r="C1538" s="1">
        <v>9</v>
      </c>
      <c r="D1538" s="1">
        <v>541</v>
      </c>
      <c r="E1538" s="2">
        <v>43059</v>
      </c>
      <c r="F1538" s="6">
        <v>63.501053702041332</v>
      </c>
    </row>
    <row r="1539" spans="1:6">
      <c r="A1539" s="1">
        <v>9125911</v>
      </c>
      <c r="B1539" s="1">
        <v>0.61568876405463702</v>
      </c>
      <c r="C1539" s="1">
        <v>69</v>
      </c>
      <c r="D1539" s="1">
        <v>592</v>
      </c>
      <c r="E1539" s="2">
        <v>42922</v>
      </c>
      <c r="F1539" s="6">
        <v>9.4641485649766626</v>
      </c>
    </row>
    <row r="1540" spans="1:6">
      <c r="A1540" s="1">
        <v>9125914</v>
      </c>
      <c r="B1540" s="1">
        <v>0.14185454141166987</v>
      </c>
      <c r="C1540" s="1">
        <v>11</v>
      </c>
      <c r="D1540" s="1">
        <v>468</v>
      </c>
      <c r="E1540" s="2">
        <v>43364</v>
      </c>
      <c r="F1540" s="6">
        <v>25.788248471088099</v>
      </c>
    </row>
    <row r="1541" spans="1:6">
      <c r="A1541" s="1">
        <v>9125917</v>
      </c>
      <c r="B1541" s="1">
        <v>0.79428043347965882</v>
      </c>
      <c r="C1541" s="1">
        <v>11</v>
      </c>
      <c r="D1541" s="1">
        <v>451</v>
      </c>
      <c r="E1541" s="2">
        <v>42755</v>
      </c>
      <c r="F1541" s="6">
        <v>166.5893596117611</v>
      </c>
    </row>
    <row r="1542" spans="1:6">
      <c r="A1542" s="1">
        <v>9125920</v>
      </c>
      <c r="B1542" s="1">
        <v>0.95616881195222403</v>
      </c>
      <c r="C1542" s="1">
        <v>53</v>
      </c>
      <c r="D1542" s="1">
        <v>431</v>
      </c>
      <c r="E1542" s="2">
        <v>43027</v>
      </c>
      <c r="F1542" s="6">
        <v>22.526091154363687</v>
      </c>
    </row>
    <row r="1543" spans="1:6">
      <c r="A1543" s="1">
        <v>9125923</v>
      </c>
      <c r="B1543" s="1">
        <v>0.9335420590700424</v>
      </c>
      <c r="C1543" s="1">
        <v>24</v>
      </c>
      <c r="D1543" s="1">
        <v>168</v>
      </c>
      <c r="E1543" s="2">
        <v>42953</v>
      </c>
      <c r="F1543" s="6">
        <v>3.4686523009071744</v>
      </c>
    </row>
    <row r="1544" spans="1:6">
      <c r="A1544" s="1">
        <v>9125926</v>
      </c>
      <c r="B1544" s="1">
        <v>0.57868716485378624</v>
      </c>
      <c r="C1544" s="1">
        <v>43</v>
      </c>
      <c r="D1544" s="1">
        <v>514</v>
      </c>
      <c r="E1544" s="2">
        <v>42765</v>
      </c>
      <c r="F1544" s="6">
        <v>88.176862641600337</v>
      </c>
    </row>
    <row r="1545" spans="1:6">
      <c r="A1545" s="1">
        <v>9125929</v>
      </c>
      <c r="B1545" s="1">
        <v>0.66326763264802446</v>
      </c>
      <c r="C1545" s="1">
        <v>110</v>
      </c>
      <c r="D1545" s="1">
        <v>190</v>
      </c>
      <c r="E1545" s="2">
        <v>43153</v>
      </c>
      <c r="F1545" s="6">
        <v>4.2510666618174904</v>
      </c>
    </row>
    <row r="1546" spans="1:6">
      <c r="A1546" s="1">
        <v>9125932</v>
      </c>
      <c r="B1546" s="1">
        <v>0.41833378699301182</v>
      </c>
      <c r="C1546" s="1">
        <v>59</v>
      </c>
      <c r="D1546" s="1">
        <v>127</v>
      </c>
      <c r="E1546" s="2">
        <v>42898</v>
      </c>
      <c r="F1546" s="6">
        <v>36.510259306101446</v>
      </c>
    </row>
    <row r="1547" spans="1:6">
      <c r="A1547" s="1">
        <v>9125935</v>
      </c>
      <c r="B1547" s="1">
        <v>0.27406861136969929</v>
      </c>
      <c r="C1547" s="1">
        <v>31</v>
      </c>
      <c r="D1547" s="1">
        <v>393</v>
      </c>
      <c r="E1547" s="2">
        <v>43066</v>
      </c>
      <c r="F1547" s="6">
        <v>66.537922733434129</v>
      </c>
    </row>
    <row r="1548" spans="1:6">
      <c r="A1548" s="1">
        <v>9125938</v>
      </c>
      <c r="B1548" s="1">
        <v>0.30730836042747822</v>
      </c>
      <c r="C1548" s="1">
        <v>81</v>
      </c>
      <c r="D1548" s="1">
        <v>253</v>
      </c>
      <c r="E1548" s="2">
        <v>43046</v>
      </c>
      <c r="F1548" s="6">
        <v>74.55830027283649</v>
      </c>
    </row>
    <row r="1549" spans="1:6">
      <c r="A1549" s="1">
        <v>9125941</v>
      </c>
      <c r="B1549" s="1">
        <v>2.9717527123617193E-2</v>
      </c>
      <c r="C1549" s="1">
        <v>89</v>
      </c>
      <c r="D1549" s="1">
        <v>510</v>
      </c>
      <c r="E1549" s="2">
        <v>42764</v>
      </c>
      <c r="F1549" s="6">
        <v>18.241189432238791</v>
      </c>
    </row>
    <row r="1550" spans="1:6">
      <c r="A1550" s="1">
        <v>9125944</v>
      </c>
      <c r="B1550" s="1">
        <v>0.66911907758528644</v>
      </c>
      <c r="C1550" s="1">
        <v>125</v>
      </c>
      <c r="D1550" s="1">
        <v>510</v>
      </c>
      <c r="E1550" s="2">
        <v>43266</v>
      </c>
      <c r="F1550" s="6">
        <v>20.375228080119932</v>
      </c>
    </row>
    <row r="1551" spans="1:6">
      <c r="A1551" s="1">
        <v>9125947</v>
      </c>
      <c r="B1551" s="1">
        <v>0.98578209080774426</v>
      </c>
      <c r="C1551" s="1">
        <v>16</v>
      </c>
      <c r="D1551" s="1">
        <v>541</v>
      </c>
      <c r="E1551" s="2">
        <v>42979</v>
      </c>
      <c r="F1551" s="6">
        <v>58.043493390876172</v>
      </c>
    </row>
    <row r="1552" spans="1:6">
      <c r="A1552" s="1">
        <v>9125950</v>
      </c>
      <c r="B1552" s="1">
        <v>0.90533192001037055</v>
      </c>
      <c r="C1552" s="1">
        <v>12</v>
      </c>
      <c r="D1552" s="1">
        <v>368</v>
      </c>
      <c r="E1552" s="2">
        <v>42750</v>
      </c>
      <c r="F1552" s="6">
        <v>13.071147773024759</v>
      </c>
    </row>
    <row r="1553" spans="1:6">
      <c r="A1553" s="1">
        <v>9125953</v>
      </c>
      <c r="B1553" s="1">
        <v>0.59790484193326054</v>
      </c>
      <c r="C1553" s="1">
        <v>23</v>
      </c>
      <c r="D1553" s="1">
        <v>176</v>
      </c>
      <c r="E1553" s="2">
        <v>43004</v>
      </c>
      <c r="F1553" s="6">
        <v>204.27510126676222</v>
      </c>
    </row>
    <row r="1554" spans="1:6">
      <c r="A1554" s="1">
        <v>9125956</v>
      </c>
      <c r="B1554" s="1">
        <v>0.26811782832878195</v>
      </c>
      <c r="C1554" s="1">
        <v>90</v>
      </c>
      <c r="D1554" s="1">
        <v>510</v>
      </c>
      <c r="E1554" s="2">
        <v>42854</v>
      </c>
      <c r="F1554" s="6">
        <v>296.57959951297062</v>
      </c>
    </row>
    <row r="1555" spans="1:6">
      <c r="A1555" s="1">
        <v>9125959</v>
      </c>
      <c r="B1555" s="1">
        <v>0.90833793436209709</v>
      </c>
      <c r="C1555" s="1">
        <v>140</v>
      </c>
      <c r="D1555" s="1">
        <v>348</v>
      </c>
      <c r="E1555" s="2">
        <v>43323</v>
      </c>
      <c r="F1555" s="6">
        <v>33.315445282801072</v>
      </c>
    </row>
    <row r="1556" spans="1:6">
      <c r="A1556" s="1">
        <v>9125962</v>
      </c>
      <c r="B1556" s="1">
        <v>0.42475418119562214</v>
      </c>
      <c r="C1556" s="1">
        <v>32</v>
      </c>
      <c r="D1556" s="1">
        <v>393</v>
      </c>
      <c r="E1556" s="2">
        <v>43207</v>
      </c>
      <c r="F1556" s="6">
        <v>86.116391715500129</v>
      </c>
    </row>
    <row r="1557" spans="1:6">
      <c r="A1557" s="1">
        <v>9125965</v>
      </c>
      <c r="B1557" s="1">
        <v>0.26604071811621199</v>
      </c>
      <c r="C1557" s="1">
        <v>211</v>
      </c>
      <c r="D1557" s="1">
        <v>140</v>
      </c>
      <c r="E1557" s="2">
        <v>43093</v>
      </c>
      <c r="F1557" s="6">
        <v>53.765685598087948</v>
      </c>
    </row>
    <row r="1558" spans="1:6">
      <c r="A1558" s="1">
        <v>9125968</v>
      </c>
      <c r="B1558" s="1">
        <v>0.9392546876112351</v>
      </c>
      <c r="C1558" s="1">
        <v>32</v>
      </c>
      <c r="D1558" s="1">
        <v>116</v>
      </c>
      <c r="E1558" s="2">
        <v>43211</v>
      </c>
      <c r="F1558" s="6">
        <v>6.9872719390644562</v>
      </c>
    </row>
    <row r="1559" spans="1:6">
      <c r="A1559" s="1">
        <v>9125971</v>
      </c>
      <c r="B1559" s="1">
        <v>0.57702583375234939</v>
      </c>
      <c r="C1559" s="1">
        <v>17</v>
      </c>
      <c r="D1559" s="1">
        <v>575</v>
      </c>
      <c r="E1559" s="2">
        <v>43297</v>
      </c>
      <c r="F1559" s="6">
        <v>4.0489317478105225</v>
      </c>
    </row>
    <row r="1560" spans="1:6">
      <c r="A1560" s="1">
        <v>9125974</v>
      </c>
      <c r="B1560" s="1">
        <v>0.11598058943641121</v>
      </c>
      <c r="C1560" s="1">
        <v>6</v>
      </c>
      <c r="D1560" s="1">
        <v>546</v>
      </c>
      <c r="E1560" s="2">
        <v>43166</v>
      </c>
      <c r="F1560" s="6">
        <v>89.829693710190156</v>
      </c>
    </row>
    <row r="1561" spans="1:6">
      <c r="A1561" s="1">
        <v>9125977</v>
      </c>
      <c r="B1561" s="1">
        <v>0.6878434903433106</v>
      </c>
      <c r="C1561" s="1">
        <v>24</v>
      </c>
      <c r="D1561" s="1">
        <v>592</v>
      </c>
      <c r="E1561" s="2">
        <v>43119</v>
      </c>
      <c r="F1561" s="6">
        <v>11.99534523442359</v>
      </c>
    </row>
    <row r="1562" spans="1:6">
      <c r="A1562" s="1">
        <v>9125980</v>
      </c>
      <c r="B1562" s="1">
        <v>0.70890358190252745</v>
      </c>
      <c r="C1562" s="1">
        <v>29</v>
      </c>
      <c r="D1562" s="1">
        <v>83</v>
      </c>
      <c r="E1562" s="2">
        <v>42845</v>
      </c>
      <c r="F1562" s="6">
        <v>46.486956577056127</v>
      </c>
    </row>
    <row r="1563" spans="1:6">
      <c r="A1563" s="1">
        <v>9125983</v>
      </c>
      <c r="B1563" s="1">
        <v>0.95173041968053218</v>
      </c>
      <c r="C1563" s="1">
        <v>61</v>
      </c>
      <c r="D1563" s="1">
        <v>258</v>
      </c>
      <c r="E1563" s="2">
        <v>42992</v>
      </c>
      <c r="F1563" s="6">
        <v>4.7803995939625779</v>
      </c>
    </row>
    <row r="1564" spans="1:6">
      <c r="A1564" s="1">
        <v>9125986</v>
      </c>
      <c r="B1564" s="1">
        <v>0.59520664231745546</v>
      </c>
      <c r="C1564" s="1">
        <v>11</v>
      </c>
      <c r="D1564" s="1">
        <v>510</v>
      </c>
      <c r="E1564" s="2">
        <v>43469</v>
      </c>
      <c r="F1564" s="6">
        <v>40.964011909615174</v>
      </c>
    </row>
    <row r="1565" spans="1:6">
      <c r="A1565" s="1">
        <v>9125989</v>
      </c>
      <c r="B1565" s="1">
        <v>0.78324615072760539</v>
      </c>
      <c r="C1565" s="1">
        <v>29</v>
      </c>
      <c r="D1565" s="1">
        <v>38</v>
      </c>
      <c r="E1565" s="2">
        <v>42786</v>
      </c>
      <c r="F1565" s="6">
        <v>3.7545954145326044</v>
      </c>
    </row>
    <row r="1566" spans="1:6">
      <c r="A1566" s="1">
        <v>9125992</v>
      </c>
      <c r="B1566" s="1">
        <v>0.38767229280275217</v>
      </c>
      <c r="C1566" s="1">
        <v>1</v>
      </c>
      <c r="D1566" s="1">
        <v>417</v>
      </c>
      <c r="E1566" s="2">
        <v>42833</v>
      </c>
      <c r="F1566" s="6">
        <v>22.350585089766781</v>
      </c>
    </row>
    <row r="1567" spans="1:6">
      <c r="A1567" s="1">
        <v>9125995</v>
      </c>
      <c r="B1567" s="1">
        <v>0.99388758808882938</v>
      </c>
      <c r="C1567" s="1">
        <v>66</v>
      </c>
      <c r="D1567" s="1">
        <v>67</v>
      </c>
      <c r="E1567" s="2">
        <v>43116</v>
      </c>
      <c r="F1567" s="6">
        <v>407.61947472297766</v>
      </c>
    </row>
    <row r="1568" spans="1:6">
      <c r="A1568" s="1">
        <v>9125998</v>
      </c>
      <c r="B1568" s="1">
        <v>0.94237988711777754</v>
      </c>
      <c r="C1568" s="1">
        <v>3</v>
      </c>
      <c r="D1568" s="1">
        <v>564</v>
      </c>
      <c r="E1568" s="2">
        <v>43479</v>
      </c>
      <c r="F1568" s="6">
        <v>14.608422366555162</v>
      </c>
    </row>
    <row r="1569" spans="1:6">
      <c r="A1569" s="1">
        <v>9126001</v>
      </c>
      <c r="B1569" s="1">
        <v>0.18409549062555208</v>
      </c>
      <c r="C1569" s="1">
        <v>4</v>
      </c>
      <c r="D1569" s="1">
        <v>146</v>
      </c>
      <c r="E1569" s="2">
        <v>42973</v>
      </c>
      <c r="F1569" s="6">
        <v>113.27634123817505</v>
      </c>
    </row>
    <row r="1570" spans="1:6">
      <c r="A1570" s="1">
        <v>9126004</v>
      </c>
      <c r="B1570" s="1">
        <v>0.66514018910895312</v>
      </c>
      <c r="C1570" s="1">
        <v>11</v>
      </c>
      <c r="D1570" s="1">
        <v>348</v>
      </c>
      <c r="E1570" s="2">
        <v>43061</v>
      </c>
      <c r="F1570" s="6">
        <v>86.479814427572279</v>
      </c>
    </row>
    <row r="1571" spans="1:6">
      <c r="A1571" s="1">
        <v>9126007</v>
      </c>
      <c r="B1571" s="1">
        <v>0.72268169594525511</v>
      </c>
      <c r="C1571" s="1">
        <v>129</v>
      </c>
      <c r="D1571" s="1">
        <v>115</v>
      </c>
      <c r="E1571" s="2">
        <v>43166</v>
      </c>
      <c r="F1571" s="6">
        <v>530.10834132238131</v>
      </c>
    </row>
    <row r="1572" spans="1:6">
      <c r="A1572" s="1">
        <v>9126010</v>
      </c>
      <c r="B1572" s="1">
        <v>0.73566899646020079</v>
      </c>
      <c r="C1572" s="1">
        <v>16</v>
      </c>
      <c r="D1572" s="1">
        <v>302</v>
      </c>
      <c r="E1572" s="2">
        <v>43113</v>
      </c>
      <c r="F1572" s="6">
        <v>191.54867156907608</v>
      </c>
    </row>
    <row r="1573" spans="1:6">
      <c r="A1573" s="1">
        <v>9126013</v>
      </c>
      <c r="B1573" s="1">
        <v>0.63001574591919962</v>
      </c>
      <c r="C1573" s="1">
        <v>27</v>
      </c>
      <c r="D1573" s="1">
        <v>258</v>
      </c>
      <c r="E1573" s="2">
        <v>42914</v>
      </c>
      <c r="F1573" s="6">
        <v>13.817346332260005</v>
      </c>
    </row>
    <row r="1574" spans="1:6">
      <c r="A1574" s="1">
        <v>9126016</v>
      </c>
      <c r="B1574" s="1">
        <v>0.87481331404573115</v>
      </c>
      <c r="C1574" s="1">
        <v>36</v>
      </c>
      <c r="D1574" s="1">
        <v>592</v>
      </c>
      <c r="E1574" s="2">
        <v>43252</v>
      </c>
      <c r="F1574" s="6">
        <v>96.048720057011764</v>
      </c>
    </row>
    <row r="1575" spans="1:6">
      <c r="A1575" s="1">
        <v>9126019</v>
      </c>
      <c r="B1575" s="1">
        <v>0.81140970187918116</v>
      </c>
      <c r="C1575" s="1">
        <v>14</v>
      </c>
      <c r="D1575" s="1">
        <v>359</v>
      </c>
      <c r="E1575" s="2">
        <v>43067</v>
      </c>
      <c r="F1575" s="6">
        <v>4.4628744911737268</v>
      </c>
    </row>
    <row r="1576" spans="1:6">
      <c r="A1576" s="1">
        <v>9126022</v>
      </c>
      <c r="B1576" s="1">
        <v>0.30061519941656523</v>
      </c>
      <c r="C1576" s="1">
        <v>2</v>
      </c>
      <c r="D1576" s="1">
        <v>176</v>
      </c>
      <c r="E1576" s="2">
        <v>43312</v>
      </c>
      <c r="F1576" s="6">
        <v>43.647263681989507</v>
      </c>
    </row>
    <row r="1577" spans="1:6">
      <c r="A1577" s="1">
        <v>9126025</v>
      </c>
      <c r="B1577" s="1">
        <v>0.55446685103034443</v>
      </c>
      <c r="C1577" s="1">
        <v>87</v>
      </c>
      <c r="D1577" s="1">
        <v>564</v>
      </c>
      <c r="E1577" s="2">
        <v>42943</v>
      </c>
      <c r="F1577" s="6">
        <v>11.444209743612729</v>
      </c>
    </row>
    <row r="1578" spans="1:6">
      <c r="A1578" s="1">
        <v>9126028</v>
      </c>
      <c r="B1578" s="1">
        <v>0.26868001383268847</v>
      </c>
      <c r="C1578" s="1">
        <v>4</v>
      </c>
      <c r="D1578" s="1">
        <v>146</v>
      </c>
      <c r="E1578" s="2">
        <v>43366</v>
      </c>
      <c r="F1578" s="6">
        <v>30.689340842661895</v>
      </c>
    </row>
    <row r="1579" spans="1:6">
      <c r="A1579" s="1">
        <v>9126031</v>
      </c>
      <c r="B1579" s="1">
        <v>0.14436309710341644</v>
      </c>
      <c r="C1579" s="1">
        <v>63</v>
      </c>
      <c r="D1579" s="1">
        <v>599</v>
      </c>
      <c r="E1579" s="2">
        <v>42824</v>
      </c>
      <c r="F1579" s="6">
        <v>57.188480714488229</v>
      </c>
    </row>
    <row r="1580" spans="1:6">
      <c r="A1580" s="1">
        <v>9126034</v>
      </c>
      <c r="B1580" s="1">
        <v>0.36307675305733911</v>
      </c>
      <c r="C1580" s="1">
        <v>298</v>
      </c>
      <c r="D1580" s="1">
        <v>120</v>
      </c>
      <c r="E1580" s="2">
        <v>42753</v>
      </c>
      <c r="F1580" s="6">
        <v>48.931315192264407</v>
      </c>
    </row>
    <row r="1581" spans="1:6">
      <c r="A1581" s="1">
        <v>9126037</v>
      </c>
      <c r="B1581" s="1">
        <v>0.60867919187808095</v>
      </c>
      <c r="C1581" s="1">
        <v>13</v>
      </c>
      <c r="D1581" s="1">
        <v>258</v>
      </c>
      <c r="E1581" s="2">
        <v>43320</v>
      </c>
      <c r="F1581" s="6">
        <v>64.040569055275952</v>
      </c>
    </row>
    <row r="1582" spans="1:6">
      <c r="A1582" s="1">
        <v>9126040</v>
      </c>
      <c r="B1582" s="1">
        <v>0.75568815007001899</v>
      </c>
      <c r="C1582" s="1">
        <v>1</v>
      </c>
      <c r="D1582" s="1">
        <v>359</v>
      </c>
      <c r="E1582" s="2">
        <v>43369</v>
      </c>
      <c r="F1582" s="6">
        <v>106.32059413176813</v>
      </c>
    </row>
    <row r="1583" spans="1:6">
      <c r="A1583" s="1">
        <v>9126043</v>
      </c>
      <c r="B1583" s="1">
        <v>0.56154059601657169</v>
      </c>
      <c r="C1583" s="1">
        <v>59</v>
      </c>
      <c r="D1583" s="1">
        <v>266</v>
      </c>
      <c r="E1583" s="2">
        <v>43427</v>
      </c>
      <c r="F1583" s="6">
        <v>19.351134000759028</v>
      </c>
    </row>
    <row r="1584" spans="1:6">
      <c r="A1584" s="1">
        <v>9126046</v>
      </c>
      <c r="B1584" s="1">
        <v>0.84780373972888812</v>
      </c>
      <c r="C1584" s="1">
        <v>3</v>
      </c>
      <c r="D1584" s="1">
        <v>154</v>
      </c>
      <c r="E1584" s="2">
        <v>43242</v>
      </c>
      <c r="F1584" s="6">
        <v>69.337101306689235</v>
      </c>
    </row>
    <row r="1585" spans="1:6">
      <c r="A1585" s="1">
        <v>9126049</v>
      </c>
      <c r="B1585" s="1">
        <v>0.63516083059592854</v>
      </c>
      <c r="C1585" s="1">
        <v>33</v>
      </c>
      <c r="D1585" s="1">
        <v>551</v>
      </c>
      <c r="E1585" s="2">
        <v>43243</v>
      </c>
      <c r="F1585" s="6">
        <v>56.962460363199341</v>
      </c>
    </row>
    <row r="1586" spans="1:6">
      <c r="A1586" s="1">
        <v>9126052</v>
      </c>
      <c r="B1586" s="1">
        <v>0.82176258717593564</v>
      </c>
      <c r="C1586" s="1">
        <v>7</v>
      </c>
      <c r="D1586" s="1">
        <v>427</v>
      </c>
      <c r="E1586" s="2">
        <v>42811</v>
      </c>
      <c r="F1586" s="6">
        <v>75.314011874696831</v>
      </c>
    </row>
    <row r="1587" spans="1:6">
      <c r="A1587" s="1">
        <v>9126055</v>
      </c>
      <c r="B1587" s="1">
        <v>0.65186662577539567</v>
      </c>
      <c r="C1587" s="1">
        <v>3</v>
      </c>
      <c r="D1587" s="1">
        <v>514</v>
      </c>
      <c r="E1587" s="2">
        <v>43229</v>
      </c>
      <c r="F1587" s="6">
        <v>21.367140520649254</v>
      </c>
    </row>
    <row r="1588" spans="1:6">
      <c r="A1588" s="1">
        <v>9126058</v>
      </c>
      <c r="B1588" s="1">
        <v>0.22755874302622447</v>
      </c>
      <c r="C1588" s="1">
        <v>2</v>
      </c>
      <c r="D1588" s="1">
        <v>68</v>
      </c>
      <c r="E1588" s="2">
        <v>43209</v>
      </c>
      <c r="F1588" s="6">
        <v>171.58411180268158</v>
      </c>
    </row>
    <row r="1589" spans="1:6">
      <c r="A1589" s="1">
        <v>9126061</v>
      </c>
      <c r="B1589" s="1">
        <v>0.8821512915118267</v>
      </c>
      <c r="C1589" s="1">
        <v>59</v>
      </c>
      <c r="D1589" s="1">
        <v>564</v>
      </c>
      <c r="E1589" s="2">
        <v>42745</v>
      </c>
      <c r="F1589" s="6">
        <v>265.42106036333752</v>
      </c>
    </row>
    <row r="1590" spans="1:6">
      <c r="A1590" s="1">
        <v>9126064</v>
      </c>
      <c r="B1590" s="1">
        <v>0.85043835543879576</v>
      </c>
      <c r="C1590" s="1">
        <v>10</v>
      </c>
      <c r="D1590" s="1">
        <v>90</v>
      </c>
      <c r="E1590" s="2">
        <v>43307</v>
      </c>
      <c r="F1590" s="6">
        <v>38.579310620460497</v>
      </c>
    </row>
    <row r="1591" spans="1:6">
      <c r="A1591" s="1">
        <v>9126067</v>
      </c>
      <c r="B1591" s="1">
        <v>0.7984798393886734</v>
      </c>
      <c r="C1591" s="1">
        <v>12</v>
      </c>
      <c r="D1591" s="1">
        <v>597</v>
      </c>
      <c r="E1591" s="2">
        <v>42796</v>
      </c>
      <c r="F1591" s="6">
        <v>14.773962934701624</v>
      </c>
    </row>
    <row r="1592" spans="1:6">
      <c r="A1592" s="1">
        <v>9126070</v>
      </c>
      <c r="B1592" s="1">
        <v>0.21974127762636386</v>
      </c>
      <c r="C1592" s="1">
        <v>12</v>
      </c>
      <c r="D1592" s="1">
        <v>564</v>
      </c>
      <c r="E1592" s="2">
        <v>43403</v>
      </c>
      <c r="F1592" s="6">
        <v>28.459472230455209</v>
      </c>
    </row>
    <row r="1593" spans="1:6">
      <c r="A1593" s="1">
        <v>9126073</v>
      </c>
      <c r="B1593" s="1">
        <v>0.7779173524523405</v>
      </c>
      <c r="C1593" s="1">
        <v>61</v>
      </c>
      <c r="D1593" s="1">
        <v>548</v>
      </c>
      <c r="E1593" s="2">
        <v>43219</v>
      </c>
      <c r="F1593" s="6">
        <v>3.0160572155715371</v>
      </c>
    </row>
    <row r="1594" spans="1:6">
      <c r="A1594" s="1">
        <v>9126076</v>
      </c>
      <c r="B1594" s="1">
        <v>0.20274514801349397</v>
      </c>
      <c r="C1594" s="1">
        <v>20</v>
      </c>
      <c r="D1594" s="1">
        <v>293</v>
      </c>
      <c r="E1594" s="2">
        <v>42907</v>
      </c>
      <c r="F1594" s="6">
        <v>3.378373188288772</v>
      </c>
    </row>
    <row r="1595" spans="1:6">
      <c r="A1595" s="1">
        <v>9126079</v>
      </c>
      <c r="B1595" s="1">
        <v>0.41072571223775001</v>
      </c>
      <c r="C1595" s="1">
        <v>5</v>
      </c>
      <c r="D1595" s="1">
        <v>235</v>
      </c>
      <c r="E1595" s="2">
        <v>42828</v>
      </c>
      <c r="F1595" s="6">
        <v>103.51563114594468</v>
      </c>
    </row>
    <row r="1596" spans="1:6">
      <c r="A1596" s="1">
        <v>9126082</v>
      </c>
      <c r="B1596" s="1">
        <v>0.27031804000030957</v>
      </c>
      <c r="C1596" s="1">
        <v>1</v>
      </c>
      <c r="D1596" s="1">
        <v>149</v>
      </c>
      <c r="E1596" s="2">
        <v>42946</v>
      </c>
      <c r="F1596" s="6">
        <v>16.190843143449754</v>
      </c>
    </row>
    <row r="1597" spans="1:6">
      <c r="A1597" s="1">
        <v>9126085</v>
      </c>
      <c r="B1597" s="1">
        <v>0.83528008759743877</v>
      </c>
      <c r="C1597" s="1">
        <v>7</v>
      </c>
      <c r="D1597" s="1">
        <v>258</v>
      </c>
      <c r="E1597" s="2">
        <v>42810</v>
      </c>
      <c r="F1597" s="6">
        <v>29.174550616732251</v>
      </c>
    </row>
    <row r="1598" spans="1:6">
      <c r="A1598" s="1">
        <v>9126088</v>
      </c>
      <c r="B1598" s="1">
        <v>0.90393249453821189</v>
      </c>
      <c r="C1598" s="1">
        <v>143</v>
      </c>
      <c r="D1598" s="1">
        <v>88</v>
      </c>
      <c r="E1598" s="2">
        <v>42927</v>
      </c>
      <c r="F1598" s="6">
        <v>77.446898688736923</v>
      </c>
    </row>
    <row r="1599" spans="1:6">
      <c r="A1599" s="1">
        <v>9126091</v>
      </c>
      <c r="B1599" s="1">
        <v>0.32337037369718491</v>
      </c>
      <c r="C1599" s="1">
        <v>58</v>
      </c>
      <c r="D1599" s="1">
        <v>75</v>
      </c>
      <c r="E1599" s="2">
        <v>43056</v>
      </c>
      <c r="F1599" s="6">
        <v>13.364325108892091</v>
      </c>
    </row>
    <row r="1600" spans="1:6">
      <c r="A1600" s="1">
        <v>9126094</v>
      </c>
      <c r="B1600" s="1">
        <v>0.71246908425149313</v>
      </c>
      <c r="C1600" s="1">
        <v>82</v>
      </c>
      <c r="D1600" s="1">
        <v>544</v>
      </c>
      <c r="E1600" s="2">
        <v>43159</v>
      </c>
      <c r="F1600" s="6">
        <v>7.5116413415832533</v>
      </c>
    </row>
    <row r="1601" spans="1:6">
      <c r="A1601" s="1">
        <v>9126097</v>
      </c>
      <c r="B1601" s="1">
        <v>0.36929360136177125</v>
      </c>
      <c r="C1601" s="1">
        <v>11</v>
      </c>
      <c r="D1601" s="1">
        <v>502</v>
      </c>
      <c r="E1601" s="2">
        <v>43422</v>
      </c>
      <c r="F1601" s="6">
        <v>17.878954082309381</v>
      </c>
    </row>
    <row r="1602" spans="1:6">
      <c r="A1602" s="1">
        <v>9126100</v>
      </c>
      <c r="B1602" s="1">
        <v>0.37137224356199583</v>
      </c>
      <c r="C1602" s="1">
        <v>18</v>
      </c>
      <c r="D1602" s="1">
        <v>564</v>
      </c>
      <c r="E1602" s="2">
        <v>42950</v>
      </c>
      <c r="F1602" s="6">
        <v>173.89838227366471</v>
      </c>
    </row>
    <row r="1603" spans="1:6">
      <c r="A1603" s="1">
        <v>9126103</v>
      </c>
      <c r="B1603" s="1">
        <v>0.34119581017560729</v>
      </c>
      <c r="C1603" s="1">
        <v>40</v>
      </c>
      <c r="D1603" s="1">
        <v>258</v>
      </c>
      <c r="E1603" s="2">
        <v>42792</v>
      </c>
      <c r="F1603" s="6">
        <v>46.419211686380173</v>
      </c>
    </row>
    <row r="1604" spans="1:6">
      <c r="A1604" s="1">
        <v>9126106</v>
      </c>
      <c r="B1604" s="1">
        <v>0.60772536976480118</v>
      </c>
      <c r="C1604" s="1">
        <v>31</v>
      </c>
      <c r="D1604" s="1">
        <v>541</v>
      </c>
      <c r="E1604" s="2">
        <v>43322</v>
      </c>
      <c r="F1604" s="6">
        <v>9.5912429015248932</v>
      </c>
    </row>
    <row r="1605" spans="1:6">
      <c r="A1605" s="1">
        <v>9126109</v>
      </c>
      <c r="B1605" s="1">
        <v>0.32755839586132818</v>
      </c>
      <c r="C1605" s="1">
        <v>30</v>
      </c>
      <c r="D1605" s="1">
        <v>116</v>
      </c>
      <c r="E1605" s="2">
        <v>43061</v>
      </c>
      <c r="F1605" s="6">
        <v>14.549453239056625</v>
      </c>
    </row>
    <row r="1606" spans="1:6">
      <c r="A1606" s="1">
        <v>9126112</v>
      </c>
      <c r="B1606" s="1">
        <v>0.40476299989279241</v>
      </c>
      <c r="C1606" s="1">
        <v>36</v>
      </c>
      <c r="D1606" s="1">
        <v>177</v>
      </c>
      <c r="E1606" s="2">
        <v>42794</v>
      </c>
      <c r="F1606" s="6">
        <v>125.24534946461559</v>
      </c>
    </row>
    <row r="1607" spans="1:6">
      <c r="A1607" s="1">
        <v>9126115</v>
      </c>
      <c r="B1607" s="1">
        <v>0.99033167753024876</v>
      </c>
      <c r="C1607" s="1">
        <v>76</v>
      </c>
      <c r="D1607" s="1">
        <v>420</v>
      </c>
      <c r="E1607" s="2">
        <v>43485</v>
      </c>
      <c r="F1607" s="6">
        <v>24.724024437989449</v>
      </c>
    </row>
    <row r="1608" spans="1:6">
      <c r="A1608" s="1">
        <v>9126118</v>
      </c>
      <c r="B1608" s="1">
        <v>0.74671223068894865</v>
      </c>
      <c r="C1608" s="1">
        <v>1</v>
      </c>
      <c r="D1608" s="1">
        <v>458</v>
      </c>
      <c r="E1608" s="2">
        <v>42861</v>
      </c>
      <c r="F1608" s="6">
        <v>128.82961426925772</v>
      </c>
    </row>
    <row r="1609" spans="1:6">
      <c r="A1609" s="1">
        <v>9126121</v>
      </c>
      <c r="B1609" s="1">
        <v>0.20121719487700773</v>
      </c>
      <c r="C1609" s="1">
        <v>204</v>
      </c>
      <c r="D1609" s="1">
        <v>90</v>
      </c>
      <c r="E1609" s="2">
        <v>42952</v>
      </c>
      <c r="F1609" s="6">
        <v>86.845132256944083</v>
      </c>
    </row>
    <row r="1610" spans="1:6">
      <c r="A1610" s="1">
        <v>9126124</v>
      </c>
      <c r="B1610" s="1">
        <v>0.63570446820502069</v>
      </c>
      <c r="C1610" s="1">
        <v>7</v>
      </c>
      <c r="D1610" s="1">
        <v>176</v>
      </c>
      <c r="E1610" s="2">
        <v>43427</v>
      </c>
      <c r="F1610" s="6">
        <v>14.067755668025979</v>
      </c>
    </row>
    <row r="1611" spans="1:6">
      <c r="A1611" s="1">
        <v>9126127</v>
      </c>
      <c r="B1611" s="1">
        <v>0.64305195847321572</v>
      </c>
      <c r="C1611" s="1">
        <v>5</v>
      </c>
      <c r="D1611" s="1">
        <v>258</v>
      </c>
      <c r="E1611" s="2">
        <v>43222</v>
      </c>
      <c r="F1611" s="6">
        <v>203.77459902424155</v>
      </c>
    </row>
    <row r="1612" spans="1:6">
      <c r="A1612" s="1">
        <v>9126130</v>
      </c>
      <c r="B1612" s="1">
        <v>0.39953904795419848</v>
      </c>
      <c r="C1612" s="1">
        <v>39</v>
      </c>
      <c r="D1612" s="1">
        <v>272</v>
      </c>
      <c r="E1612" s="2">
        <v>43359</v>
      </c>
      <c r="F1612" s="6">
        <v>39.086933220865312</v>
      </c>
    </row>
    <row r="1613" spans="1:6">
      <c r="A1613" s="1">
        <v>9126133</v>
      </c>
      <c r="B1613" s="1">
        <v>0.77304746319444873</v>
      </c>
      <c r="C1613" s="1">
        <v>32</v>
      </c>
      <c r="D1613" s="1">
        <v>176</v>
      </c>
      <c r="E1613" s="2">
        <v>43308</v>
      </c>
      <c r="F1613" s="6">
        <v>42.6910904494231</v>
      </c>
    </row>
    <row r="1614" spans="1:6">
      <c r="A1614" s="1">
        <v>9126136</v>
      </c>
      <c r="B1614" s="1">
        <v>0.62013155936189124</v>
      </c>
      <c r="C1614" s="1">
        <v>84</v>
      </c>
      <c r="D1614" s="1">
        <v>263</v>
      </c>
      <c r="E1614" s="2">
        <v>43325</v>
      </c>
      <c r="F1614" s="6">
        <v>38.355722300970577</v>
      </c>
    </row>
    <row r="1615" spans="1:6">
      <c r="A1615" s="1">
        <v>9126139</v>
      </c>
      <c r="B1615" s="1">
        <v>0.90809653992208672</v>
      </c>
      <c r="C1615" s="1">
        <v>171</v>
      </c>
      <c r="D1615" s="1">
        <v>195</v>
      </c>
      <c r="E1615" s="2">
        <v>43022</v>
      </c>
      <c r="F1615" s="6">
        <v>11.815434194430932</v>
      </c>
    </row>
    <row r="1616" spans="1:6">
      <c r="A1616" s="1">
        <v>9126142</v>
      </c>
      <c r="B1616" s="1">
        <v>0.90585465940751986</v>
      </c>
      <c r="C1616" s="1">
        <v>3</v>
      </c>
      <c r="D1616" s="1">
        <v>115</v>
      </c>
      <c r="E1616" s="2">
        <v>43309</v>
      </c>
      <c r="F1616" s="6">
        <v>4.413518383471529</v>
      </c>
    </row>
    <row r="1617" spans="1:6">
      <c r="A1617" s="1">
        <v>9126145</v>
      </c>
      <c r="B1617" s="1">
        <v>1.139083599393409E-2</v>
      </c>
      <c r="C1617" s="1">
        <v>11</v>
      </c>
      <c r="D1617" s="1">
        <v>597</v>
      </c>
      <c r="E1617" s="2">
        <v>43474</v>
      </c>
      <c r="F1617" s="6">
        <v>143.18788814610494</v>
      </c>
    </row>
    <row r="1618" spans="1:6">
      <c r="A1618" s="1">
        <v>9126148</v>
      </c>
      <c r="B1618" s="1">
        <v>0.88820965633478222</v>
      </c>
      <c r="C1618" s="1">
        <v>43</v>
      </c>
      <c r="D1618" s="1">
        <v>235</v>
      </c>
      <c r="E1618" s="2">
        <v>43164</v>
      </c>
      <c r="F1618" s="6">
        <v>198.47995170941635</v>
      </c>
    </row>
    <row r="1619" spans="1:6">
      <c r="A1619" s="1">
        <v>9126151</v>
      </c>
      <c r="B1619" s="1">
        <v>0.37283803332811372</v>
      </c>
      <c r="C1619" s="1">
        <v>100</v>
      </c>
      <c r="D1619" s="1">
        <v>471</v>
      </c>
      <c r="E1619" s="2">
        <v>43181</v>
      </c>
      <c r="F1619" s="6">
        <v>19.135971433941208</v>
      </c>
    </row>
    <row r="1620" spans="1:6">
      <c r="A1620" s="1">
        <v>9126154</v>
      </c>
      <c r="B1620" s="1">
        <v>0.40346485756563588</v>
      </c>
      <c r="C1620" s="1">
        <v>3</v>
      </c>
      <c r="D1620" s="1">
        <v>510</v>
      </c>
      <c r="E1620" s="2">
        <v>43002</v>
      </c>
      <c r="F1620" s="6">
        <v>44.588193546472844</v>
      </c>
    </row>
    <row r="1621" spans="1:6">
      <c r="A1621" s="1">
        <v>9126157</v>
      </c>
      <c r="B1621" s="1">
        <v>0.5791874540979689</v>
      </c>
      <c r="C1621" s="1">
        <v>55</v>
      </c>
      <c r="D1621" s="1">
        <v>22</v>
      </c>
      <c r="E1621" s="2">
        <v>43152</v>
      </c>
      <c r="F1621" s="6">
        <v>4.10150612563592</v>
      </c>
    </row>
    <row r="1622" spans="1:6">
      <c r="A1622" s="1">
        <v>9126160</v>
      </c>
      <c r="B1622" s="1">
        <v>0.13403055896172777</v>
      </c>
      <c r="C1622" s="1">
        <v>121</v>
      </c>
      <c r="D1622" s="1">
        <v>245</v>
      </c>
      <c r="E1622" s="2">
        <v>43179</v>
      </c>
      <c r="F1622" s="6">
        <v>131.42006203259859</v>
      </c>
    </row>
    <row r="1623" spans="1:6">
      <c r="A1623" s="1">
        <v>9126163</v>
      </c>
      <c r="B1623" s="1">
        <v>0.96574656514910884</v>
      </c>
      <c r="C1623" s="1">
        <v>1</v>
      </c>
      <c r="D1623" s="1">
        <v>202</v>
      </c>
      <c r="E1623" s="2">
        <v>43395</v>
      </c>
      <c r="F1623" s="6">
        <v>15.409596317703327</v>
      </c>
    </row>
    <row r="1624" spans="1:6">
      <c r="A1624" s="1">
        <v>9126166</v>
      </c>
      <c r="B1624" s="1">
        <v>0.21019362988606882</v>
      </c>
      <c r="C1624" s="1">
        <v>30</v>
      </c>
      <c r="D1624" s="1">
        <v>78</v>
      </c>
      <c r="E1624" s="2">
        <v>42778</v>
      </c>
      <c r="F1624" s="6">
        <v>92.842208324719422</v>
      </c>
    </row>
    <row r="1625" spans="1:6">
      <c r="A1625" s="1">
        <v>9126169</v>
      </c>
      <c r="B1625" s="1">
        <v>0.82586825725661894</v>
      </c>
      <c r="C1625" s="1">
        <v>53</v>
      </c>
      <c r="D1625" s="1">
        <v>343</v>
      </c>
      <c r="E1625" s="2">
        <v>42880</v>
      </c>
      <c r="F1625" s="6">
        <v>27.334444524725136</v>
      </c>
    </row>
    <row r="1626" spans="1:6">
      <c r="A1626" s="1">
        <v>9126172</v>
      </c>
      <c r="B1626" s="1">
        <v>0.58525932526753865</v>
      </c>
      <c r="C1626" s="1">
        <v>63</v>
      </c>
      <c r="D1626" s="1">
        <v>493</v>
      </c>
      <c r="E1626" s="2">
        <v>43434</v>
      </c>
      <c r="F1626" s="6">
        <v>114.88202080946685</v>
      </c>
    </row>
    <row r="1627" spans="1:6">
      <c r="A1627" s="1">
        <v>9126175</v>
      </c>
      <c r="B1627" s="1">
        <v>0.97958486395801136</v>
      </c>
      <c r="C1627" s="1">
        <v>196</v>
      </c>
      <c r="D1627" s="1">
        <v>235</v>
      </c>
      <c r="E1627" s="2">
        <v>43379</v>
      </c>
      <c r="F1627" s="6">
        <v>3.3013034878704568</v>
      </c>
    </row>
    <row r="1628" spans="1:6">
      <c r="A1628" s="1">
        <v>9126178</v>
      </c>
      <c r="B1628" s="1">
        <v>0.91292381749374618</v>
      </c>
      <c r="C1628" s="1">
        <v>2</v>
      </c>
      <c r="D1628" s="1">
        <v>103</v>
      </c>
      <c r="E1628" s="2">
        <v>42868</v>
      </c>
      <c r="F1628" s="6">
        <v>160.11257048500678</v>
      </c>
    </row>
    <row r="1629" spans="1:6">
      <c r="A1629" s="1">
        <v>9126181</v>
      </c>
      <c r="B1629" s="1">
        <v>0.9369232586493611</v>
      </c>
      <c r="C1629" s="1">
        <v>31</v>
      </c>
      <c r="D1629" s="1">
        <v>359</v>
      </c>
      <c r="E1629" s="2">
        <v>43324</v>
      </c>
      <c r="F1629" s="6">
        <v>45.374228073655573</v>
      </c>
    </row>
    <row r="1630" spans="1:6">
      <c r="A1630" s="1">
        <v>9126184</v>
      </c>
      <c r="B1630" s="1">
        <v>0.8765314431980411</v>
      </c>
      <c r="C1630" s="1">
        <v>71</v>
      </c>
      <c r="D1630" s="1">
        <v>289</v>
      </c>
      <c r="E1630" s="2">
        <v>42805</v>
      </c>
      <c r="F1630" s="6">
        <v>10.162174164255896</v>
      </c>
    </row>
    <row r="1631" spans="1:6">
      <c r="A1631" s="1">
        <v>9126187</v>
      </c>
      <c r="B1631" s="1">
        <v>0.7135030514512356</v>
      </c>
      <c r="C1631" s="1">
        <v>1</v>
      </c>
      <c r="D1631" s="1">
        <v>492</v>
      </c>
      <c r="E1631" s="2">
        <v>43347</v>
      </c>
      <c r="F1631" s="6">
        <v>44.560937387229352</v>
      </c>
    </row>
    <row r="1632" spans="1:6">
      <c r="A1632" s="1">
        <v>9126190</v>
      </c>
      <c r="B1632" s="1">
        <v>0.9725924968528451</v>
      </c>
      <c r="C1632" s="1">
        <v>36</v>
      </c>
      <c r="D1632" s="1">
        <v>176</v>
      </c>
      <c r="E1632" s="2">
        <v>43245</v>
      </c>
      <c r="F1632" s="6">
        <v>67.605691137786195</v>
      </c>
    </row>
    <row r="1633" spans="1:6">
      <c r="A1633" s="1">
        <v>9126193</v>
      </c>
      <c r="B1633" s="1">
        <v>0.48778001953647687</v>
      </c>
      <c r="C1633" s="1">
        <v>41</v>
      </c>
      <c r="D1633" s="1">
        <v>394</v>
      </c>
      <c r="E1633" s="2">
        <v>42830</v>
      </c>
      <c r="F1633" s="6">
        <v>64.192704008415831</v>
      </c>
    </row>
    <row r="1634" spans="1:6">
      <c r="A1634" s="1">
        <v>9126196</v>
      </c>
      <c r="B1634" s="1">
        <v>0.15280382490579592</v>
      </c>
      <c r="C1634" s="1">
        <v>50</v>
      </c>
      <c r="D1634" s="1">
        <v>430</v>
      </c>
      <c r="E1634" s="2">
        <v>43159</v>
      </c>
      <c r="F1634" s="6">
        <v>37.651469977849267</v>
      </c>
    </row>
    <row r="1635" spans="1:6">
      <c r="A1635" s="1">
        <v>9126199</v>
      </c>
      <c r="B1635" s="1">
        <v>0.33069653833237322</v>
      </c>
      <c r="C1635" s="1">
        <v>3</v>
      </c>
      <c r="D1635" s="1">
        <v>340</v>
      </c>
      <c r="E1635" s="2">
        <v>43285</v>
      </c>
      <c r="F1635" s="6">
        <v>126.06303337747208</v>
      </c>
    </row>
    <row r="1636" spans="1:6">
      <c r="A1636" s="1">
        <v>9126202</v>
      </c>
      <c r="B1636" s="1">
        <v>0.44427016478673176</v>
      </c>
      <c r="C1636" s="1">
        <v>15</v>
      </c>
      <c r="D1636" s="1">
        <v>510</v>
      </c>
      <c r="E1636" s="2">
        <v>42762</v>
      </c>
      <c r="F1636" s="6">
        <v>36.586437202558734</v>
      </c>
    </row>
    <row r="1637" spans="1:6">
      <c r="A1637" s="1">
        <v>9126205</v>
      </c>
      <c r="B1637" s="1">
        <v>0.1203179710190333</v>
      </c>
      <c r="C1637" s="1">
        <v>11</v>
      </c>
      <c r="D1637" s="1">
        <v>460</v>
      </c>
      <c r="E1637" s="2">
        <v>42838</v>
      </c>
      <c r="F1637" s="6">
        <v>252.45667975822025</v>
      </c>
    </row>
    <row r="1638" spans="1:6">
      <c r="A1638" s="1">
        <v>9126208</v>
      </c>
      <c r="B1638" s="1">
        <v>0.76473165477228011</v>
      </c>
      <c r="C1638" s="1">
        <v>4</v>
      </c>
      <c r="D1638" s="1">
        <v>88</v>
      </c>
      <c r="E1638" s="2">
        <v>42789</v>
      </c>
      <c r="F1638" s="6">
        <v>117.98965540285305</v>
      </c>
    </row>
    <row r="1639" spans="1:6">
      <c r="A1639" s="1">
        <v>9126211</v>
      </c>
      <c r="B1639" s="1">
        <v>0.54089426527588003</v>
      </c>
      <c r="C1639" s="1">
        <v>10</v>
      </c>
      <c r="D1639" s="1">
        <v>176</v>
      </c>
      <c r="E1639" s="2">
        <v>43203</v>
      </c>
      <c r="F1639" s="6">
        <v>15.085676512055478</v>
      </c>
    </row>
    <row r="1640" spans="1:6">
      <c r="A1640" s="1">
        <v>9126214</v>
      </c>
      <c r="B1640" s="1">
        <v>0.4701766569814505</v>
      </c>
      <c r="C1640" s="1">
        <v>10</v>
      </c>
      <c r="D1640" s="1">
        <v>564</v>
      </c>
      <c r="E1640" s="2">
        <v>43329</v>
      </c>
      <c r="F1640" s="6">
        <v>31.784985836783257</v>
      </c>
    </row>
    <row r="1641" spans="1:6">
      <c r="A1641" s="1">
        <v>9126217</v>
      </c>
      <c r="B1641" s="1">
        <v>0.22734284767264346</v>
      </c>
      <c r="C1641" s="1">
        <v>23</v>
      </c>
      <c r="D1641" s="1">
        <v>289</v>
      </c>
      <c r="E1641" s="2">
        <v>42984</v>
      </c>
      <c r="F1641" s="6">
        <v>3.3896315146031735</v>
      </c>
    </row>
    <row r="1642" spans="1:6">
      <c r="A1642" s="1">
        <v>9126220</v>
      </c>
      <c r="B1642" s="1">
        <v>0.19939776415209254</v>
      </c>
      <c r="C1642" s="1">
        <v>191</v>
      </c>
      <c r="D1642" s="1">
        <v>366</v>
      </c>
      <c r="E1642" s="2">
        <v>43223</v>
      </c>
      <c r="F1642" s="6">
        <v>164.68368336905229</v>
      </c>
    </row>
    <row r="1643" spans="1:6">
      <c r="A1643" s="1">
        <v>9126223</v>
      </c>
      <c r="B1643" s="1">
        <v>0.99802605317899962</v>
      </c>
      <c r="C1643" s="1">
        <v>8</v>
      </c>
      <c r="D1643" s="1">
        <v>176</v>
      </c>
      <c r="E1643" s="2">
        <v>42942</v>
      </c>
      <c r="F1643" s="6">
        <v>329.84058005731669</v>
      </c>
    </row>
    <row r="1644" spans="1:6">
      <c r="A1644" s="1">
        <v>9126226</v>
      </c>
      <c r="B1644" s="1">
        <v>0.97987360034441218</v>
      </c>
      <c r="C1644" s="1">
        <v>2</v>
      </c>
      <c r="D1644" s="1">
        <v>248</v>
      </c>
      <c r="E1644" s="2">
        <v>42758</v>
      </c>
      <c r="F1644" s="6">
        <v>6.8644840667608182</v>
      </c>
    </row>
    <row r="1645" spans="1:6">
      <c r="A1645" s="1">
        <v>9126229</v>
      </c>
      <c r="B1645" s="1">
        <v>0.60205640839382979</v>
      </c>
      <c r="C1645" s="1">
        <v>7</v>
      </c>
      <c r="D1645" s="1">
        <v>319</v>
      </c>
      <c r="E1645" s="2">
        <v>42891</v>
      </c>
      <c r="F1645" s="6">
        <v>39.010324752016011</v>
      </c>
    </row>
    <row r="1646" spans="1:6">
      <c r="A1646" s="1">
        <v>9126232</v>
      </c>
      <c r="B1646" s="1">
        <v>0.41125737311199928</v>
      </c>
      <c r="C1646" s="1">
        <v>30</v>
      </c>
      <c r="D1646" s="1">
        <v>326</v>
      </c>
      <c r="E1646" s="2">
        <v>43302</v>
      </c>
      <c r="F1646" s="6">
        <v>152.0529944488172</v>
      </c>
    </row>
    <row r="1647" spans="1:6">
      <c r="A1647" s="1">
        <v>9126235</v>
      </c>
      <c r="B1647" s="1">
        <v>0.60926557466150177</v>
      </c>
      <c r="C1647" s="1">
        <v>70</v>
      </c>
      <c r="D1647" s="1">
        <v>578</v>
      </c>
      <c r="E1647" s="2">
        <v>43243</v>
      </c>
      <c r="F1647" s="6">
        <v>3.8813223949733962</v>
      </c>
    </row>
    <row r="1648" spans="1:6">
      <c r="A1648" s="1">
        <v>9126238</v>
      </c>
      <c r="B1648" s="1">
        <v>0.2862414170874874</v>
      </c>
      <c r="C1648" s="1">
        <v>33</v>
      </c>
      <c r="D1648" s="1">
        <v>526</v>
      </c>
      <c r="E1648" s="2">
        <v>43446</v>
      </c>
      <c r="F1648" s="6">
        <v>149.13496235179457</v>
      </c>
    </row>
    <row r="1649" spans="1:6">
      <c r="A1649" s="1">
        <v>9126241</v>
      </c>
      <c r="B1649" s="1">
        <v>0.78172090419656082</v>
      </c>
      <c r="C1649" s="1">
        <v>109</v>
      </c>
      <c r="D1649" s="1">
        <v>149</v>
      </c>
      <c r="E1649" s="2">
        <v>43242</v>
      </c>
      <c r="F1649" s="6">
        <v>46.546466693021102</v>
      </c>
    </row>
    <row r="1650" spans="1:6">
      <c r="A1650" s="1">
        <v>9126244</v>
      </c>
      <c r="B1650" s="1">
        <v>0.52445001868797203</v>
      </c>
      <c r="C1650" s="1">
        <v>10</v>
      </c>
      <c r="D1650" s="1">
        <v>221</v>
      </c>
      <c r="E1650" s="2">
        <v>42878</v>
      </c>
      <c r="F1650" s="6">
        <v>80.707636057382459</v>
      </c>
    </row>
    <row r="1651" spans="1:6">
      <c r="A1651" s="1">
        <v>9126247</v>
      </c>
      <c r="B1651" s="1">
        <v>0.31804226573664041</v>
      </c>
      <c r="C1651" s="1">
        <v>110</v>
      </c>
      <c r="D1651" s="1">
        <v>510</v>
      </c>
      <c r="E1651" s="2">
        <v>43476</v>
      </c>
      <c r="F1651" s="6">
        <v>38.973251846376073</v>
      </c>
    </row>
    <row r="1652" spans="1:6">
      <c r="A1652" s="1">
        <v>9126250</v>
      </c>
      <c r="B1652" s="1">
        <v>0.7802833721437612</v>
      </c>
      <c r="C1652" s="1">
        <v>280</v>
      </c>
      <c r="D1652" s="1">
        <v>348</v>
      </c>
      <c r="E1652" s="2">
        <v>42752</v>
      </c>
      <c r="F1652" s="6">
        <v>110.33536360257277</v>
      </c>
    </row>
    <row r="1653" spans="1:6">
      <c r="A1653" s="1">
        <v>9126253</v>
      </c>
      <c r="B1653" s="1">
        <v>0.71531191583715192</v>
      </c>
      <c r="C1653" s="1">
        <v>12</v>
      </c>
      <c r="D1653" s="1">
        <v>126</v>
      </c>
      <c r="E1653" s="2">
        <v>43051</v>
      </c>
      <c r="F1653" s="6">
        <v>40.076876999099795</v>
      </c>
    </row>
    <row r="1654" spans="1:6">
      <c r="A1654" s="1">
        <v>9126256</v>
      </c>
      <c r="B1654" s="1">
        <v>0.7441674036845024</v>
      </c>
      <c r="C1654" s="1">
        <v>3</v>
      </c>
      <c r="D1654" s="1">
        <v>38</v>
      </c>
      <c r="E1654" s="2">
        <v>42991</v>
      </c>
      <c r="F1654" s="6">
        <v>55.970664914949772</v>
      </c>
    </row>
    <row r="1655" spans="1:6">
      <c r="A1655" s="1">
        <v>9126259</v>
      </c>
      <c r="B1655" s="1">
        <v>0.37329343133032256</v>
      </c>
      <c r="C1655" s="1">
        <v>74</v>
      </c>
      <c r="D1655" s="1">
        <v>599</v>
      </c>
      <c r="E1655" s="2">
        <v>42993</v>
      </c>
      <c r="F1655" s="6">
        <v>3.8156657587399581</v>
      </c>
    </row>
    <row r="1656" spans="1:6">
      <c r="A1656" s="1">
        <v>9126262</v>
      </c>
      <c r="B1656" s="1">
        <v>0.38052146206894966</v>
      </c>
      <c r="C1656" s="1">
        <v>58</v>
      </c>
      <c r="D1656" s="1">
        <v>544</v>
      </c>
      <c r="E1656" s="2">
        <v>42782</v>
      </c>
      <c r="F1656" s="6">
        <v>11.913452935880525</v>
      </c>
    </row>
    <row r="1657" spans="1:6">
      <c r="A1657" s="1">
        <v>9126265</v>
      </c>
      <c r="B1657" s="1">
        <v>0.24581943327326128</v>
      </c>
      <c r="C1657" s="1">
        <v>1</v>
      </c>
      <c r="D1657" s="1">
        <v>176</v>
      </c>
      <c r="E1657" s="2">
        <v>42886</v>
      </c>
      <c r="F1657" s="6">
        <v>3.5172716507354544</v>
      </c>
    </row>
    <row r="1658" spans="1:6">
      <c r="A1658" s="1">
        <v>9126268</v>
      </c>
      <c r="B1658" s="1">
        <v>0.48068773676399412</v>
      </c>
      <c r="C1658" s="1">
        <v>2</v>
      </c>
      <c r="D1658" s="1">
        <v>141</v>
      </c>
      <c r="E1658" s="2">
        <v>43347</v>
      </c>
      <c r="F1658" s="6">
        <v>22.336572370040489</v>
      </c>
    </row>
    <row r="1659" spans="1:6">
      <c r="A1659" s="1">
        <v>9126271</v>
      </c>
      <c r="B1659" s="1">
        <v>0.31742869755724323</v>
      </c>
      <c r="C1659" s="1">
        <v>10</v>
      </c>
      <c r="D1659" s="1">
        <v>510</v>
      </c>
      <c r="E1659" s="2">
        <v>42798</v>
      </c>
      <c r="F1659" s="6">
        <v>260.89216390096755</v>
      </c>
    </row>
    <row r="1660" spans="1:6">
      <c r="A1660" s="1">
        <v>9126274</v>
      </c>
      <c r="B1660" s="1">
        <v>0.87174533425294232</v>
      </c>
      <c r="C1660" s="1">
        <v>49</v>
      </c>
      <c r="D1660" s="1">
        <v>169</v>
      </c>
      <c r="E1660" s="2">
        <v>43100</v>
      </c>
      <c r="F1660" s="6">
        <v>58.09522659815174</v>
      </c>
    </row>
    <row r="1661" spans="1:6">
      <c r="A1661" s="1">
        <v>9126277</v>
      </c>
      <c r="B1661" s="1">
        <v>0.38626239961084452</v>
      </c>
      <c r="C1661" s="1">
        <v>40</v>
      </c>
      <c r="D1661" s="1">
        <v>115</v>
      </c>
      <c r="E1661" s="2">
        <v>43337</v>
      </c>
      <c r="F1661" s="6">
        <v>132.44474265314614</v>
      </c>
    </row>
    <row r="1662" spans="1:6">
      <c r="A1662" s="1">
        <v>9126280</v>
      </c>
      <c r="B1662" s="1">
        <v>0.45734698283702369</v>
      </c>
      <c r="C1662" s="1">
        <v>336</v>
      </c>
      <c r="D1662" s="1">
        <v>182</v>
      </c>
      <c r="E1662" s="2">
        <v>42854</v>
      </c>
      <c r="F1662" s="6">
        <v>49.224550917410191</v>
      </c>
    </row>
    <row r="1663" spans="1:6">
      <c r="A1663" s="1">
        <v>9126283</v>
      </c>
      <c r="B1663" s="1">
        <v>0.6509818484297708</v>
      </c>
      <c r="C1663" s="1">
        <v>27</v>
      </c>
      <c r="D1663" s="1">
        <v>429</v>
      </c>
      <c r="E1663" s="2">
        <v>42751</v>
      </c>
      <c r="F1663" s="6">
        <v>9.5140367770143097</v>
      </c>
    </row>
    <row r="1664" spans="1:6">
      <c r="A1664" s="1">
        <v>9126286</v>
      </c>
      <c r="B1664" s="1">
        <v>0.42316510565460363</v>
      </c>
      <c r="C1664" s="1">
        <v>21</v>
      </c>
      <c r="D1664" s="1">
        <v>128</v>
      </c>
      <c r="E1664" s="2">
        <v>43176</v>
      </c>
      <c r="F1664" s="6">
        <v>76.600488264987547</v>
      </c>
    </row>
    <row r="1665" spans="1:6">
      <c r="A1665" s="1">
        <v>9126289</v>
      </c>
      <c r="B1665" s="1">
        <v>0.49675857025442338</v>
      </c>
      <c r="C1665" s="1">
        <v>2</v>
      </c>
      <c r="D1665" s="1">
        <v>145</v>
      </c>
      <c r="E1665" s="2">
        <v>43238</v>
      </c>
      <c r="F1665" s="6">
        <v>3.5900199707106459</v>
      </c>
    </row>
    <row r="1666" spans="1:6">
      <c r="A1666" s="1">
        <v>9126292</v>
      </c>
      <c r="B1666" s="1">
        <v>0.53122742768131404</v>
      </c>
      <c r="C1666" s="1">
        <v>32</v>
      </c>
      <c r="D1666" s="1">
        <v>115</v>
      </c>
      <c r="E1666" s="2">
        <v>43048</v>
      </c>
      <c r="F1666" s="6">
        <v>77.096127477196859</v>
      </c>
    </row>
    <row r="1667" spans="1:6">
      <c r="A1667" s="1">
        <v>9126295</v>
      </c>
      <c r="B1667" s="1">
        <v>0.95662844379711021</v>
      </c>
      <c r="C1667" s="1">
        <v>19</v>
      </c>
      <c r="D1667" s="1">
        <v>182</v>
      </c>
      <c r="E1667" s="2">
        <v>43054</v>
      </c>
      <c r="F1667" s="6">
        <v>97.132120771992263</v>
      </c>
    </row>
    <row r="1668" spans="1:6">
      <c r="A1668" s="1">
        <v>9126298</v>
      </c>
      <c r="B1668" s="1">
        <v>0.36259581353850401</v>
      </c>
      <c r="C1668" s="1">
        <v>5</v>
      </c>
      <c r="D1668" s="1">
        <v>38</v>
      </c>
      <c r="E1668" s="2">
        <v>43235</v>
      </c>
      <c r="F1668" s="6">
        <v>35.626190365593587</v>
      </c>
    </row>
    <row r="1669" spans="1:6">
      <c r="A1669" s="1">
        <v>9126301</v>
      </c>
      <c r="B1669" s="1">
        <v>5.6921429139818569E-2</v>
      </c>
      <c r="C1669" s="1">
        <v>1</v>
      </c>
      <c r="D1669" s="1">
        <v>254</v>
      </c>
      <c r="E1669" s="2">
        <v>42826</v>
      </c>
      <c r="F1669" s="6">
        <v>74.866258735327875</v>
      </c>
    </row>
    <row r="1670" spans="1:6">
      <c r="A1670" s="1">
        <v>9126304</v>
      </c>
      <c r="B1670" s="1">
        <v>0.71556713430255026</v>
      </c>
      <c r="C1670" s="1">
        <v>165</v>
      </c>
      <c r="D1670" s="1">
        <v>258</v>
      </c>
      <c r="E1670" s="2">
        <v>43466</v>
      </c>
      <c r="F1670" s="6">
        <v>187.19860191113617</v>
      </c>
    </row>
    <row r="1671" spans="1:6">
      <c r="A1671" s="1">
        <v>9126307</v>
      </c>
      <c r="B1671" s="1">
        <v>0.4721928928644139</v>
      </c>
      <c r="C1671" s="1">
        <v>3</v>
      </c>
      <c r="D1671" s="1">
        <v>116</v>
      </c>
      <c r="E1671" s="2">
        <v>43033</v>
      </c>
      <c r="F1671" s="6">
        <v>193.95533464736317</v>
      </c>
    </row>
    <row r="1672" spans="1:6">
      <c r="A1672" s="1">
        <v>9126310</v>
      </c>
      <c r="B1672" s="1">
        <v>0.75443939259998083</v>
      </c>
      <c r="C1672" s="1">
        <v>5</v>
      </c>
      <c r="D1672" s="1">
        <v>258</v>
      </c>
      <c r="E1672" s="2">
        <v>43278</v>
      </c>
      <c r="F1672" s="6">
        <v>60.272918295157304</v>
      </c>
    </row>
    <row r="1673" spans="1:6">
      <c r="A1673" s="1">
        <v>9126313</v>
      </c>
      <c r="B1673" s="1">
        <v>0.2880814060023178</v>
      </c>
      <c r="C1673" s="1">
        <v>91</v>
      </c>
      <c r="D1673" s="1">
        <v>258</v>
      </c>
      <c r="E1673" s="2">
        <v>43092</v>
      </c>
      <c r="F1673" s="6">
        <v>14.592301851420586</v>
      </c>
    </row>
    <row r="1674" spans="1:6">
      <c r="A1674" s="1">
        <v>9126316</v>
      </c>
      <c r="B1674" s="1">
        <v>0.89679580252751134</v>
      </c>
      <c r="C1674" s="1">
        <v>5</v>
      </c>
      <c r="D1674" s="1">
        <v>343</v>
      </c>
      <c r="E1674" s="2">
        <v>43123</v>
      </c>
      <c r="F1674" s="6">
        <v>26.106557666490119</v>
      </c>
    </row>
    <row r="1675" spans="1:6">
      <c r="A1675" s="1">
        <v>9126319</v>
      </c>
      <c r="B1675" s="1">
        <v>0.94006561208931017</v>
      </c>
      <c r="C1675" s="1">
        <v>1</v>
      </c>
      <c r="D1675" s="1">
        <v>365</v>
      </c>
      <c r="E1675" s="2">
        <v>42738</v>
      </c>
      <c r="F1675" s="6">
        <v>40.082224704897293</v>
      </c>
    </row>
    <row r="1676" spans="1:6">
      <c r="A1676" s="1">
        <v>9126322</v>
      </c>
      <c r="B1676" s="1">
        <v>0.59610890590512988</v>
      </c>
      <c r="C1676" s="1">
        <v>128</v>
      </c>
      <c r="D1676" s="1">
        <v>89</v>
      </c>
      <c r="E1676" s="2">
        <v>43242</v>
      </c>
      <c r="F1676" s="6">
        <v>22.025525562784644</v>
      </c>
    </row>
    <row r="1677" spans="1:6">
      <c r="A1677" s="1">
        <v>9126325</v>
      </c>
      <c r="B1677" s="1">
        <v>0.87707360492788633</v>
      </c>
      <c r="C1677" s="1">
        <v>61</v>
      </c>
      <c r="D1677" s="1">
        <v>67</v>
      </c>
      <c r="E1677" s="2">
        <v>42894</v>
      </c>
      <c r="F1677" s="6">
        <v>14.077059253939971</v>
      </c>
    </row>
    <row r="1678" spans="1:6">
      <c r="A1678" s="1">
        <v>9126328</v>
      </c>
      <c r="B1678" s="1">
        <v>0.24616957237808879</v>
      </c>
      <c r="C1678" s="1">
        <v>12</v>
      </c>
      <c r="D1678" s="1">
        <v>587</v>
      </c>
      <c r="E1678" s="2">
        <v>43439</v>
      </c>
      <c r="F1678" s="6">
        <v>7.6576547486078335</v>
      </c>
    </row>
    <row r="1679" spans="1:6">
      <c r="A1679" s="1">
        <v>9126331</v>
      </c>
      <c r="B1679" s="1">
        <v>0.58117446841293674</v>
      </c>
      <c r="C1679" s="1">
        <v>33</v>
      </c>
      <c r="D1679" s="1">
        <v>83</v>
      </c>
      <c r="E1679" s="2">
        <v>43212</v>
      </c>
      <c r="F1679" s="6">
        <v>45.690102251527456</v>
      </c>
    </row>
    <row r="1680" spans="1:6">
      <c r="A1680" s="1">
        <v>9126334</v>
      </c>
      <c r="B1680" s="1">
        <v>0.61403589695838456</v>
      </c>
      <c r="C1680" s="1">
        <v>1</v>
      </c>
      <c r="D1680" s="1">
        <v>493</v>
      </c>
      <c r="E1680" s="2">
        <v>42838</v>
      </c>
      <c r="F1680" s="6">
        <v>79.330302527289618</v>
      </c>
    </row>
    <row r="1681" spans="1:6">
      <c r="A1681" s="1">
        <v>9126337</v>
      </c>
      <c r="B1681" s="1">
        <v>0.68039092837949589</v>
      </c>
      <c r="C1681" s="1">
        <v>1</v>
      </c>
      <c r="D1681" s="1">
        <v>22</v>
      </c>
      <c r="E1681" s="2">
        <v>42981</v>
      </c>
      <c r="F1681" s="6">
        <v>49.75538773307958</v>
      </c>
    </row>
    <row r="1682" spans="1:6">
      <c r="A1682" s="1">
        <v>9126340</v>
      </c>
      <c r="B1682" s="1">
        <v>0.54404537111256535</v>
      </c>
      <c r="C1682" s="1">
        <v>25</v>
      </c>
      <c r="D1682" s="1">
        <v>592</v>
      </c>
      <c r="E1682" s="2">
        <v>42801</v>
      </c>
      <c r="F1682" s="6">
        <v>78.308739408578518</v>
      </c>
    </row>
    <row r="1683" spans="1:6">
      <c r="A1683" s="1">
        <v>9126343</v>
      </c>
      <c r="B1683" s="1">
        <v>0.6803512214861982</v>
      </c>
      <c r="C1683" s="1">
        <v>88</v>
      </c>
      <c r="D1683" s="1">
        <v>548</v>
      </c>
      <c r="E1683" s="2">
        <v>42953</v>
      </c>
      <c r="F1683" s="6">
        <v>3.1295002478990579</v>
      </c>
    </row>
    <row r="1684" spans="1:6">
      <c r="A1684" s="1">
        <v>9126346</v>
      </c>
      <c r="B1684" s="1">
        <v>0.82448650355134445</v>
      </c>
      <c r="C1684" s="1">
        <v>92</v>
      </c>
      <c r="D1684" s="1">
        <v>451</v>
      </c>
      <c r="E1684" s="2">
        <v>43390</v>
      </c>
      <c r="F1684" s="6">
        <v>161.13349613427832</v>
      </c>
    </row>
    <row r="1685" spans="1:6">
      <c r="A1685" s="1">
        <v>9126349</v>
      </c>
      <c r="B1685" s="1">
        <v>0.51591347034321522</v>
      </c>
      <c r="C1685" s="1">
        <v>5</v>
      </c>
      <c r="D1685" s="1">
        <v>541</v>
      </c>
      <c r="E1685" s="2">
        <v>42979</v>
      </c>
      <c r="F1685" s="6">
        <v>36.136282849341256</v>
      </c>
    </row>
    <row r="1686" spans="1:6">
      <c r="A1686" s="1">
        <v>9126352</v>
      </c>
      <c r="B1686" s="1">
        <v>0.55853537582334256</v>
      </c>
      <c r="C1686" s="1">
        <v>68</v>
      </c>
      <c r="D1686" s="1">
        <v>473</v>
      </c>
      <c r="E1686" s="2">
        <v>43282</v>
      </c>
      <c r="F1686" s="6">
        <v>349.41094585141235</v>
      </c>
    </row>
    <row r="1687" spans="1:6">
      <c r="A1687" s="1">
        <v>9126355</v>
      </c>
      <c r="B1687" s="1">
        <v>0.38341702460374194</v>
      </c>
      <c r="C1687" s="1">
        <v>33</v>
      </c>
      <c r="D1687" s="1">
        <v>348</v>
      </c>
      <c r="E1687" s="2">
        <v>43148</v>
      </c>
      <c r="F1687" s="6">
        <v>52.136844768931802</v>
      </c>
    </row>
    <row r="1688" spans="1:6">
      <c r="A1688" s="1">
        <v>9126358</v>
      </c>
      <c r="B1688" s="1">
        <v>0.68109154553181583</v>
      </c>
      <c r="C1688" s="1">
        <v>216</v>
      </c>
      <c r="D1688" s="1">
        <v>176</v>
      </c>
      <c r="E1688" s="2">
        <v>43394</v>
      </c>
      <c r="F1688" s="6">
        <v>21.198060636829201</v>
      </c>
    </row>
    <row r="1689" spans="1:6">
      <c r="A1689" s="1">
        <v>9126361</v>
      </c>
      <c r="B1689" s="1">
        <v>0.48245202296302403</v>
      </c>
      <c r="C1689" s="1">
        <v>73</v>
      </c>
      <c r="D1689" s="1">
        <v>458</v>
      </c>
      <c r="E1689" s="2">
        <v>43212</v>
      </c>
      <c r="F1689" s="6">
        <v>144.29472255745364</v>
      </c>
    </row>
    <row r="1690" spans="1:6">
      <c r="A1690" s="1">
        <v>9126364</v>
      </c>
      <c r="B1690" s="1">
        <v>0.70237615870039227</v>
      </c>
      <c r="C1690" s="1">
        <v>74</v>
      </c>
      <c r="D1690" s="1">
        <v>252</v>
      </c>
      <c r="E1690" s="2">
        <v>43133</v>
      </c>
      <c r="F1690" s="6">
        <v>6.180270205831806</v>
      </c>
    </row>
    <row r="1691" spans="1:6">
      <c r="A1691" s="1">
        <v>9126367</v>
      </c>
      <c r="B1691" s="1">
        <v>0.52753829292186194</v>
      </c>
      <c r="C1691" s="1">
        <v>7</v>
      </c>
      <c r="D1691" s="1">
        <v>225</v>
      </c>
      <c r="E1691" s="2">
        <v>42952</v>
      </c>
      <c r="F1691" s="6">
        <v>81.913588666065365</v>
      </c>
    </row>
    <row r="1692" spans="1:6">
      <c r="A1692" s="1">
        <v>9126370</v>
      </c>
      <c r="B1692" s="1">
        <v>0.90538712712955416</v>
      </c>
      <c r="C1692" s="1">
        <v>2</v>
      </c>
      <c r="D1692" s="1">
        <v>510</v>
      </c>
      <c r="E1692" s="2">
        <v>43025</v>
      </c>
      <c r="F1692" s="6">
        <v>51.06604290301847</v>
      </c>
    </row>
    <row r="1693" spans="1:6">
      <c r="A1693" s="1">
        <v>9126373</v>
      </c>
      <c r="B1693" s="1">
        <v>0.5792441143711784</v>
      </c>
      <c r="C1693" s="1">
        <v>82</v>
      </c>
      <c r="D1693" s="1">
        <v>564</v>
      </c>
      <c r="E1693" s="2">
        <v>42993</v>
      </c>
      <c r="F1693" s="6">
        <v>21.289202946108958</v>
      </c>
    </row>
    <row r="1694" spans="1:6">
      <c r="A1694" s="1">
        <v>9126376</v>
      </c>
      <c r="B1694" s="1">
        <v>0.54440907721617848</v>
      </c>
      <c r="C1694" s="1">
        <v>38</v>
      </c>
      <c r="D1694" s="1">
        <v>149</v>
      </c>
      <c r="E1694" s="2">
        <v>43119</v>
      </c>
      <c r="F1694" s="6">
        <v>139.32951593266239</v>
      </c>
    </row>
    <row r="1695" spans="1:6">
      <c r="A1695" s="1">
        <v>9126379</v>
      </c>
      <c r="B1695" s="1">
        <v>0.87808194113833338</v>
      </c>
      <c r="C1695" s="1">
        <v>63</v>
      </c>
      <c r="D1695" s="1">
        <v>468</v>
      </c>
      <c r="E1695" s="2">
        <v>43029</v>
      </c>
      <c r="F1695" s="6">
        <v>81.799756889851906</v>
      </c>
    </row>
    <row r="1696" spans="1:6">
      <c r="A1696" s="1">
        <v>9126382</v>
      </c>
      <c r="B1696" s="1">
        <v>8.9412178082131089E-3</v>
      </c>
      <c r="C1696" s="1">
        <v>9</v>
      </c>
      <c r="D1696" s="1">
        <v>431</v>
      </c>
      <c r="E1696" s="2">
        <v>43015</v>
      </c>
      <c r="F1696" s="6">
        <v>7.3199629284896899</v>
      </c>
    </row>
    <row r="1697" spans="1:6">
      <c r="A1697" s="1">
        <v>9126385</v>
      </c>
      <c r="B1697" s="1">
        <v>0.30709065474688535</v>
      </c>
      <c r="C1697" s="1">
        <v>55</v>
      </c>
      <c r="D1697" s="1">
        <v>548</v>
      </c>
      <c r="E1697" s="2">
        <v>43055</v>
      </c>
      <c r="F1697" s="6">
        <v>88.765437956648611</v>
      </c>
    </row>
    <row r="1698" spans="1:6">
      <c r="A1698" s="1">
        <v>9126388</v>
      </c>
      <c r="B1698" s="1">
        <v>0.33744033010387064</v>
      </c>
      <c r="C1698" s="1">
        <v>28</v>
      </c>
      <c r="D1698" s="1">
        <v>90</v>
      </c>
      <c r="E1698" s="2">
        <v>43278</v>
      </c>
      <c r="F1698" s="6">
        <v>209.49674387723823</v>
      </c>
    </row>
    <row r="1699" spans="1:6">
      <c r="A1699" s="1">
        <v>9126391</v>
      </c>
      <c r="B1699" s="1">
        <v>8.4403157909047621E-3</v>
      </c>
      <c r="C1699" s="1">
        <v>58</v>
      </c>
      <c r="D1699" s="1">
        <v>285</v>
      </c>
      <c r="E1699" s="2">
        <v>43407</v>
      </c>
      <c r="F1699" s="6">
        <v>43.484244126982013</v>
      </c>
    </row>
    <row r="1700" spans="1:6">
      <c r="A1700" s="1">
        <v>9126394</v>
      </c>
      <c r="B1700" s="1">
        <v>0.15477075629228687</v>
      </c>
      <c r="C1700" s="1">
        <v>14</v>
      </c>
      <c r="D1700" s="1">
        <v>592</v>
      </c>
      <c r="E1700" s="2">
        <v>43265</v>
      </c>
      <c r="F1700" s="6">
        <v>89.846828137362607</v>
      </c>
    </row>
    <row r="1701" spans="1:6">
      <c r="A1701" s="1">
        <v>9126397</v>
      </c>
      <c r="B1701" s="1">
        <v>0.94568990568445532</v>
      </c>
      <c r="C1701" s="1">
        <v>285</v>
      </c>
      <c r="D1701" s="1">
        <v>541</v>
      </c>
      <c r="E1701" s="2">
        <v>43451</v>
      </c>
      <c r="F1701" s="6">
        <v>114.88182141811815</v>
      </c>
    </row>
    <row r="1702" spans="1:6">
      <c r="A1702" s="1">
        <v>9126400</v>
      </c>
      <c r="B1702" s="1">
        <v>8.1863441194591435E-2</v>
      </c>
      <c r="C1702" s="1">
        <v>4</v>
      </c>
      <c r="D1702" s="1">
        <v>510</v>
      </c>
      <c r="E1702" s="2">
        <v>42898</v>
      </c>
      <c r="F1702" s="6">
        <v>41.446362807949598</v>
      </c>
    </row>
    <row r="1703" spans="1:6">
      <c r="A1703" s="1">
        <v>9126403</v>
      </c>
      <c r="B1703" s="1">
        <v>0.20375870065329815</v>
      </c>
      <c r="C1703" s="1">
        <v>19</v>
      </c>
      <c r="D1703" s="1">
        <v>438</v>
      </c>
      <c r="E1703" s="2">
        <v>42870</v>
      </c>
      <c r="F1703" s="6">
        <v>9.1136349496960527</v>
      </c>
    </row>
    <row r="1704" spans="1:6">
      <c r="A1704" s="1">
        <v>9126406</v>
      </c>
      <c r="B1704" s="1">
        <v>0.82227463896114972</v>
      </c>
      <c r="C1704" s="1">
        <v>4</v>
      </c>
      <c r="D1704" s="1">
        <v>149</v>
      </c>
      <c r="E1704" s="2">
        <v>42789</v>
      </c>
      <c r="F1704" s="6">
        <v>11.704298107082741</v>
      </c>
    </row>
    <row r="1705" spans="1:6">
      <c r="A1705" s="1">
        <v>9126409</v>
      </c>
      <c r="B1705" s="1">
        <v>0.55010721422739561</v>
      </c>
      <c r="C1705" s="1">
        <v>83</v>
      </c>
      <c r="D1705" s="1">
        <v>564</v>
      </c>
      <c r="E1705" s="2">
        <v>43360</v>
      </c>
      <c r="F1705" s="6">
        <v>3.2798631059250458</v>
      </c>
    </row>
    <row r="1706" spans="1:6">
      <c r="A1706" s="1">
        <v>9126412</v>
      </c>
      <c r="B1706" s="1">
        <v>0.10917008760944402</v>
      </c>
      <c r="C1706" s="1">
        <v>266</v>
      </c>
      <c r="D1706" s="1">
        <v>263</v>
      </c>
      <c r="E1706" s="2">
        <v>42749</v>
      </c>
      <c r="F1706" s="6">
        <v>121.41564795515684</v>
      </c>
    </row>
    <row r="1707" spans="1:6">
      <c r="A1707" s="1">
        <v>9126415</v>
      </c>
      <c r="B1707" s="1">
        <v>0.83210822996477929</v>
      </c>
      <c r="C1707" s="1">
        <v>79</v>
      </c>
      <c r="D1707" s="1">
        <v>149</v>
      </c>
      <c r="E1707" s="2">
        <v>43011</v>
      </c>
      <c r="F1707" s="6">
        <v>8.0921276307693368</v>
      </c>
    </row>
    <row r="1708" spans="1:6">
      <c r="A1708" s="1">
        <v>9126418</v>
      </c>
      <c r="B1708" s="1">
        <v>0.42537072762938499</v>
      </c>
      <c r="C1708" s="1">
        <v>2</v>
      </c>
      <c r="D1708" s="1">
        <v>139</v>
      </c>
      <c r="E1708" s="2">
        <v>43479</v>
      </c>
      <c r="F1708" s="6">
        <v>100.6807878704378</v>
      </c>
    </row>
    <row r="1709" spans="1:6">
      <c r="A1709" s="1">
        <v>9126421</v>
      </c>
      <c r="B1709" s="1">
        <v>0.54689845420886984</v>
      </c>
      <c r="C1709" s="1">
        <v>30</v>
      </c>
      <c r="D1709" s="1">
        <v>67</v>
      </c>
      <c r="E1709" s="2">
        <v>43103</v>
      </c>
      <c r="F1709" s="6">
        <v>31.123770307066238</v>
      </c>
    </row>
    <row r="1710" spans="1:6">
      <c r="A1710" s="1">
        <v>9126424</v>
      </c>
      <c r="B1710" s="1">
        <v>0.81639994448372766</v>
      </c>
      <c r="C1710" s="1">
        <v>1</v>
      </c>
      <c r="D1710" s="1">
        <v>263</v>
      </c>
      <c r="E1710" s="2">
        <v>42895</v>
      </c>
      <c r="F1710" s="6">
        <v>68.551917779426162</v>
      </c>
    </row>
    <row r="1711" spans="1:6">
      <c r="A1711" s="1">
        <v>9126427</v>
      </c>
      <c r="B1711" s="1">
        <v>0.36625410926816548</v>
      </c>
      <c r="C1711" s="1">
        <v>2</v>
      </c>
      <c r="D1711" s="1">
        <v>495</v>
      </c>
      <c r="E1711" s="2">
        <v>43285</v>
      </c>
      <c r="F1711" s="6">
        <v>166.29470503121428</v>
      </c>
    </row>
    <row r="1712" spans="1:6">
      <c r="A1712" s="1">
        <v>9126430</v>
      </c>
      <c r="B1712" s="1">
        <v>0.26474285154298804</v>
      </c>
      <c r="C1712" s="1">
        <v>40</v>
      </c>
      <c r="D1712" s="1">
        <v>401</v>
      </c>
      <c r="E1712" s="2">
        <v>42774</v>
      </c>
      <c r="F1712" s="6">
        <v>47.018447643699346</v>
      </c>
    </row>
    <row r="1713" spans="1:6">
      <c r="A1713" s="1">
        <v>9126433</v>
      </c>
      <c r="B1713" s="1">
        <v>0.1060550014594992</v>
      </c>
      <c r="C1713" s="1">
        <v>5</v>
      </c>
      <c r="D1713" s="1">
        <v>84</v>
      </c>
      <c r="E1713" s="2">
        <v>43315</v>
      </c>
      <c r="F1713" s="6">
        <v>199.08175822236612</v>
      </c>
    </row>
    <row r="1714" spans="1:6">
      <c r="A1714" s="1">
        <v>9126436</v>
      </c>
      <c r="B1714" s="1">
        <v>0.49986179723654844</v>
      </c>
      <c r="C1714" s="1">
        <v>1</v>
      </c>
      <c r="D1714" s="1">
        <v>573</v>
      </c>
      <c r="E1714" s="2">
        <v>42990</v>
      </c>
      <c r="F1714" s="6">
        <v>82.64889684792854</v>
      </c>
    </row>
    <row r="1715" spans="1:6">
      <c r="A1715" s="1">
        <v>9126439</v>
      </c>
      <c r="B1715" s="1">
        <v>0.74855465765778739</v>
      </c>
      <c r="C1715" s="1">
        <v>6</v>
      </c>
      <c r="D1715" s="1">
        <v>22</v>
      </c>
      <c r="E1715" s="2">
        <v>42833</v>
      </c>
      <c r="F1715" s="6">
        <v>59.225779280643295</v>
      </c>
    </row>
    <row r="1716" spans="1:6">
      <c r="A1716" s="1">
        <v>9126442</v>
      </c>
      <c r="B1716" s="1">
        <v>1.7570249603146237E-2</v>
      </c>
      <c r="C1716" s="1">
        <v>31</v>
      </c>
      <c r="D1716" s="1">
        <v>510</v>
      </c>
      <c r="E1716" s="2">
        <v>43292</v>
      </c>
      <c r="F1716" s="6">
        <v>56.924201755502096</v>
      </c>
    </row>
    <row r="1717" spans="1:6">
      <c r="A1717" s="1">
        <v>9126445</v>
      </c>
      <c r="B1717" s="1">
        <v>0.34672598534076282</v>
      </c>
      <c r="C1717" s="1">
        <v>269</v>
      </c>
      <c r="D1717" s="1">
        <v>564</v>
      </c>
      <c r="E1717" s="2">
        <v>43203</v>
      </c>
      <c r="F1717" s="6">
        <v>54.613480230515172</v>
      </c>
    </row>
    <row r="1718" spans="1:6">
      <c r="A1718" s="1">
        <v>9126448</v>
      </c>
      <c r="B1718" s="1">
        <v>0.69457682271475563</v>
      </c>
      <c r="C1718" s="1">
        <v>7</v>
      </c>
      <c r="D1718" s="1">
        <v>47</v>
      </c>
      <c r="E1718" s="2">
        <v>43082</v>
      </c>
      <c r="F1718" s="6">
        <v>7.7020670810354037</v>
      </c>
    </row>
    <row r="1719" spans="1:6">
      <c r="A1719" s="1">
        <v>9126451</v>
      </c>
      <c r="B1719" s="1">
        <v>0.64998620439860177</v>
      </c>
      <c r="C1719" s="1">
        <v>32</v>
      </c>
      <c r="D1719" s="1">
        <v>591</v>
      </c>
      <c r="E1719" s="2">
        <v>42806</v>
      </c>
      <c r="F1719" s="6">
        <v>345.30278939215219</v>
      </c>
    </row>
    <row r="1720" spans="1:6">
      <c r="A1720" s="1">
        <v>9126454</v>
      </c>
      <c r="B1720" s="1">
        <v>0.81665784919000506</v>
      </c>
      <c r="C1720" s="1">
        <v>23</v>
      </c>
      <c r="D1720" s="1">
        <v>12</v>
      </c>
      <c r="E1720" s="2">
        <v>43038</v>
      </c>
      <c r="F1720" s="6">
        <v>9.7324911143306849</v>
      </c>
    </row>
    <row r="1721" spans="1:6">
      <c r="A1721" s="1">
        <v>9126457</v>
      </c>
      <c r="B1721" s="1">
        <v>0.40737552004148081</v>
      </c>
      <c r="C1721" s="1">
        <v>6</v>
      </c>
      <c r="D1721" s="1">
        <v>458</v>
      </c>
      <c r="E1721" s="2">
        <v>43269</v>
      </c>
      <c r="F1721" s="6">
        <v>36.530661717808272</v>
      </c>
    </row>
    <row r="1722" spans="1:6">
      <c r="A1722" s="1">
        <v>9126460</v>
      </c>
      <c r="B1722" s="1">
        <v>0.67827893386757288</v>
      </c>
      <c r="C1722" s="1">
        <v>55</v>
      </c>
      <c r="D1722" s="1">
        <v>176</v>
      </c>
      <c r="E1722" s="2">
        <v>42813</v>
      </c>
      <c r="F1722" s="6">
        <v>39.415866727190533</v>
      </c>
    </row>
    <row r="1723" spans="1:6">
      <c r="A1723" s="1">
        <v>9126463</v>
      </c>
      <c r="B1723" s="1">
        <v>0.79796055026088286</v>
      </c>
      <c r="C1723" s="1">
        <v>2</v>
      </c>
      <c r="D1723" s="1">
        <v>366</v>
      </c>
      <c r="E1723" s="2">
        <v>43316</v>
      </c>
      <c r="F1723" s="6">
        <v>37.921713439664927</v>
      </c>
    </row>
    <row r="1724" spans="1:6">
      <c r="A1724" s="1">
        <v>9126466</v>
      </c>
      <c r="B1724" s="1">
        <v>0.96323437792310618</v>
      </c>
      <c r="C1724" s="1">
        <v>248</v>
      </c>
      <c r="D1724" s="1">
        <v>541</v>
      </c>
      <c r="E1724" s="2">
        <v>43336</v>
      </c>
      <c r="F1724" s="6">
        <v>22.868623133833349</v>
      </c>
    </row>
    <row r="1725" spans="1:6">
      <c r="A1725" s="1">
        <v>9126469</v>
      </c>
      <c r="B1725" s="1">
        <v>0.50678048686701682</v>
      </c>
      <c r="C1725" s="1">
        <v>129</v>
      </c>
      <c r="D1725" s="1">
        <v>391</v>
      </c>
      <c r="E1725" s="2">
        <v>43423</v>
      </c>
      <c r="F1725" s="6">
        <v>3.7450588943816072</v>
      </c>
    </row>
    <row r="1726" spans="1:6">
      <c r="A1726" s="1">
        <v>9126472</v>
      </c>
      <c r="B1726" s="1">
        <v>3.2572029170826244E-2</v>
      </c>
      <c r="C1726" s="1">
        <v>75</v>
      </c>
      <c r="D1726" s="1">
        <v>509</v>
      </c>
      <c r="E1726" s="2">
        <v>42976</v>
      </c>
      <c r="F1726" s="6">
        <v>200.03316270970612</v>
      </c>
    </row>
    <row r="1727" spans="1:6">
      <c r="A1727" s="1">
        <v>9126475</v>
      </c>
      <c r="B1727" s="1">
        <v>0.39530104153486478</v>
      </c>
      <c r="C1727" s="1">
        <v>1</v>
      </c>
      <c r="D1727" s="1">
        <v>564</v>
      </c>
      <c r="E1727" s="2">
        <v>42784</v>
      </c>
      <c r="F1727" s="6">
        <v>58.215734808063388</v>
      </c>
    </row>
    <row r="1728" spans="1:6">
      <c r="A1728" s="1">
        <v>9126478</v>
      </c>
      <c r="B1728" s="1">
        <v>0.94698507762970541</v>
      </c>
      <c r="C1728" s="1">
        <v>33</v>
      </c>
      <c r="D1728" s="1">
        <v>451</v>
      </c>
      <c r="E1728" s="2">
        <v>42988</v>
      </c>
      <c r="F1728" s="6">
        <v>42.732328685078976</v>
      </c>
    </row>
    <row r="1729" spans="1:6">
      <c r="A1729" s="1">
        <v>9126481</v>
      </c>
      <c r="B1729" s="1">
        <v>0.32907771060089441</v>
      </c>
      <c r="C1729" s="1">
        <v>49</v>
      </c>
      <c r="D1729" s="1">
        <v>38</v>
      </c>
      <c r="E1729" s="2">
        <v>43121</v>
      </c>
      <c r="F1729" s="6">
        <v>55.817905972437849</v>
      </c>
    </row>
    <row r="1730" spans="1:6">
      <c r="A1730" s="1">
        <v>9126484</v>
      </c>
      <c r="B1730" s="1">
        <v>0.41407808757251097</v>
      </c>
      <c r="C1730" s="1">
        <v>83</v>
      </c>
      <c r="D1730" s="1">
        <v>88</v>
      </c>
      <c r="E1730" s="2">
        <v>43366</v>
      </c>
      <c r="F1730" s="6">
        <v>11.451644775806598</v>
      </c>
    </row>
    <row r="1731" spans="1:6">
      <c r="A1731" s="1">
        <v>9126487</v>
      </c>
      <c r="B1731" s="1">
        <v>0.13740272362378669</v>
      </c>
      <c r="C1731" s="1">
        <v>35</v>
      </c>
      <c r="D1731" s="1">
        <v>438</v>
      </c>
      <c r="E1731" s="2">
        <v>42868</v>
      </c>
      <c r="F1731" s="6">
        <v>136.73916407176702</v>
      </c>
    </row>
    <row r="1732" spans="1:6">
      <c r="A1732" s="1">
        <v>9126490</v>
      </c>
      <c r="B1732" s="1">
        <v>0.49270156284492739</v>
      </c>
      <c r="C1732" s="1">
        <v>51</v>
      </c>
      <c r="D1732" s="1">
        <v>451</v>
      </c>
      <c r="E1732" s="2">
        <v>42991</v>
      </c>
      <c r="F1732" s="6">
        <v>254.42244274232587</v>
      </c>
    </row>
    <row r="1733" spans="1:6">
      <c r="A1733" s="1">
        <v>9126493</v>
      </c>
      <c r="B1733" s="1">
        <v>0.71099109011287009</v>
      </c>
      <c r="C1733" s="1">
        <v>1</v>
      </c>
      <c r="D1733" s="1">
        <v>139</v>
      </c>
      <c r="E1733" s="2">
        <v>42993</v>
      </c>
      <c r="F1733" s="6">
        <v>7.9647612583840672</v>
      </c>
    </row>
    <row r="1734" spans="1:6">
      <c r="A1734" s="1">
        <v>9126496</v>
      </c>
      <c r="B1734" s="1">
        <v>0.25755884219233049</v>
      </c>
      <c r="C1734" s="1">
        <v>6</v>
      </c>
      <c r="D1734" s="1">
        <v>163</v>
      </c>
      <c r="E1734" s="2">
        <v>43252</v>
      </c>
      <c r="F1734" s="6">
        <v>19.747490127642028</v>
      </c>
    </row>
    <row r="1735" spans="1:6">
      <c r="A1735" s="1">
        <v>9126499</v>
      </c>
      <c r="B1735" s="1">
        <v>0.16313326047526555</v>
      </c>
      <c r="C1735" s="1">
        <v>35</v>
      </c>
      <c r="D1735" s="1">
        <v>36</v>
      </c>
      <c r="E1735" s="2">
        <v>42751</v>
      </c>
      <c r="F1735" s="6">
        <v>8.2789955964754327</v>
      </c>
    </row>
    <row r="1736" spans="1:6">
      <c r="A1736" s="1">
        <v>9126502</v>
      </c>
      <c r="B1736" s="1">
        <v>0.95959720104287149</v>
      </c>
      <c r="C1736" s="1">
        <v>13</v>
      </c>
      <c r="D1736" s="1">
        <v>391</v>
      </c>
      <c r="E1736" s="2">
        <v>43470</v>
      </c>
      <c r="F1736" s="6">
        <v>30.112973572069134</v>
      </c>
    </row>
    <row r="1737" spans="1:6">
      <c r="A1737" s="1">
        <v>9126505</v>
      </c>
      <c r="B1737" s="1">
        <v>0.23805703432748415</v>
      </c>
      <c r="C1737" s="1">
        <v>44</v>
      </c>
      <c r="D1737" s="1">
        <v>182</v>
      </c>
      <c r="E1737" s="2">
        <v>42837</v>
      </c>
      <c r="F1737" s="6">
        <v>3.9148797960651129</v>
      </c>
    </row>
    <row r="1738" spans="1:6">
      <c r="A1738" s="1">
        <v>9126508</v>
      </c>
      <c r="B1738" s="1">
        <v>0.92625447489318202</v>
      </c>
      <c r="C1738" s="1">
        <v>162</v>
      </c>
      <c r="D1738" s="1">
        <v>195</v>
      </c>
      <c r="E1738" s="2">
        <v>42979</v>
      </c>
      <c r="F1738" s="6">
        <v>20.428383669740686</v>
      </c>
    </row>
    <row r="1739" spans="1:6">
      <c r="A1739" s="1">
        <v>9126511</v>
      </c>
      <c r="B1739" s="1">
        <v>0.18780002338972845</v>
      </c>
      <c r="C1739" s="1">
        <v>163</v>
      </c>
      <c r="D1739" s="1">
        <v>176</v>
      </c>
      <c r="E1739" s="2">
        <v>43095</v>
      </c>
      <c r="F1739" s="6">
        <v>106.66976566386741</v>
      </c>
    </row>
    <row r="1740" spans="1:6">
      <c r="A1740" s="1">
        <v>9126514</v>
      </c>
      <c r="B1740" s="1">
        <v>0.47948414274968743</v>
      </c>
      <c r="C1740" s="1">
        <v>74</v>
      </c>
      <c r="D1740" s="1">
        <v>532</v>
      </c>
      <c r="E1740" s="2">
        <v>42831</v>
      </c>
      <c r="F1740" s="6">
        <v>108.62880428744641</v>
      </c>
    </row>
    <row r="1741" spans="1:6">
      <c r="A1741" s="1">
        <v>9126517</v>
      </c>
      <c r="B1741" s="1">
        <v>0.41011631097253709</v>
      </c>
      <c r="C1741" s="1">
        <v>76</v>
      </c>
      <c r="D1741" s="1">
        <v>360</v>
      </c>
      <c r="E1741" s="2">
        <v>43007</v>
      </c>
      <c r="F1741" s="6">
        <v>26.781676797669636</v>
      </c>
    </row>
    <row r="1742" spans="1:6">
      <c r="A1742" s="1">
        <v>9126520</v>
      </c>
      <c r="B1742" s="1">
        <v>0.41782202474161068</v>
      </c>
      <c r="C1742" s="1">
        <v>6</v>
      </c>
      <c r="D1742" s="1">
        <v>458</v>
      </c>
      <c r="E1742" s="2">
        <v>43264</v>
      </c>
      <c r="F1742" s="6">
        <v>123.58817844149496</v>
      </c>
    </row>
    <row r="1743" spans="1:6">
      <c r="A1743" s="1">
        <v>9126523</v>
      </c>
      <c r="B1743" s="1">
        <v>0.54495852614590834</v>
      </c>
      <c r="C1743" s="1">
        <v>32</v>
      </c>
      <c r="D1743" s="1">
        <v>564</v>
      </c>
      <c r="E1743" s="2">
        <v>43234</v>
      </c>
      <c r="F1743" s="6">
        <v>91.254133212216189</v>
      </c>
    </row>
    <row r="1744" spans="1:6">
      <c r="A1744" s="1">
        <v>9126526</v>
      </c>
      <c r="B1744" s="1">
        <v>0.87624461437792445</v>
      </c>
      <c r="C1744" s="1">
        <v>32</v>
      </c>
      <c r="D1744" s="1">
        <v>248</v>
      </c>
      <c r="E1744" s="2">
        <v>42922</v>
      </c>
      <c r="F1744" s="6">
        <v>81.321821494974344</v>
      </c>
    </row>
    <row r="1745" spans="1:6">
      <c r="A1745" s="1">
        <v>9126529</v>
      </c>
      <c r="B1745" s="1">
        <v>0.68043222465422004</v>
      </c>
      <c r="C1745" s="1">
        <v>6</v>
      </c>
      <c r="D1745" s="1">
        <v>450</v>
      </c>
      <c r="E1745" s="2">
        <v>42823</v>
      </c>
      <c r="F1745" s="6">
        <v>50.701617585158061</v>
      </c>
    </row>
    <row r="1746" spans="1:6">
      <c r="A1746" s="1">
        <v>9126532</v>
      </c>
      <c r="B1746" s="1">
        <v>0.85759697243457567</v>
      </c>
      <c r="C1746" s="1">
        <v>17</v>
      </c>
      <c r="D1746" s="1">
        <v>182</v>
      </c>
      <c r="E1746" s="2">
        <v>43382</v>
      </c>
      <c r="F1746" s="6">
        <v>52.816642867991099</v>
      </c>
    </row>
    <row r="1747" spans="1:6">
      <c r="A1747" s="1">
        <v>9126535</v>
      </c>
      <c r="B1747" s="1">
        <v>0.34050812995372914</v>
      </c>
      <c r="C1747" s="1">
        <v>11</v>
      </c>
      <c r="D1747" s="1">
        <v>149</v>
      </c>
      <c r="E1747" s="2">
        <v>43012</v>
      </c>
      <c r="F1747" s="6">
        <v>18.379539706589075</v>
      </c>
    </row>
    <row r="1748" spans="1:6">
      <c r="A1748" s="1">
        <v>9126538</v>
      </c>
      <c r="B1748" s="1">
        <v>0.21833209697316147</v>
      </c>
      <c r="C1748" s="1">
        <v>35</v>
      </c>
      <c r="D1748" s="1">
        <v>510</v>
      </c>
      <c r="E1748" s="2">
        <v>42829</v>
      </c>
      <c r="F1748" s="6">
        <v>14.632521257715133</v>
      </c>
    </row>
    <row r="1749" spans="1:6">
      <c r="A1749" s="1">
        <v>9126541</v>
      </c>
      <c r="B1749" s="1">
        <v>0.87930874112985202</v>
      </c>
      <c r="C1749" s="1">
        <v>59</v>
      </c>
      <c r="D1749" s="1">
        <v>510</v>
      </c>
      <c r="E1749" s="2">
        <v>42958</v>
      </c>
      <c r="F1749" s="6">
        <v>10.395869352952932</v>
      </c>
    </row>
    <row r="1750" spans="1:6">
      <c r="A1750" s="1">
        <v>9126544</v>
      </c>
      <c r="B1750" s="1">
        <v>0.5902975663612946</v>
      </c>
      <c r="C1750" s="1">
        <v>62</v>
      </c>
      <c r="D1750" s="1">
        <v>348</v>
      </c>
      <c r="E1750" s="2">
        <v>42938</v>
      </c>
      <c r="F1750" s="6">
        <v>152.19870558044866</v>
      </c>
    </row>
    <row r="1751" spans="1:6">
      <c r="A1751" s="1">
        <v>9126547</v>
      </c>
      <c r="B1751" s="1">
        <v>0.53931631371473654</v>
      </c>
      <c r="C1751" s="1">
        <v>91</v>
      </c>
      <c r="D1751" s="1">
        <v>16</v>
      </c>
      <c r="E1751" s="2">
        <v>43486</v>
      </c>
      <c r="F1751" s="6">
        <v>115.09405242879002</v>
      </c>
    </row>
    <row r="1752" spans="1:6">
      <c r="A1752" s="1">
        <v>9126550</v>
      </c>
      <c r="B1752" s="1">
        <v>0.29534813548117578</v>
      </c>
      <c r="C1752" s="1">
        <v>127</v>
      </c>
      <c r="D1752" s="1">
        <v>564</v>
      </c>
      <c r="E1752" s="2">
        <v>43194</v>
      </c>
      <c r="F1752" s="6">
        <v>29.705357374351113</v>
      </c>
    </row>
    <row r="1753" spans="1:6">
      <c r="A1753" s="1">
        <v>9126553</v>
      </c>
      <c r="B1753" s="1">
        <v>0.70476599584999222</v>
      </c>
      <c r="C1753" s="1">
        <v>16</v>
      </c>
      <c r="D1753" s="1">
        <v>176</v>
      </c>
      <c r="E1753" s="2">
        <v>42994</v>
      </c>
      <c r="F1753" s="6">
        <v>24.988221216952709</v>
      </c>
    </row>
    <row r="1754" spans="1:6">
      <c r="A1754" s="1">
        <v>9126556</v>
      </c>
      <c r="B1754" s="1">
        <v>0.3483600499311148</v>
      </c>
      <c r="C1754" s="1">
        <v>12</v>
      </c>
      <c r="D1754" s="1">
        <v>573</v>
      </c>
      <c r="E1754" s="2">
        <v>43249</v>
      </c>
      <c r="F1754" s="6">
        <v>19.988968651324491</v>
      </c>
    </row>
    <row r="1755" spans="1:6">
      <c r="A1755" s="1">
        <v>9126559</v>
      </c>
      <c r="B1755" s="1">
        <v>0.95803440987528155</v>
      </c>
      <c r="C1755" s="1">
        <v>45</v>
      </c>
      <c r="D1755" s="1">
        <v>573</v>
      </c>
      <c r="E1755" s="2">
        <v>42841</v>
      </c>
      <c r="F1755" s="6">
        <v>136.39990529001778</v>
      </c>
    </row>
    <row r="1756" spans="1:6">
      <c r="A1756" s="1">
        <v>9126562</v>
      </c>
      <c r="B1756" s="1">
        <v>0.28407071234419434</v>
      </c>
      <c r="C1756" s="1">
        <v>21</v>
      </c>
      <c r="D1756" s="1">
        <v>592</v>
      </c>
      <c r="E1756" s="2">
        <v>43411</v>
      </c>
      <c r="F1756" s="6">
        <v>39.270037335225538</v>
      </c>
    </row>
    <row r="1757" spans="1:6">
      <c r="A1757" s="1">
        <v>9126565</v>
      </c>
      <c r="B1757" s="1">
        <v>0.95201448673642608</v>
      </c>
      <c r="C1757" s="1">
        <v>104</v>
      </c>
      <c r="D1757" s="1">
        <v>299</v>
      </c>
      <c r="E1757" s="2">
        <v>43283</v>
      </c>
      <c r="F1757" s="6">
        <v>9.0395738123463438</v>
      </c>
    </row>
    <row r="1758" spans="1:6">
      <c r="A1758" s="1">
        <v>9126568</v>
      </c>
      <c r="B1758" s="1">
        <v>0.79580951728383498</v>
      </c>
      <c r="C1758" s="1">
        <v>3</v>
      </c>
      <c r="D1758" s="1">
        <v>421</v>
      </c>
      <c r="E1758" s="2">
        <v>43181</v>
      </c>
      <c r="F1758" s="6">
        <v>159.30868699358606</v>
      </c>
    </row>
    <row r="1759" spans="1:6">
      <c r="A1759" s="1">
        <v>9126571</v>
      </c>
      <c r="B1759" s="1">
        <v>0.99843141508542632</v>
      </c>
      <c r="C1759" s="1">
        <v>6</v>
      </c>
      <c r="D1759" s="1">
        <v>47</v>
      </c>
      <c r="E1759" s="2">
        <v>42798</v>
      </c>
      <c r="F1759" s="6">
        <v>47.218437868084713</v>
      </c>
    </row>
    <row r="1760" spans="1:6">
      <c r="A1760" s="1">
        <v>9126574</v>
      </c>
      <c r="B1760" s="1">
        <v>0.37484976410449256</v>
      </c>
      <c r="C1760" s="1">
        <v>17</v>
      </c>
      <c r="D1760" s="1">
        <v>38</v>
      </c>
      <c r="E1760" s="2">
        <v>43134</v>
      </c>
      <c r="F1760" s="6">
        <v>57.058871982700076</v>
      </c>
    </row>
    <row r="1761" spans="1:6">
      <c r="A1761" s="1">
        <v>9126577</v>
      </c>
      <c r="B1761" s="1">
        <v>0.68703923736854156</v>
      </c>
      <c r="C1761" s="1">
        <v>52</v>
      </c>
      <c r="D1761" s="1">
        <v>176</v>
      </c>
      <c r="E1761" s="2">
        <v>42792</v>
      </c>
      <c r="F1761" s="6">
        <v>36.167216108184064</v>
      </c>
    </row>
    <row r="1762" spans="1:6">
      <c r="A1762" s="1">
        <v>9126580</v>
      </c>
      <c r="B1762" s="1">
        <v>0.15735965394866314</v>
      </c>
      <c r="C1762" s="1">
        <v>19</v>
      </c>
      <c r="D1762" s="1">
        <v>88</v>
      </c>
      <c r="E1762" s="2">
        <v>43418</v>
      </c>
      <c r="F1762" s="6">
        <v>9.9146285257112758</v>
      </c>
    </row>
    <row r="1763" spans="1:6">
      <c r="A1763" s="1">
        <v>9126583</v>
      </c>
      <c r="B1763" s="1">
        <v>0.47069472513520227</v>
      </c>
      <c r="C1763" s="1">
        <v>15</v>
      </c>
      <c r="D1763" s="1">
        <v>431</v>
      </c>
      <c r="E1763" s="2">
        <v>43200</v>
      </c>
      <c r="F1763" s="6">
        <v>5.5845980484729107</v>
      </c>
    </row>
    <row r="1764" spans="1:6">
      <c r="A1764" s="1">
        <v>9126586</v>
      </c>
      <c r="B1764" s="1">
        <v>6.6695888812326687E-2</v>
      </c>
      <c r="C1764" s="1">
        <v>1</v>
      </c>
      <c r="D1764" s="1">
        <v>28</v>
      </c>
      <c r="E1764" s="2">
        <v>42802</v>
      </c>
      <c r="F1764" s="6">
        <v>98.447847846125697</v>
      </c>
    </row>
    <row r="1765" spans="1:6">
      <c r="A1765" s="1">
        <v>9126589</v>
      </c>
      <c r="B1765" s="1">
        <v>0.25614491883049773</v>
      </c>
      <c r="C1765" s="1">
        <v>1</v>
      </c>
      <c r="D1765" s="1">
        <v>84</v>
      </c>
      <c r="E1765" s="2">
        <v>43112</v>
      </c>
      <c r="F1765" s="6">
        <v>186.81775454889879</v>
      </c>
    </row>
    <row r="1766" spans="1:6">
      <c r="A1766" s="1">
        <v>9126592</v>
      </c>
      <c r="B1766" s="1">
        <v>0.8112604694178539</v>
      </c>
      <c r="C1766" s="1">
        <v>29</v>
      </c>
      <c r="D1766" s="1">
        <v>564</v>
      </c>
      <c r="E1766" s="2">
        <v>43276</v>
      </c>
      <c r="F1766" s="6">
        <v>16.121722436292238</v>
      </c>
    </row>
    <row r="1767" spans="1:6">
      <c r="A1767" s="1">
        <v>9126595</v>
      </c>
      <c r="B1767" s="1">
        <v>0.25793940752594169</v>
      </c>
      <c r="C1767" s="1">
        <v>1</v>
      </c>
      <c r="D1767" s="1">
        <v>221</v>
      </c>
      <c r="E1767" s="2">
        <v>43335</v>
      </c>
      <c r="F1767" s="6">
        <v>44.528297262662697</v>
      </c>
    </row>
    <row r="1768" spans="1:6">
      <c r="A1768" s="1">
        <v>9126598</v>
      </c>
      <c r="B1768" s="1">
        <v>0.81753423264808078</v>
      </c>
      <c r="C1768" s="1">
        <v>70</v>
      </c>
      <c r="D1768" s="1">
        <v>430</v>
      </c>
      <c r="E1768" s="2">
        <v>42853</v>
      </c>
      <c r="F1768" s="6">
        <v>72.861614132405876</v>
      </c>
    </row>
    <row r="1769" spans="1:6">
      <c r="A1769" s="1">
        <v>9126601</v>
      </c>
      <c r="B1769" s="1">
        <v>0.26235765930786015</v>
      </c>
      <c r="C1769" s="1">
        <v>1</v>
      </c>
      <c r="D1769" s="1">
        <v>22</v>
      </c>
      <c r="E1769" s="2">
        <v>43019</v>
      </c>
      <c r="F1769" s="6">
        <v>27.175546558136109</v>
      </c>
    </row>
    <row r="1770" spans="1:6">
      <c r="A1770" s="1">
        <v>9126604</v>
      </c>
      <c r="B1770" s="1">
        <v>2.0620153444110056E-2</v>
      </c>
      <c r="C1770" s="1">
        <v>37</v>
      </c>
      <c r="D1770" s="1">
        <v>548</v>
      </c>
      <c r="E1770" s="2">
        <v>43413</v>
      </c>
      <c r="F1770" s="6">
        <v>9.013937979975406</v>
      </c>
    </row>
    <row r="1771" spans="1:6">
      <c r="A1771" s="1">
        <v>9126607</v>
      </c>
      <c r="B1771" s="1">
        <v>0.18914164303877601</v>
      </c>
      <c r="C1771" s="1">
        <v>57</v>
      </c>
      <c r="D1771" s="1">
        <v>510</v>
      </c>
      <c r="E1771" s="2">
        <v>43445</v>
      </c>
      <c r="F1771" s="6">
        <v>4.5533333602153512</v>
      </c>
    </row>
    <row r="1772" spans="1:6">
      <c r="A1772" s="1">
        <v>9126610</v>
      </c>
      <c r="B1772" s="1">
        <v>0.66244755529300758</v>
      </c>
      <c r="C1772" s="1">
        <v>70</v>
      </c>
      <c r="D1772" s="1">
        <v>510</v>
      </c>
      <c r="E1772" s="2">
        <v>43319</v>
      </c>
      <c r="F1772" s="6">
        <v>148.40577824180602</v>
      </c>
    </row>
    <row r="1773" spans="1:6">
      <c r="A1773" s="1">
        <v>9126613</v>
      </c>
      <c r="B1773" s="1">
        <v>0.3999463832803708</v>
      </c>
      <c r="C1773" s="1">
        <v>13</v>
      </c>
      <c r="D1773" s="1">
        <v>176</v>
      </c>
      <c r="E1773" s="2">
        <v>43057</v>
      </c>
      <c r="F1773" s="6">
        <v>3.2211321287530286</v>
      </c>
    </row>
    <row r="1774" spans="1:6">
      <c r="A1774" s="1">
        <v>9126616</v>
      </c>
      <c r="B1774" s="1">
        <v>0.13478719896888958</v>
      </c>
      <c r="C1774" s="1">
        <v>149</v>
      </c>
      <c r="D1774" s="1">
        <v>564</v>
      </c>
      <c r="E1774" s="2">
        <v>43474</v>
      </c>
      <c r="F1774" s="6">
        <v>174.58778553822316</v>
      </c>
    </row>
    <row r="1775" spans="1:6">
      <c r="A1775" s="1">
        <v>9126619</v>
      </c>
      <c r="B1775" s="1">
        <v>0.53463209285182001</v>
      </c>
      <c r="C1775" s="1">
        <v>108</v>
      </c>
      <c r="D1775" s="1">
        <v>176</v>
      </c>
      <c r="E1775" s="2">
        <v>43064</v>
      </c>
      <c r="F1775" s="6">
        <v>183.34968169529992</v>
      </c>
    </row>
    <row r="1776" spans="1:6">
      <c r="A1776" s="1">
        <v>9126622</v>
      </c>
      <c r="B1776" s="1">
        <v>0.35135477039229646</v>
      </c>
      <c r="C1776" s="1">
        <v>18</v>
      </c>
      <c r="D1776" s="1">
        <v>597</v>
      </c>
      <c r="E1776" s="2">
        <v>42777</v>
      </c>
      <c r="F1776" s="6">
        <v>3.8352588124258347</v>
      </c>
    </row>
    <row r="1777" spans="1:6">
      <c r="A1777" s="1">
        <v>9126625</v>
      </c>
      <c r="B1777" s="1">
        <v>0.32087548604962113</v>
      </c>
      <c r="C1777" s="1">
        <v>83</v>
      </c>
      <c r="D1777" s="1">
        <v>597</v>
      </c>
      <c r="E1777" s="2">
        <v>42938</v>
      </c>
      <c r="F1777" s="6">
        <v>54.177649036673614</v>
      </c>
    </row>
    <row r="1778" spans="1:6">
      <c r="A1778" s="1">
        <v>9126628</v>
      </c>
      <c r="B1778" s="1">
        <v>0.85259947791529689</v>
      </c>
      <c r="C1778" s="1">
        <v>41</v>
      </c>
      <c r="D1778" s="1">
        <v>138</v>
      </c>
      <c r="E1778" s="2">
        <v>43279</v>
      </c>
      <c r="F1778" s="6">
        <v>18.271786913881684</v>
      </c>
    </row>
    <row r="1779" spans="1:6">
      <c r="A1779" s="1">
        <v>9126631</v>
      </c>
      <c r="B1779" s="1">
        <v>0.15751941532235714</v>
      </c>
      <c r="C1779" s="1">
        <v>7</v>
      </c>
      <c r="D1779" s="1">
        <v>293</v>
      </c>
      <c r="E1779" s="2">
        <v>43198</v>
      </c>
      <c r="F1779" s="6">
        <v>5.303110918553271</v>
      </c>
    </row>
    <row r="1780" spans="1:6">
      <c r="A1780" s="1">
        <v>9126634</v>
      </c>
      <c r="B1780" s="1">
        <v>0.39252988404768818</v>
      </c>
      <c r="C1780" s="1">
        <v>27</v>
      </c>
      <c r="D1780" s="1">
        <v>146</v>
      </c>
      <c r="E1780" s="2">
        <v>42866</v>
      </c>
      <c r="F1780" s="6">
        <v>79.074761473474254</v>
      </c>
    </row>
    <row r="1781" spans="1:6">
      <c r="A1781" s="1">
        <v>9126637</v>
      </c>
      <c r="B1781" s="1">
        <v>0.71646075526527964</v>
      </c>
      <c r="C1781" s="1">
        <v>2</v>
      </c>
      <c r="D1781" s="1">
        <v>103</v>
      </c>
      <c r="E1781" s="2">
        <v>42920</v>
      </c>
      <c r="F1781" s="6">
        <v>25.429328495649777</v>
      </c>
    </row>
    <row r="1782" spans="1:6">
      <c r="A1782" s="1">
        <v>9126640</v>
      </c>
      <c r="B1782" s="1">
        <v>0.74128755136104474</v>
      </c>
      <c r="C1782" s="1">
        <v>40</v>
      </c>
      <c r="D1782" s="1">
        <v>541</v>
      </c>
      <c r="E1782" s="2">
        <v>42787</v>
      </c>
      <c r="F1782" s="6">
        <v>58.435126856901604</v>
      </c>
    </row>
    <row r="1783" spans="1:6">
      <c r="A1783" s="1">
        <v>9126643</v>
      </c>
      <c r="B1783" s="1">
        <v>0.23029167111540394</v>
      </c>
      <c r="C1783" s="1">
        <v>126</v>
      </c>
      <c r="D1783" s="1">
        <v>492</v>
      </c>
      <c r="E1783" s="2">
        <v>42788</v>
      </c>
      <c r="F1783" s="6">
        <v>155.40430154817886</v>
      </c>
    </row>
    <row r="1784" spans="1:6">
      <c r="A1784" s="1">
        <v>9126646</v>
      </c>
      <c r="B1784" s="1">
        <v>0.51381894437997677</v>
      </c>
      <c r="C1784" s="1">
        <v>97</v>
      </c>
      <c r="D1784" s="1">
        <v>424</v>
      </c>
      <c r="E1784" s="2">
        <v>43097</v>
      </c>
      <c r="F1784" s="6">
        <v>54.271497136548639</v>
      </c>
    </row>
    <row r="1785" spans="1:6">
      <c r="A1785" s="1">
        <v>9126649</v>
      </c>
      <c r="B1785" s="1">
        <v>0.60506301216239755</v>
      </c>
      <c r="C1785" s="1">
        <v>106</v>
      </c>
      <c r="D1785" s="1">
        <v>358</v>
      </c>
      <c r="E1785" s="2">
        <v>43483</v>
      </c>
      <c r="F1785" s="6">
        <v>17.858467648449654</v>
      </c>
    </row>
    <row r="1786" spans="1:6">
      <c r="A1786" s="1">
        <v>9126652</v>
      </c>
      <c r="B1786" s="1">
        <v>7.9182433196682389E-2</v>
      </c>
      <c r="C1786" s="1">
        <v>29</v>
      </c>
      <c r="D1786" s="1">
        <v>348</v>
      </c>
      <c r="E1786" s="2">
        <v>43004</v>
      </c>
      <c r="F1786" s="6">
        <v>16.801846375202182</v>
      </c>
    </row>
    <row r="1787" spans="1:6">
      <c r="A1787" s="1">
        <v>9126655</v>
      </c>
      <c r="B1787" s="1">
        <v>0.54286227831677258</v>
      </c>
      <c r="C1787" s="1">
        <v>151</v>
      </c>
      <c r="D1787" s="1">
        <v>510</v>
      </c>
      <c r="E1787" s="2">
        <v>43129</v>
      </c>
      <c r="F1787" s="6">
        <v>16.281637241096945</v>
      </c>
    </row>
    <row r="1788" spans="1:6">
      <c r="A1788" s="1">
        <v>9126658</v>
      </c>
      <c r="B1788" s="1">
        <v>0.7804031476586929</v>
      </c>
      <c r="C1788" s="1">
        <v>319</v>
      </c>
      <c r="D1788" s="1">
        <v>564</v>
      </c>
      <c r="E1788" s="2">
        <v>43165</v>
      </c>
      <c r="F1788" s="6">
        <v>10.7698728206712</v>
      </c>
    </row>
    <row r="1789" spans="1:6">
      <c r="A1789" s="1">
        <v>9126661</v>
      </c>
      <c r="B1789" s="1">
        <v>0.23224598890463544</v>
      </c>
      <c r="C1789" s="1">
        <v>4</v>
      </c>
      <c r="D1789" s="1">
        <v>197</v>
      </c>
      <c r="E1789" s="2">
        <v>43278</v>
      </c>
      <c r="F1789" s="6">
        <v>68.026147248074722</v>
      </c>
    </row>
    <row r="1790" spans="1:6">
      <c r="A1790" s="1">
        <v>9126664</v>
      </c>
      <c r="B1790" s="1">
        <v>0.41768916933418465</v>
      </c>
      <c r="C1790" s="1">
        <v>3</v>
      </c>
      <c r="D1790" s="1">
        <v>365</v>
      </c>
      <c r="E1790" s="2">
        <v>43454</v>
      </c>
      <c r="F1790" s="6">
        <v>39.589349697397054</v>
      </c>
    </row>
    <row r="1791" spans="1:6">
      <c r="A1791" s="1">
        <v>9126667</v>
      </c>
      <c r="B1791" s="1">
        <v>0.40629912461007123</v>
      </c>
      <c r="C1791" s="1">
        <v>100</v>
      </c>
      <c r="D1791" s="1">
        <v>263</v>
      </c>
      <c r="E1791" s="2">
        <v>43356</v>
      </c>
      <c r="F1791" s="6">
        <v>25.627841621096273</v>
      </c>
    </row>
    <row r="1792" spans="1:6">
      <c r="A1792" s="1">
        <v>9126670</v>
      </c>
      <c r="B1792" s="1">
        <v>0.10296702304260619</v>
      </c>
      <c r="C1792" s="1">
        <v>7</v>
      </c>
      <c r="D1792" s="1">
        <v>495</v>
      </c>
      <c r="E1792" s="2">
        <v>43474</v>
      </c>
      <c r="F1792" s="6">
        <v>53.595091280556971</v>
      </c>
    </row>
    <row r="1793" spans="1:6">
      <c r="A1793" s="1">
        <v>9126673</v>
      </c>
      <c r="B1793" s="1">
        <v>0.81039312474847136</v>
      </c>
      <c r="C1793" s="1">
        <v>32</v>
      </c>
      <c r="D1793" s="1">
        <v>289</v>
      </c>
      <c r="E1793" s="2">
        <v>43107</v>
      </c>
      <c r="F1793" s="6">
        <v>101.36241490141786</v>
      </c>
    </row>
    <row r="1794" spans="1:6">
      <c r="A1794" s="1">
        <v>9126676</v>
      </c>
      <c r="B1794" s="1">
        <v>0.98988990361465579</v>
      </c>
      <c r="C1794" s="1">
        <v>1</v>
      </c>
      <c r="D1794" s="1">
        <v>176</v>
      </c>
      <c r="E1794" s="2">
        <v>42964</v>
      </c>
      <c r="F1794" s="6">
        <v>26.034904964579397</v>
      </c>
    </row>
    <row r="1795" spans="1:6">
      <c r="A1795" s="1">
        <v>9126679</v>
      </c>
      <c r="B1795" s="1">
        <v>0.29406951551265803</v>
      </c>
      <c r="C1795" s="1">
        <v>14</v>
      </c>
      <c r="D1795" s="1">
        <v>412</v>
      </c>
      <c r="E1795" s="2">
        <v>43137</v>
      </c>
      <c r="F1795" s="6">
        <v>4.1052748275750517</v>
      </c>
    </row>
    <row r="1796" spans="1:6">
      <c r="A1796" s="1">
        <v>9126682</v>
      </c>
      <c r="B1796" s="1">
        <v>0.83717691405202654</v>
      </c>
      <c r="C1796" s="1">
        <v>2</v>
      </c>
      <c r="D1796" s="1">
        <v>100</v>
      </c>
      <c r="E1796" s="2">
        <v>43339</v>
      </c>
      <c r="F1796" s="6">
        <v>57.272448007846648</v>
      </c>
    </row>
    <row r="1797" spans="1:6">
      <c r="A1797" s="1">
        <v>9126685</v>
      </c>
      <c r="B1797" s="1">
        <v>0.84380789587708926</v>
      </c>
      <c r="C1797" s="1">
        <v>42</v>
      </c>
      <c r="D1797" s="1">
        <v>9</v>
      </c>
      <c r="E1797" s="2">
        <v>43046</v>
      </c>
      <c r="F1797" s="6">
        <v>52.777848423790743</v>
      </c>
    </row>
    <row r="1798" spans="1:6">
      <c r="A1798" s="1">
        <v>9126688</v>
      </c>
      <c r="B1798" s="1">
        <v>0.22316990626563493</v>
      </c>
      <c r="C1798" s="1">
        <v>14</v>
      </c>
      <c r="D1798" s="1">
        <v>176</v>
      </c>
      <c r="E1798" s="2">
        <v>42831</v>
      </c>
      <c r="F1798" s="6">
        <v>16.938732780380363</v>
      </c>
    </row>
    <row r="1799" spans="1:6">
      <c r="A1799" s="1">
        <v>9126691</v>
      </c>
      <c r="B1799" s="1">
        <v>0.9746333891044352</v>
      </c>
      <c r="C1799" s="1">
        <v>4</v>
      </c>
      <c r="D1799" s="1">
        <v>514</v>
      </c>
      <c r="E1799" s="2">
        <v>42935</v>
      </c>
      <c r="F1799" s="6">
        <v>180.96552256561839</v>
      </c>
    </row>
    <row r="1800" spans="1:6">
      <c r="A1800" s="1">
        <v>9126694</v>
      </c>
      <c r="B1800" s="1">
        <v>0.10773729619498151</v>
      </c>
      <c r="C1800" s="1">
        <v>1</v>
      </c>
      <c r="D1800" s="1">
        <v>450</v>
      </c>
      <c r="E1800" s="2">
        <v>42839</v>
      </c>
      <c r="F1800" s="6">
        <v>146.42640429374546</v>
      </c>
    </row>
    <row r="1801" spans="1:6">
      <c r="A1801" s="1">
        <v>9126697</v>
      </c>
      <c r="B1801" s="1">
        <v>0.31048853271948618</v>
      </c>
      <c r="C1801" s="1">
        <v>1</v>
      </c>
      <c r="D1801" s="1">
        <v>258</v>
      </c>
      <c r="E1801" s="2">
        <v>42985</v>
      </c>
      <c r="F1801" s="6">
        <v>25.372698156530262</v>
      </c>
    </row>
    <row r="1802" spans="1:6">
      <c r="A1802" s="1">
        <v>9126700</v>
      </c>
      <c r="B1802" s="1">
        <v>0.21008642601308114</v>
      </c>
      <c r="C1802" s="1">
        <v>121</v>
      </c>
      <c r="D1802" s="1">
        <v>182</v>
      </c>
      <c r="E1802" s="2">
        <v>42780</v>
      </c>
      <c r="F1802" s="6">
        <v>133.73380905513105</v>
      </c>
    </row>
    <row r="1803" spans="1:6">
      <c r="A1803" s="1">
        <v>9126703</v>
      </c>
      <c r="B1803" s="1">
        <v>0.18374198741347636</v>
      </c>
      <c r="C1803" s="1">
        <v>231</v>
      </c>
      <c r="D1803" s="1">
        <v>358</v>
      </c>
      <c r="E1803" s="2">
        <v>43056</v>
      </c>
      <c r="F1803" s="6">
        <v>57.651635557934831</v>
      </c>
    </row>
    <row r="1804" spans="1:6">
      <c r="A1804" s="1">
        <v>9126706</v>
      </c>
      <c r="B1804" s="1">
        <v>0.36908798547014188</v>
      </c>
      <c r="C1804" s="1">
        <v>40</v>
      </c>
      <c r="D1804" s="1">
        <v>272</v>
      </c>
      <c r="E1804" s="2">
        <v>42808</v>
      </c>
      <c r="F1804" s="6">
        <v>3.6440404180436659</v>
      </c>
    </row>
    <row r="1805" spans="1:6">
      <c r="A1805" s="1">
        <v>9126709</v>
      </c>
      <c r="B1805" s="1">
        <v>0.64349025478568223</v>
      </c>
      <c r="C1805" s="1">
        <v>45</v>
      </c>
      <c r="D1805" s="1">
        <v>361</v>
      </c>
      <c r="E1805" s="2">
        <v>43417</v>
      </c>
      <c r="F1805" s="6">
        <v>4.3954068207689332</v>
      </c>
    </row>
    <row r="1806" spans="1:6">
      <c r="A1806" s="1">
        <v>9126712</v>
      </c>
      <c r="B1806" s="1">
        <v>0.77099046630077828</v>
      </c>
      <c r="C1806" s="1">
        <v>20</v>
      </c>
      <c r="D1806" s="1">
        <v>487</v>
      </c>
      <c r="E1806" s="2">
        <v>42743</v>
      </c>
      <c r="F1806" s="6">
        <v>134.83673037642643</v>
      </c>
    </row>
    <row r="1807" spans="1:6">
      <c r="A1807" s="1">
        <v>9126715</v>
      </c>
      <c r="B1807" s="1">
        <v>0.35518970853781329</v>
      </c>
      <c r="C1807" s="1">
        <v>215</v>
      </c>
      <c r="D1807" s="1">
        <v>564</v>
      </c>
      <c r="E1807" s="2">
        <v>42785</v>
      </c>
      <c r="F1807" s="6">
        <v>109.27498759468506</v>
      </c>
    </row>
    <row r="1808" spans="1:6">
      <c r="A1808" s="1">
        <v>9126718</v>
      </c>
      <c r="B1808" s="1">
        <v>0.87996125361735955</v>
      </c>
      <c r="C1808" s="1">
        <v>154</v>
      </c>
      <c r="D1808" s="1">
        <v>564</v>
      </c>
      <c r="E1808" s="2">
        <v>43151</v>
      </c>
      <c r="F1808" s="6">
        <v>104.34574037637742</v>
      </c>
    </row>
    <row r="1809" spans="1:6">
      <c r="A1809" s="1">
        <v>9126721</v>
      </c>
      <c r="B1809" s="1">
        <v>0.67973764854622754</v>
      </c>
      <c r="C1809" s="1">
        <v>11</v>
      </c>
      <c r="D1809" s="1">
        <v>258</v>
      </c>
      <c r="E1809" s="2">
        <v>43094</v>
      </c>
      <c r="F1809" s="6">
        <v>158.42336481962695</v>
      </c>
    </row>
    <row r="1810" spans="1:6">
      <c r="A1810" s="1">
        <v>9126724</v>
      </c>
      <c r="B1810" s="1">
        <v>0.8195129773966221</v>
      </c>
      <c r="C1810" s="1">
        <v>51</v>
      </c>
      <c r="D1810" s="1">
        <v>548</v>
      </c>
      <c r="E1810" s="2">
        <v>42774</v>
      </c>
      <c r="F1810" s="6">
        <v>4.6105956104058476</v>
      </c>
    </row>
    <row r="1811" spans="1:6">
      <c r="A1811" s="1">
        <v>9126727</v>
      </c>
      <c r="B1811" s="1">
        <v>0.14409051947155294</v>
      </c>
      <c r="C1811" s="1">
        <v>62</v>
      </c>
      <c r="D1811" s="1">
        <v>22</v>
      </c>
      <c r="E1811" s="2">
        <v>43360</v>
      </c>
      <c r="F1811" s="6">
        <v>92.238083222560917</v>
      </c>
    </row>
    <row r="1812" spans="1:6">
      <c r="A1812" s="1">
        <v>9126730</v>
      </c>
      <c r="B1812" s="1">
        <v>9.2538545573568332E-2</v>
      </c>
      <c r="C1812" s="1">
        <v>13</v>
      </c>
      <c r="D1812" s="1">
        <v>290</v>
      </c>
      <c r="E1812" s="2">
        <v>42887</v>
      </c>
      <c r="F1812" s="6">
        <v>4.1780384105407125</v>
      </c>
    </row>
    <row r="1813" spans="1:6">
      <c r="A1813" s="1">
        <v>9126733</v>
      </c>
      <c r="B1813" s="1">
        <v>1.5619011184131559E-2</v>
      </c>
      <c r="C1813" s="1">
        <v>18</v>
      </c>
      <c r="D1813" s="1">
        <v>258</v>
      </c>
      <c r="E1813" s="2">
        <v>42757</v>
      </c>
      <c r="F1813" s="6">
        <v>22.32401679152991</v>
      </c>
    </row>
    <row r="1814" spans="1:6">
      <c r="A1814" s="1">
        <v>9126736</v>
      </c>
      <c r="B1814" s="1">
        <v>8.484484820502014E-2</v>
      </c>
      <c r="C1814" s="1">
        <v>12</v>
      </c>
      <c r="D1814" s="1">
        <v>235</v>
      </c>
      <c r="E1814" s="2">
        <v>43015</v>
      </c>
      <c r="F1814" s="6">
        <v>3.8887306037657794</v>
      </c>
    </row>
    <row r="1815" spans="1:6">
      <c r="A1815" s="1">
        <v>9126739</v>
      </c>
      <c r="B1815" s="1">
        <v>0.31213222033834787</v>
      </c>
      <c r="C1815" s="1">
        <v>7</v>
      </c>
      <c r="D1815" s="1">
        <v>258</v>
      </c>
      <c r="E1815" s="2">
        <v>43221</v>
      </c>
      <c r="F1815" s="6">
        <v>29.792936572557497</v>
      </c>
    </row>
    <row r="1816" spans="1:6">
      <c r="A1816" s="1">
        <v>9126742</v>
      </c>
      <c r="B1816" s="1">
        <v>0.20837667638328905</v>
      </c>
      <c r="C1816" s="1">
        <v>76</v>
      </c>
      <c r="D1816" s="1">
        <v>88</v>
      </c>
      <c r="E1816" s="2">
        <v>42900</v>
      </c>
      <c r="F1816" s="6">
        <v>20.063753486160461</v>
      </c>
    </row>
    <row r="1817" spans="1:6">
      <c r="A1817" s="1">
        <v>9126745</v>
      </c>
      <c r="B1817" s="1">
        <v>0.88055244400716837</v>
      </c>
      <c r="C1817" s="1">
        <v>3</v>
      </c>
      <c r="D1817" s="1">
        <v>176</v>
      </c>
      <c r="E1817" s="2">
        <v>43085</v>
      </c>
      <c r="F1817" s="6">
        <v>42.655360833249276</v>
      </c>
    </row>
    <row r="1818" spans="1:6">
      <c r="A1818" s="1">
        <v>9126748</v>
      </c>
      <c r="B1818" s="1">
        <v>0.1510903235678086</v>
      </c>
      <c r="C1818" s="1">
        <v>170</v>
      </c>
      <c r="D1818" s="1">
        <v>495</v>
      </c>
      <c r="E1818" s="2">
        <v>43169</v>
      </c>
      <c r="F1818" s="6">
        <v>3.746450244098559</v>
      </c>
    </row>
    <row r="1819" spans="1:6">
      <c r="A1819" s="1">
        <v>9126751</v>
      </c>
      <c r="B1819" s="1">
        <v>0.78687876578550886</v>
      </c>
      <c r="C1819" s="1">
        <v>22</v>
      </c>
      <c r="D1819" s="1">
        <v>450</v>
      </c>
      <c r="E1819" s="2">
        <v>43400</v>
      </c>
      <c r="F1819" s="6">
        <v>6.3869069081653365</v>
      </c>
    </row>
    <row r="1820" spans="1:6">
      <c r="A1820" s="1">
        <v>9126754</v>
      </c>
      <c r="B1820" s="1">
        <v>0.40432193990028065</v>
      </c>
      <c r="C1820" s="1">
        <v>62</v>
      </c>
      <c r="D1820" s="1">
        <v>182</v>
      </c>
      <c r="E1820" s="2">
        <v>43367</v>
      </c>
      <c r="F1820" s="6">
        <v>60.21104082645747</v>
      </c>
    </row>
    <row r="1821" spans="1:6">
      <c r="A1821" s="1">
        <v>9126757</v>
      </c>
      <c r="B1821" s="1">
        <v>0.23062349811254157</v>
      </c>
      <c r="C1821" s="1">
        <v>36</v>
      </c>
      <c r="D1821" s="1">
        <v>510</v>
      </c>
      <c r="E1821" s="2">
        <v>43328</v>
      </c>
      <c r="F1821" s="6">
        <v>21.852300577316075</v>
      </c>
    </row>
    <row r="1822" spans="1:6">
      <c r="A1822" s="1">
        <v>9126760</v>
      </c>
      <c r="B1822" s="1">
        <v>0.30554321404854201</v>
      </c>
      <c r="C1822" s="1">
        <v>1</v>
      </c>
      <c r="D1822" s="1">
        <v>90</v>
      </c>
      <c r="E1822" s="2">
        <v>43487</v>
      </c>
      <c r="F1822" s="6">
        <v>22.297240173102455</v>
      </c>
    </row>
    <row r="1823" spans="1:6">
      <c r="A1823" s="1">
        <v>9126763</v>
      </c>
      <c r="B1823" s="1">
        <v>0.82861219022848021</v>
      </c>
      <c r="C1823" s="1">
        <v>177</v>
      </c>
      <c r="D1823" s="1">
        <v>457</v>
      </c>
      <c r="E1823" s="2">
        <v>42979</v>
      </c>
      <c r="F1823" s="6">
        <v>139.72768495475091</v>
      </c>
    </row>
    <row r="1824" spans="1:6">
      <c r="A1824" s="1">
        <v>9126766</v>
      </c>
      <c r="B1824" s="1">
        <v>0.53771856663032191</v>
      </c>
      <c r="C1824" s="1">
        <v>13</v>
      </c>
      <c r="D1824" s="1">
        <v>149</v>
      </c>
      <c r="E1824" s="2">
        <v>43233</v>
      </c>
      <c r="F1824" s="6">
        <v>29.384007348362289</v>
      </c>
    </row>
    <row r="1825" spans="1:6">
      <c r="A1825" s="1">
        <v>9126769</v>
      </c>
      <c r="B1825" s="1">
        <v>0.44165720712044576</v>
      </c>
      <c r="C1825" s="1">
        <v>3</v>
      </c>
      <c r="D1825" s="1">
        <v>176</v>
      </c>
      <c r="E1825" s="2">
        <v>43051</v>
      </c>
      <c r="F1825" s="6">
        <v>125.21775927592455</v>
      </c>
    </row>
    <row r="1826" spans="1:6">
      <c r="A1826" s="1">
        <v>9126772</v>
      </c>
      <c r="B1826" s="1">
        <v>0.78693069258732651</v>
      </c>
      <c r="C1826" s="1">
        <v>2</v>
      </c>
      <c r="D1826" s="1">
        <v>258</v>
      </c>
      <c r="E1826" s="2">
        <v>43080</v>
      </c>
      <c r="F1826" s="6">
        <v>602.93990724770663</v>
      </c>
    </row>
    <row r="1827" spans="1:6">
      <c r="A1827" s="1">
        <v>9126775</v>
      </c>
      <c r="B1827" s="1">
        <v>0.79862120659460656</v>
      </c>
      <c r="C1827" s="1">
        <v>105</v>
      </c>
      <c r="D1827" s="1">
        <v>510</v>
      </c>
      <c r="E1827" s="2">
        <v>43490</v>
      </c>
      <c r="F1827" s="6">
        <v>28.597477643262078</v>
      </c>
    </row>
    <row r="1828" spans="1:6">
      <c r="A1828" s="1">
        <v>9126778</v>
      </c>
      <c r="B1828" s="1">
        <v>0.79775040632056593</v>
      </c>
      <c r="C1828" s="1">
        <v>21</v>
      </c>
      <c r="D1828" s="1">
        <v>47</v>
      </c>
      <c r="E1828" s="2">
        <v>42961</v>
      </c>
      <c r="F1828" s="6">
        <v>7.7886540362635799</v>
      </c>
    </row>
    <row r="1829" spans="1:6">
      <c r="A1829" s="1">
        <v>9126781</v>
      </c>
      <c r="B1829" s="1">
        <v>0.88802620503248253</v>
      </c>
      <c r="C1829" s="1">
        <v>100</v>
      </c>
      <c r="D1829" s="1">
        <v>564</v>
      </c>
      <c r="E1829" s="2">
        <v>43258</v>
      </c>
      <c r="F1829" s="6">
        <v>19.22446270047439</v>
      </c>
    </row>
    <row r="1830" spans="1:6">
      <c r="A1830" s="1">
        <v>9126784</v>
      </c>
      <c r="B1830" s="1">
        <v>0.52490594232511123</v>
      </c>
      <c r="C1830" s="1">
        <v>2</v>
      </c>
      <c r="D1830" s="1">
        <v>592</v>
      </c>
      <c r="E1830" s="2">
        <v>42875</v>
      </c>
      <c r="F1830" s="6">
        <v>4.9357641658045965</v>
      </c>
    </row>
    <row r="1831" spans="1:6">
      <c r="A1831" s="1">
        <v>9126787</v>
      </c>
      <c r="B1831" s="1">
        <v>0.43727095506927238</v>
      </c>
      <c r="C1831" s="1">
        <v>2</v>
      </c>
      <c r="D1831" s="1">
        <v>592</v>
      </c>
      <c r="E1831" s="2">
        <v>43496</v>
      </c>
      <c r="F1831" s="6">
        <v>77.735693499636568</v>
      </c>
    </row>
    <row r="1832" spans="1:6">
      <c r="A1832" s="1">
        <v>9126790</v>
      </c>
      <c r="B1832" s="1">
        <v>5.5570177984334168E-2</v>
      </c>
      <c r="C1832" s="1">
        <v>91</v>
      </c>
      <c r="D1832" s="1">
        <v>509</v>
      </c>
      <c r="E1832" s="2">
        <v>42963</v>
      </c>
      <c r="F1832" s="6">
        <v>11.888116328415721</v>
      </c>
    </row>
    <row r="1833" spans="1:6">
      <c r="A1833" s="1">
        <v>9126793</v>
      </c>
      <c r="B1833" s="1">
        <v>0.56714358726191194</v>
      </c>
      <c r="C1833" s="1">
        <v>145</v>
      </c>
      <c r="D1833" s="1">
        <v>90</v>
      </c>
      <c r="E1833" s="2">
        <v>43120</v>
      </c>
      <c r="F1833" s="6">
        <v>24.951922688340687</v>
      </c>
    </row>
    <row r="1834" spans="1:6">
      <c r="A1834" s="1">
        <v>9126796</v>
      </c>
      <c r="B1834" s="1">
        <v>0.40055879698805608</v>
      </c>
      <c r="C1834" s="1">
        <v>25</v>
      </c>
      <c r="D1834" s="1">
        <v>176</v>
      </c>
      <c r="E1834" s="2">
        <v>43086</v>
      </c>
      <c r="F1834" s="6">
        <v>22.599265143203983</v>
      </c>
    </row>
    <row r="1835" spans="1:6">
      <c r="A1835" s="1">
        <v>9126799</v>
      </c>
      <c r="B1835" s="1">
        <v>0.61090524324677886</v>
      </c>
      <c r="C1835" s="1">
        <v>268</v>
      </c>
      <c r="D1835" s="1">
        <v>589</v>
      </c>
      <c r="E1835" s="2">
        <v>43375</v>
      </c>
      <c r="F1835" s="6">
        <v>56.659544211042878</v>
      </c>
    </row>
    <row r="1836" spans="1:6">
      <c r="A1836" s="1">
        <v>9126802</v>
      </c>
      <c r="B1836" s="1">
        <v>0.3572259394805587</v>
      </c>
      <c r="C1836" s="1">
        <v>143</v>
      </c>
      <c r="D1836" s="1">
        <v>326</v>
      </c>
      <c r="E1836" s="2">
        <v>43200</v>
      </c>
      <c r="F1836" s="6">
        <v>43.389756940001277</v>
      </c>
    </row>
    <row r="1837" spans="1:6">
      <c r="A1837" s="1">
        <v>9126805</v>
      </c>
      <c r="B1837" s="1">
        <v>4.3520212124193436E-2</v>
      </c>
      <c r="C1837" s="1">
        <v>25</v>
      </c>
      <c r="D1837" s="1">
        <v>225</v>
      </c>
      <c r="E1837" s="2">
        <v>42864</v>
      </c>
      <c r="F1837" s="6">
        <v>10.942694697947362</v>
      </c>
    </row>
    <row r="1838" spans="1:6">
      <c r="A1838" s="1">
        <v>9126808</v>
      </c>
      <c r="B1838" s="1">
        <v>6.0829247900149763E-2</v>
      </c>
      <c r="C1838" s="1">
        <v>57</v>
      </c>
      <c r="D1838" s="1">
        <v>220</v>
      </c>
      <c r="E1838" s="2">
        <v>42990</v>
      </c>
      <c r="F1838" s="6">
        <v>29.512896501395733</v>
      </c>
    </row>
    <row r="1839" spans="1:6">
      <c r="A1839" s="1">
        <v>9126811</v>
      </c>
      <c r="B1839" s="1">
        <v>0.34708832623123276</v>
      </c>
      <c r="C1839" s="1">
        <v>133</v>
      </c>
      <c r="D1839" s="1">
        <v>258</v>
      </c>
      <c r="E1839" s="2">
        <v>42743</v>
      </c>
      <c r="F1839" s="6">
        <v>41.593195167881582</v>
      </c>
    </row>
    <row r="1840" spans="1:6">
      <c r="A1840" s="1">
        <v>9126814</v>
      </c>
      <c r="B1840" s="1">
        <v>0.60694860916565008</v>
      </c>
      <c r="C1840" s="1">
        <v>2</v>
      </c>
      <c r="D1840" s="1">
        <v>77</v>
      </c>
      <c r="E1840" s="2">
        <v>42763</v>
      </c>
      <c r="F1840" s="6">
        <v>16.522558594773585</v>
      </c>
    </row>
    <row r="1841" spans="1:6">
      <c r="A1841" s="1">
        <v>9126817</v>
      </c>
      <c r="B1841" s="1">
        <v>0.72811581580459395</v>
      </c>
      <c r="C1841" s="1">
        <v>13</v>
      </c>
      <c r="D1841" s="1">
        <v>366</v>
      </c>
      <c r="E1841" s="2">
        <v>43105</v>
      </c>
      <c r="F1841" s="6">
        <v>3.4576267825702232</v>
      </c>
    </row>
    <row r="1842" spans="1:6">
      <c r="A1842" s="1">
        <v>9126820</v>
      </c>
      <c r="B1842" s="1">
        <v>0.1324428744640429</v>
      </c>
      <c r="C1842" s="1">
        <v>44</v>
      </c>
      <c r="D1842" s="1">
        <v>22</v>
      </c>
      <c r="E1842" s="2">
        <v>42883</v>
      </c>
      <c r="F1842" s="6">
        <v>98.428435966035309</v>
      </c>
    </row>
    <row r="1843" spans="1:6">
      <c r="A1843" s="1">
        <v>9126823</v>
      </c>
      <c r="B1843" s="1">
        <v>0.88595288630660296</v>
      </c>
      <c r="C1843" s="1">
        <v>34</v>
      </c>
      <c r="D1843" s="1">
        <v>139</v>
      </c>
      <c r="E1843" s="2">
        <v>43488</v>
      </c>
      <c r="F1843" s="6">
        <v>191.79461674669145</v>
      </c>
    </row>
    <row r="1844" spans="1:6">
      <c r="A1844" s="1">
        <v>9126826</v>
      </c>
      <c r="B1844" s="1">
        <v>0.98812764331571012</v>
      </c>
      <c r="C1844" s="1">
        <v>72</v>
      </c>
      <c r="D1844" s="1">
        <v>451</v>
      </c>
      <c r="E1844" s="2">
        <v>42995</v>
      </c>
      <c r="F1844" s="6">
        <v>32.281635022607901</v>
      </c>
    </row>
    <row r="1845" spans="1:6">
      <c r="A1845" s="1">
        <v>9126829</v>
      </c>
      <c r="B1845" s="1">
        <v>0.35195885979678343</v>
      </c>
      <c r="C1845" s="1">
        <v>220</v>
      </c>
      <c r="D1845" s="1">
        <v>458</v>
      </c>
      <c r="E1845" s="2">
        <v>43263</v>
      </c>
      <c r="F1845" s="6">
        <v>20.642669839534182</v>
      </c>
    </row>
    <row r="1846" spans="1:6">
      <c r="A1846" s="1">
        <v>9126832</v>
      </c>
      <c r="B1846" s="1">
        <v>0.84178147080002952</v>
      </c>
      <c r="C1846" s="1">
        <v>74</v>
      </c>
      <c r="D1846" s="1">
        <v>492</v>
      </c>
      <c r="E1846" s="2">
        <v>43044</v>
      </c>
      <c r="F1846" s="6">
        <v>124.73083216258458</v>
      </c>
    </row>
    <row r="1847" spans="1:6">
      <c r="A1847" s="1">
        <v>9126835</v>
      </c>
      <c r="B1847" s="1">
        <v>0.27011301046584479</v>
      </c>
      <c r="C1847" s="1">
        <v>89</v>
      </c>
      <c r="D1847" s="1">
        <v>458</v>
      </c>
      <c r="E1847" s="2">
        <v>43142</v>
      </c>
      <c r="F1847" s="6">
        <v>54.866145169190261</v>
      </c>
    </row>
    <row r="1848" spans="1:6">
      <c r="A1848" s="1">
        <v>9126838</v>
      </c>
      <c r="B1848" s="1">
        <v>0.25487206860069656</v>
      </c>
      <c r="C1848" s="1">
        <v>1</v>
      </c>
      <c r="D1848" s="1">
        <v>102</v>
      </c>
      <c r="E1848" s="2">
        <v>43165</v>
      </c>
      <c r="F1848" s="6">
        <v>128.92200797788271</v>
      </c>
    </row>
    <row r="1849" spans="1:6">
      <c r="A1849" s="1">
        <v>9126841</v>
      </c>
      <c r="B1849" s="1">
        <v>0.98887993861360812</v>
      </c>
      <c r="C1849" s="1">
        <v>66</v>
      </c>
      <c r="D1849" s="1">
        <v>348</v>
      </c>
      <c r="E1849" s="2">
        <v>43017</v>
      </c>
      <c r="F1849" s="6">
        <v>31.094866457950612</v>
      </c>
    </row>
    <row r="1850" spans="1:6">
      <c r="A1850" s="1">
        <v>9126844</v>
      </c>
      <c r="B1850" s="1">
        <v>0.4862674058402211</v>
      </c>
      <c r="C1850" s="1">
        <v>5</v>
      </c>
      <c r="D1850" s="1">
        <v>510</v>
      </c>
      <c r="E1850" s="2">
        <v>42845</v>
      </c>
      <c r="F1850" s="6">
        <v>105.72910722563797</v>
      </c>
    </row>
    <row r="1851" spans="1:6">
      <c r="A1851" s="1">
        <v>9126847</v>
      </c>
      <c r="B1851" s="1">
        <v>0.66067894657047976</v>
      </c>
      <c r="C1851" s="1">
        <v>59</v>
      </c>
      <c r="D1851" s="1">
        <v>146</v>
      </c>
      <c r="E1851" s="2">
        <v>43087</v>
      </c>
      <c r="F1851" s="6">
        <v>6.7030928056040153</v>
      </c>
    </row>
    <row r="1852" spans="1:6">
      <c r="A1852" s="1">
        <v>9126850</v>
      </c>
      <c r="B1852" s="1">
        <v>0.44174953671436146</v>
      </c>
      <c r="C1852" s="1">
        <v>101</v>
      </c>
      <c r="D1852" s="1">
        <v>572</v>
      </c>
      <c r="E1852" s="2">
        <v>42964</v>
      </c>
      <c r="F1852" s="6">
        <v>42.147342572988983</v>
      </c>
    </row>
    <row r="1853" spans="1:6">
      <c r="A1853" s="1">
        <v>9126853</v>
      </c>
      <c r="B1853" s="1">
        <v>0.93621035982823997</v>
      </c>
      <c r="C1853" s="1">
        <v>5</v>
      </c>
      <c r="D1853" s="1">
        <v>591</v>
      </c>
      <c r="E1853" s="2">
        <v>43204</v>
      </c>
      <c r="F1853" s="6">
        <v>287.3933695802383</v>
      </c>
    </row>
    <row r="1854" spans="1:6">
      <c r="A1854" s="1">
        <v>9126856</v>
      </c>
      <c r="B1854" s="1">
        <v>0.72665097613155538</v>
      </c>
      <c r="C1854" s="1">
        <v>1</v>
      </c>
      <c r="D1854" s="1">
        <v>431</v>
      </c>
      <c r="E1854" s="2">
        <v>42891</v>
      </c>
      <c r="F1854" s="6">
        <v>242.80029292654623</v>
      </c>
    </row>
    <row r="1855" spans="1:6">
      <c r="A1855" s="1">
        <v>9126859</v>
      </c>
      <c r="B1855" s="1">
        <v>7.2633901866585582E-3</v>
      </c>
      <c r="C1855" s="1">
        <v>47</v>
      </c>
      <c r="D1855" s="1">
        <v>420</v>
      </c>
      <c r="E1855" s="2">
        <v>42760</v>
      </c>
      <c r="F1855" s="6">
        <v>77.161595173802766</v>
      </c>
    </row>
    <row r="1856" spans="1:6">
      <c r="A1856" s="1">
        <v>9126862</v>
      </c>
      <c r="B1856" s="1">
        <v>0.85256965751824798</v>
      </c>
      <c r="C1856" s="1">
        <v>3</v>
      </c>
      <c r="D1856" s="1">
        <v>523</v>
      </c>
      <c r="E1856" s="2">
        <v>43141</v>
      </c>
      <c r="F1856" s="6">
        <v>10.623937369250704</v>
      </c>
    </row>
    <row r="1857" spans="1:6">
      <c r="A1857" s="1">
        <v>9126865</v>
      </c>
      <c r="B1857" s="1">
        <v>0.23285542332534459</v>
      </c>
      <c r="C1857" s="1">
        <v>1</v>
      </c>
      <c r="D1857" s="1">
        <v>220</v>
      </c>
      <c r="E1857" s="2">
        <v>43344</v>
      </c>
      <c r="F1857" s="6">
        <v>110.99509570158573</v>
      </c>
    </row>
    <row r="1858" spans="1:6">
      <c r="A1858" s="1">
        <v>9126868</v>
      </c>
      <c r="B1858" s="1">
        <v>0.39060179347276069</v>
      </c>
      <c r="C1858" s="1">
        <v>51</v>
      </c>
      <c r="D1858" s="1">
        <v>530</v>
      </c>
      <c r="E1858" s="2">
        <v>43319</v>
      </c>
      <c r="F1858" s="6">
        <v>10.642967543918601</v>
      </c>
    </row>
    <row r="1859" spans="1:6">
      <c r="A1859" s="1">
        <v>9126871</v>
      </c>
      <c r="B1859" s="1">
        <v>0.35499969454295432</v>
      </c>
      <c r="C1859" s="1">
        <v>4</v>
      </c>
      <c r="D1859" s="1">
        <v>541</v>
      </c>
      <c r="E1859" s="2">
        <v>43119</v>
      </c>
      <c r="F1859" s="6">
        <v>48.922460488952105</v>
      </c>
    </row>
    <row r="1860" spans="1:6">
      <c r="A1860" s="1">
        <v>9126874</v>
      </c>
      <c r="B1860" s="1">
        <v>0.67580688706238079</v>
      </c>
      <c r="C1860" s="1">
        <v>40</v>
      </c>
      <c r="D1860" s="1">
        <v>216</v>
      </c>
      <c r="E1860" s="2">
        <v>42785</v>
      </c>
      <c r="F1860" s="6">
        <v>344.0075941440511</v>
      </c>
    </row>
    <row r="1861" spans="1:6">
      <c r="A1861" s="1">
        <v>9126877</v>
      </c>
      <c r="B1861" s="1">
        <v>0.99196935304062805</v>
      </c>
      <c r="C1861" s="1">
        <v>47</v>
      </c>
      <c r="D1861" s="1">
        <v>487</v>
      </c>
      <c r="E1861" s="2">
        <v>43497</v>
      </c>
      <c r="F1861" s="6">
        <v>32.385582569796895</v>
      </c>
    </row>
    <row r="1862" spans="1:6">
      <c r="A1862" s="1">
        <v>9126880</v>
      </c>
      <c r="B1862" s="1">
        <v>0.94517990851087141</v>
      </c>
      <c r="C1862" s="1">
        <v>6</v>
      </c>
      <c r="D1862" s="1">
        <v>88</v>
      </c>
      <c r="E1862" s="2">
        <v>42985</v>
      </c>
      <c r="F1862" s="6">
        <v>58.876648157291676</v>
      </c>
    </row>
    <row r="1863" spans="1:6">
      <c r="A1863" s="1">
        <v>9126883</v>
      </c>
      <c r="B1863" s="1">
        <v>0.5152151292101429</v>
      </c>
      <c r="C1863" s="1">
        <v>121</v>
      </c>
      <c r="D1863" s="1">
        <v>597</v>
      </c>
      <c r="E1863" s="2">
        <v>43189</v>
      </c>
      <c r="F1863" s="6">
        <v>61.586436038528412</v>
      </c>
    </row>
    <row r="1864" spans="1:6">
      <c r="A1864" s="1">
        <v>9126886</v>
      </c>
      <c r="B1864" s="1">
        <v>0.57195294749876679</v>
      </c>
      <c r="C1864" s="1">
        <v>5</v>
      </c>
      <c r="D1864" s="1">
        <v>176</v>
      </c>
      <c r="E1864" s="2">
        <v>42981</v>
      </c>
      <c r="F1864" s="6">
        <v>60.546867986597107</v>
      </c>
    </row>
    <row r="1865" spans="1:6">
      <c r="A1865" s="1">
        <v>9126889</v>
      </c>
      <c r="B1865" s="1">
        <v>2.3855785712878497E-3</v>
      </c>
      <c r="C1865" s="1">
        <v>4</v>
      </c>
      <c r="D1865" s="1">
        <v>471</v>
      </c>
      <c r="E1865" s="2">
        <v>43178</v>
      </c>
      <c r="F1865" s="6">
        <v>3.9699687421679783</v>
      </c>
    </row>
    <row r="1866" spans="1:6">
      <c r="A1866" s="1">
        <v>9126892</v>
      </c>
      <c r="B1866" s="1">
        <v>0.59657752609352632</v>
      </c>
      <c r="C1866" s="1">
        <v>22</v>
      </c>
      <c r="D1866" s="1">
        <v>176</v>
      </c>
      <c r="E1866" s="2">
        <v>43329</v>
      </c>
      <c r="F1866" s="6">
        <v>27.498174873591207</v>
      </c>
    </row>
    <row r="1867" spans="1:6">
      <c r="A1867" s="1">
        <v>9126895</v>
      </c>
      <c r="B1867" s="1">
        <v>0.8148802800878675</v>
      </c>
      <c r="C1867" s="1">
        <v>85</v>
      </c>
      <c r="D1867" s="1">
        <v>592</v>
      </c>
      <c r="E1867" s="2">
        <v>42831</v>
      </c>
      <c r="F1867" s="6">
        <v>3.8943519252909233</v>
      </c>
    </row>
    <row r="1868" spans="1:6">
      <c r="A1868" s="1">
        <v>9126898</v>
      </c>
      <c r="B1868" s="1">
        <v>0.42439394150030707</v>
      </c>
      <c r="C1868" s="1">
        <v>9</v>
      </c>
      <c r="D1868" s="1">
        <v>458</v>
      </c>
      <c r="E1868" s="2">
        <v>42795</v>
      </c>
      <c r="F1868" s="6">
        <v>28.499247304213203</v>
      </c>
    </row>
    <row r="1869" spans="1:6">
      <c r="A1869" s="1">
        <v>9126901</v>
      </c>
      <c r="B1869" s="1">
        <v>0.23947252259963447</v>
      </c>
      <c r="C1869" s="1">
        <v>55</v>
      </c>
      <c r="D1869" s="1">
        <v>176</v>
      </c>
      <c r="E1869" s="2">
        <v>43138</v>
      </c>
      <c r="F1869" s="6">
        <v>41.40734825822792</v>
      </c>
    </row>
    <row r="1870" spans="1:6">
      <c r="A1870" s="1">
        <v>9126904</v>
      </c>
      <c r="B1870" s="1">
        <v>0.83888481767826639</v>
      </c>
      <c r="C1870" s="1">
        <v>15</v>
      </c>
      <c r="D1870" s="1">
        <v>495</v>
      </c>
      <c r="E1870" s="2">
        <v>43273</v>
      </c>
      <c r="F1870" s="6">
        <v>49.943562350083354</v>
      </c>
    </row>
    <row r="1871" spans="1:6">
      <c r="A1871" s="1">
        <v>9126907</v>
      </c>
      <c r="B1871" s="1">
        <v>0.22804394703454789</v>
      </c>
      <c r="C1871" s="1">
        <v>38</v>
      </c>
      <c r="D1871" s="1">
        <v>12</v>
      </c>
      <c r="E1871" s="2">
        <v>43265</v>
      </c>
      <c r="F1871" s="6">
        <v>49.958282074520035</v>
      </c>
    </row>
    <row r="1872" spans="1:6">
      <c r="A1872" s="1">
        <v>9126910</v>
      </c>
      <c r="B1872" s="1">
        <v>0.57047766952454637</v>
      </c>
      <c r="C1872" s="1">
        <v>31</v>
      </c>
      <c r="D1872" s="1">
        <v>74</v>
      </c>
      <c r="E1872" s="2">
        <v>43299</v>
      </c>
      <c r="F1872" s="6">
        <v>3.4590762577725376</v>
      </c>
    </row>
    <row r="1873" spans="1:6">
      <c r="A1873" s="1">
        <v>9126913</v>
      </c>
      <c r="B1873" s="1">
        <v>0.56709299979771222</v>
      </c>
      <c r="C1873" s="1">
        <v>2</v>
      </c>
      <c r="D1873" s="1">
        <v>589</v>
      </c>
      <c r="E1873" s="2">
        <v>42939</v>
      </c>
      <c r="F1873" s="6">
        <v>253.26964787314913</v>
      </c>
    </row>
    <row r="1874" spans="1:6">
      <c r="A1874" s="1">
        <v>9126916</v>
      </c>
      <c r="B1874" s="1">
        <v>0.13417207895187389</v>
      </c>
      <c r="C1874" s="1">
        <v>117</v>
      </c>
      <c r="D1874" s="1">
        <v>149</v>
      </c>
      <c r="E1874" s="2">
        <v>43353</v>
      </c>
      <c r="F1874" s="6">
        <v>3.3203408007628092</v>
      </c>
    </row>
    <row r="1875" spans="1:6">
      <c r="A1875" s="1">
        <v>9126919</v>
      </c>
      <c r="B1875" s="1">
        <v>0.94268694864110181</v>
      </c>
      <c r="C1875" s="1">
        <v>4</v>
      </c>
      <c r="D1875" s="1">
        <v>146</v>
      </c>
      <c r="E1875" s="2">
        <v>43457</v>
      </c>
      <c r="F1875" s="6">
        <v>22.938518802513126</v>
      </c>
    </row>
    <row r="1876" spans="1:6">
      <c r="A1876" s="1">
        <v>9126922</v>
      </c>
      <c r="B1876" s="1">
        <v>7.9175457959304363E-2</v>
      </c>
      <c r="C1876" s="1">
        <v>258</v>
      </c>
      <c r="D1876" s="1">
        <v>573</v>
      </c>
      <c r="E1876" s="2">
        <v>42886</v>
      </c>
      <c r="F1876" s="6">
        <v>58.148615484763141</v>
      </c>
    </row>
    <row r="1877" spans="1:6">
      <c r="A1877" s="1">
        <v>9126925</v>
      </c>
      <c r="B1877" s="1">
        <v>0.41179845367871415</v>
      </c>
      <c r="C1877" s="1">
        <v>264</v>
      </c>
      <c r="D1877" s="1">
        <v>47</v>
      </c>
      <c r="E1877" s="2">
        <v>43077</v>
      </c>
      <c r="F1877" s="6">
        <v>4.0083323415365717</v>
      </c>
    </row>
    <row r="1878" spans="1:6">
      <c r="A1878" s="1">
        <v>9126928</v>
      </c>
      <c r="B1878" s="1">
        <v>0.68399985901683047</v>
      </c>
      <c r="C1878" s="1">
        <v>20</v>
      </c>
      <c r="D1878" s="1">
        <v>67</v>
      </c>
      <c r="E1878" s="2">
        <v>42973</v>
      </c>
      <c r="F1878" s="6">
        <v>152.4405399428617</v>
      </c>
    </row>
    <row r="1879" spans="1:6">
      <c r="A1879" s="1">
        <v>9126931</v>
      </c>
      <c r="B1879" s="1">
        <v>6.1451935154102522E-2</v>
      </c>
      <c r="C1879" s="1">
        <v>99</v>
      </c>
      <c r="D1879" s="1">
        <v>471</v>
      </c>
      <c r="E1879" s="2">
        <v>42801</v>
      </c>
      <c r="F1879" s="6">
        <v>47.847396311160523</v>
      </c>
    </row>
    <row r="1880" spans="1:6">
      <c r="A1880" s="1">
        <v>9126934</v>
      </c>
      <c r="B1880" s="1">
        <v>0.43385235638066189</v>
      </c>
      <c r="C1880" s="1">
        <v>49</v>
      </c>
      <c r="D1880" s="1">
        <v>47</v>
      </c>
      <c r="E1880" s="2">
        <v>43258</v>
      </c>
      <c r="F1880" s="6">
        <v>28.484464736067025</v>
      </c>
    </row>
    <row r="1881" spans="1:6">
      <c r="A1881" s="1">
        <v>9126937</v>
      </c>
      <c r="B1881" s="1">
        <v>4.4738541880861016E-2</v>
      </c>
      <c r="C1881" s="1">
        <v>34</v>
      </c>
      <c r="D1881" s="1">
        <v>541</v>
      </c>
      <c r="E1881" s="2">
        <v>43057</v>
      </c>
      <c r="F1881" s="6">
        <v>21.310313503993996</v>
      </c>
    </row>
    <row r="1882" spans="1:6">
      <c r="A1882" s="1">
        <v>9126940</v>
      </c>
      <c r="B1882" s="1">
        <v>0.15884539624045912</v>
      </c>
      <c r="C1882" s="1">
        <v>3</v>
      </c>
      <c r="D1882" s="1">
        <v>541</v>
      </c>
      <c r="E1882" s="2">
        <v>43321</v>
      </c>
      <c r="F1882" s="6">
        <v>51.586196868385017</v>
      </c>
    </row>
    <row r="1883" spans="1:6">
      <c r="A1883" s="1">
        <v>9126943</v>
      </c>
      <c r="B1883" s="1">
        <v>0.57195339006925205</v>
      </c>
      <c r="C1883" s="1">
        <v>38</v>
      </c>
      <c r="D1883" s="1">
        <v>541</v>
      </c>
      <c r="E1883" s="2">
        <v>43466</v>
      </c>
      <c r="F1883" s="6">
        <v>47.965154578993626</v>
      </c>
    </row>
    <row r="1884" spans="1:6">
      <c r="A1884" s="1">
        <v>9126946</v>
      </c>
      <c r="B1884" s="1">
        <v>2.772647919754434E-2</v>
      </c>
      <c r="C1884" s="1">
        <v>5</v>
      </c>
      <c r="D1884" s="1">
        <v>487</v>
      </c>
      <c r="E1884" s="2">
        <v>43253</v>
      </c>
      <c r="F1884" s="6">
        <v>132.63221138507078</v>
      </c>
    </row>
    <row r="1885" spans="1:6">
      <c r="A1885" s="1">
        <v>9126949</v>
      </c>
      <c r="B1885" s="1">
        <v>0.10075810032882737</v>
      </c>
      <c r="C1885" s="1">
        <v>66</v>
      </c>
      <c r="D1885" s="1">
        <v>197</v>
      </c>
      <c r="E1885" s="2">
        <v>42979</v>
      </c>
      <c r="F1885" s="6">
        <v>6.6619726329235061</v>
      </c>
    </row>
    <row r="1886" spans="1:6">
      <c r="A1886" s="1">
        <v>9126952</v>
      </c>
      <c r="B1886" s="1">
        <v>3.4511560821719023E-2</v>
      </c>
      <c r="C1886" s="1">
        <v>3</v>
      </c>
      <c r="D1886" s="1">
        <v>218</v>
      </c>
      <c r="E1886" s="2">
        <v>43143</v>
      </c>
      <c r="F1886" s="6">
        <v>3.3108725103748058</v>
      </c>
    </row>
    <row r="1887" spans="1:6">
      <c r="A1887" s="1">
        <v>9126955</v>
      </c>
      <c r="B1887" s="1">
        <v>0.17645931794509262</v>
      </c>
      <c r="C1887" s="1">
        <v>8</v>
      </c>
      <c r="D1887" s="1">
        <v>591</v>
      </c>
      <c r="E1887" s="2">
        <v>42769</v>
      </c>
      <c r="F1887" s="6">
        <v>59.104666516381776</v>
      </c>
    </row>
    <row r="1888" spans="1:6">
      <c r="A1888" s="1">
        <v>9126958</v>
      </c>
      <c r="B1888" s="1">
        <v>0.91818957292872183</v>
      </c>
      <c r="C1888" s="1">
        <v>117</v>
      </c>
      <c r="D1888" s="1">
        <v>17</v>
      </c>
      <c r="E1888" s="2">
        <v>43196</v>
      </c>
      <c r="F1888" s="6">
        <v>226.5682706340684</v>
      </c>
    </row>
    <row r="1889" spans="1:6">
      <c r="A1889" s="1">
        <v>9126961</v>
      </c>
      <c r="B1889" s="1">
        <v>0.92444572501899958</v>
      </c>
      <c r="C1889" s="1">
        <v>3</v>
      </c>
      <c r="D1889" s="1">
        <v>190</v>
      </c>
      <c r="E1889" s="2">
        <v>42744</v>
      </c>
      <c r="F1889" s="6">
        <v>288.30768891479329</v>
      </c>
    </row>
    <row r="1890" spans="1:6">
      <c r="A1890" s="1">
        <v>9126964</v>
      </c>
      <c r="B1890" s="1">
        <v>0.76045303531916131</v>
      </c>
      <c r="C1890" s="1">
        <v>3</v>
      </c>
      <c r="D1890" s="1">
        <v>149</v>
      </c>
      <c r="E1890" s="2">
        <v>42798</v>
      </c>
      <c r="F1890" s="6">
        <v>5.3368599901463885</v>
      </c>
    </row>
    <row r="1891" spans="1:6">
      <c r="A1891" s="1">
        <v>9126967</v>
      </c>
      <c r="B1891" s="1">
        <v>0.9481570657813122</v>
      </c>
      <c r="C1891" s="1">
        <v>5</v>
      </c>
      <c r="D1891" s="1">
        <v>176</v>
      </c>
      <c r="E1891" s="2">
        <v>43096</v>
      </c>
      <c r="F1891" s="6">
        <v>11.720724599644681</v>
      </c>
    </row>
    <row r="1892" spans="1:6">
      <c r="A1892" s="1">
        <v>9126970</v>
      </c>
      <c r="B1892" s="1">
        <v>6.3166902086669641E-2</v>
      </c>
      <c r="C1892" s="1">
        <v>71</v>
      </c>
      <c r="D1892" s="1">
        <v>564</v>
      </c>
      <c r="E1892" s="2">
        <v>43053</v>
      </c>
      <c r="F1892" s="6">
        <v>38.298151761071601</v>
      </c>
    </row>
    <row r="1893" spans="1:6">
      <c r="A1893" s="1">
        <v>9126973</v>
      </c>
      <c r="B1893" s="1">
        <v>0.26598159698152823</v>
      </c>
      <c r="C1893" s="1">
        <v>51</v>
      </c>
      <c r="D1893" s="1">
        <v>146</v>
      </c>
      <c r="E1893" s="2">
        <v>42867</v>
      </c>
      <c r="F1893" s="6">
        <v>13.084622585645677</v>
      </c>
    </row>
    <row r="1894" spans="1:6">
      <c r="A1894" s="1">
        <v>9126976</v>
      </c>
      <c r="B1894" s="1">
        <v>0.73283199701872859</v>
      </c>
      <c r="C1894" s="1">
        <v>44</v>
      </c>
      <c r="D1894" s="1">
        <v>492</v>
      </c>
      <c r="E1894" s="2">
        <v>42838</v>
      </c>
      <c r="F1894" s="6">
        <v>5.0826249672825323</v>
      </c>
    </row>
    <row r="1895" spans="1:6">
      <c r="A1895" s="1">
        <v>9126979</v>
      </c>
      <c r="B1895" s="1">
        <v>0.27801525160085583</v>
      </c>
      <c r="C1895" s="1">
        <v>11</v>
      </c>
      <c r="D1895" s="1">
        <v>495</v>
      </c>
      <c r="E1895" s="2">
        <v>43325</v>
      </c>
      <c r="F1895" s="6">
        <v>8.1780116389940734</v>
      </c>
    </row>
    <row r="1896" spans="1:6">
      <c r="A1896" s="1">
        <v>9126982</v>
      </c>
      <c r="B1896" s="1">
        <v>0.72842167651256273</v>
      </c>
      <c r="C1896" s="1">
        <v>23</v>
      </c>
      <c r="D1896" s="1">
        <v>139</v>
      </c>
      <c r="E1896" s="2">
        <v>42918</v>
      </c>
      <c r="F1896" s="6">
        <v>32.027141996323536</v>
      </c>
    </row>
    <row r="1897" spans="1:6">
      <c r="A1897" s="1">
        <v>9126985</v>
      </c>
      <c r="B1897" s="1">
        <v>0.73609543138325928</v>
      </c>
      <c r="C1897" s="1">
        <v>19</v>
      </c>
      <c r="D1897" s="1">
        <v>141</v>
      </c>
      <c r="E1897" s="2">
        <v>43303</v>
      </c>
      <c r="F1897" s="6">
        <v>3.3109863575631944</v>
      </c>
    </row>
    <row r="1898" spans="1:6">
      <c r="A1898" s="1">
        <v>9126988</v>
      </c>
      <c r="B1898" s="1">
        <v>0.29946541746298205</v>
      </c>
      <c r="C1898" s="1">
        <v>194</v>
      </c>
      <c r="D1898" s="1">
        <v>548</v>
      </c>
      <c r="E1898" s="2">
        <v>43122</v>
      </c>
      <c r="F1898" s="6">
        <v>93.499062314188606</v>
      </c>
    </row>
    <row r="1899" spans="1:6">
      <c r="A1899" s="1">
        <v>9126991</v>
      </c>
      <c r="B1899" s="1">
        <v>0.55561895740381773</v>
      </c>
      <c r="C1899" s="1">
        <v>41</v>
      </c>
      <c r="D1899" s="1">
        <v>492</v>
      </c>
      <c r="E1899" s="2">
        <v>43378</v>
      </c>
      <c r="F1899" s="6">
        <v>83.296133669384787</v>
      </c>
    </row>
    <row r="1900" spans="1:6">
      <c r="A1900" s="1">
        <v>9126994</v>
      </c>
      <c r="B1900" s="1">
        <v>0.68012670590015967</v>
      </c>
      <c r="C1900" s="1">
        <v>43</v>
      </c>
      <c r="D1900" s="1">
        <v>482</v>
      </c>
      <c r="E1900" s="2">
        <v>43266</v>
      </c>
      <c r="F1900" s="6">
        <v>63.250794980521874</v>
      </c>
    </row>
    <row r="1901" spans="1:6">
      <c r="A1901" s="1">
        <v>9126997</v>
      </c>
      <c r="B1901" s="1">
        <v>0.61173219362962872</v>
      </c>
      <c r="C1901" s="1">
        <v>1</v>
      </c>
      <c r="D1901" s="1">
        <v>198</v>
      </c>
      <c r="E1901" s="2">
        <v>43079</v>
      </c>
      <c r="F1901" s="6">
        <v>33.149566286014029</v>
      </c>
    </row>
    <row r="1902" spans="1:6">
      <c r="A1902" s="1">
        <v>9127000</v>
      </c>
      <c r="B1902" s="1">
        <v>0.58492290667371272</v>
      </c>
      <c r="C1902" s="1">
        <v>18</v>
      </c>
      <c r="D1902" s="1">
        <v>544</v>
      </c>
      <c r="E1902" s="2">
        <v>42931</v>
      </c>
      <c r="F1902" s="6">
        <v>85.292446436466562</v>
      </c>
    </row>
    <row r="1903" spans="1:6">
      <c r="A1903" s="1">
        <v>9127003</v>
      </c>
      <c r="B1903" s="1">
        <v>9.386646931974163E-2</v>
      </c>
      <c r="C1903" s="1">
        <v>27</v>
      </c>
      <c r="D1903" s="1">
        <v>254</v>
      </c>
      <c r="E1903" s="2">
        <v>43333</v>
      </c>
      <c r="F1903" s="6">
        <v>4.1400859453902035</v>
      </c>
    </row>
    <row r="1904" spans="1:6">
      <c r="A1904" s="1">
        <v>9127006</v>
      </c>
      <c r="B1904" s="1">
        <v>0.74699585845402172</v>
      </c>
      <c r="C1904" s="1">
        <v>13</v>
      </c>
      <c r="D1904" s="1">
        <v>599</v>
      </c>
      <c r="E1904" s="2">
        <v>43317</v>
      </c>
      <c r="F1904" s="6">
        <v>137.74540001324146</v>
      </c>
    </row>
    <row r="1905" spans="1:6">
      <c r="A1905" s="1">
        <v>9127009</v>
      </c>
      <c r="B1905" s="1">
        <v>0.87861038615872145</v>
      </c>
      <c r="C1905" s="1">
        <v>5</v>
      </c>
      <c r="D1905" s="1">
        <v>13</v>
      </c>
      <c r="E1905" s="2">
        <v>43428</v>
      </c>
      <c r="F1905" s="6">
        <v>99.989062565240616</v>
      </c>
    </row>
    <row r="1906" spans="1:6">
      <c r="A1906" s="1">
        <v>9127012</v>
      </c>
      <c r="B1906" s="1">
        <v>3.735943802201569E-2</v>
      </c>
      <c r="C1906" s="1">
        <v>11</v>
      </c>
      <c r="D1906" s="1">
        <v>361</v>
      </c>
      <c r="E1906" s="2">
        <v>43366</v>
      </c>
      <c r="F1906" s="6">
        <v>218.19385221668182</v>
      </c>
    </row>
    <row r="1907" spans="1:6">
      <c r="A1907" s="1">
        <v>9127015</v>
      </c>
      <c r="B1907" s="1">
        <v>0.46489695987500657</v>
      </c>
      <c r="C1907" s="1">
        <v>5</v>
      </c>
      <c r="D1907" s="1">
        <v>84</v>
      </c>
      <c r="E1907" s="2">
        <v>43293</v>
      </c>
      <c r="F1907" s="6">
        <v>205.86572082972887</v>
      </c>
    </row>
    <row r="1908" spans="1:6">
      <c r="A1908" s="1">
        <v>9127018</v>
      </c>
      <c r="B1908" s="1">
        <v>7.5946967689812683E-2</v>
      </c>
      <c r="C1908" s="1">
        <v>20</v>
      </c>
      <c r="D1908" s="1">
        <v>263</v>
      </c>
      <c r="E1908" s="2">
        <v>43206</v>
      </c>
      <c r="F1908" s="6">
        <v>45.091905918610017</v>
      </c>
    </row>
    <row r="1909" spans="1:6">
      <c r="A1909" s="1">
        <v>9127021</v>
      </c>
      <c r="B1909" s="1">
        <v>0.74831721803750173</v>
      </c>
      <c r="C1909" s="1">
        <v>3</v>
      </c>
      <c r="D1909" s="1">
        <v>22</v>
      </c>
      <c r="E1909" s="2">
        <v>43063</v>
      </c>
      <c r="F1909" s="6">
        <v>56.594478209224206</v>
      </c>
    </row>
    <row r="1910" spans="1:6">
      <c r="A1910" s="1">
        <v>9127024</v>
      </c>
      <c r="B1910" s="1">
        <v>0.66164993267887573</v>
      </c>
      <c r="C1910" s="1">
        <v>3</v>
      </c>
      <c r="D1910" s="1">
        <v>318</v>
      </c>
      <c r="E1910" s="2">
        <v>42925</v>
      </c>
      <c r="F1910" s="6">
        <v>321.41605742559591</v>
      </c>
    </row>
    <row r="1911" spans="1:6">
      <c r="A1911" s="1">
        <v>9127027</v>
      </c>
      <c r="B1911" s="1">
        <v>0.76381738200837013</v>
      </c>
      <c r="C1911" s="1">
        <v>1</v>
      </c>
      <c r="D1911" s="1">
        <v>296</v>
      </c>
      <c r="E1911" s="2">
        <v>43411</v>
      </c>
      <c r="F1911" s="6">
        <v>3.0105086828177696</v>
      </c>
    </row>
    <row r="1912" spans="1:6">
      <c r="A1912" s="1">
        <v>9127030</v>
      </c>
      <c r="B1912" s="1">
        <v>0.25933819560958893</v>
      </c>
      <c r="C1912" s="1">
        <v>73</v>
      </c>
      <c r="D1912" s="1">
        <v>38</v>
      </c>
      <c r="E1912" s="2">
        <v>43298</v>
      </c>
      <c r="F1912" s="6">
        <v>27.649581044760076</v>
      </c>
    </row>
    <row r="1913" spans="1:6">
      <c r="A1913" s="1">
        <v>9127033</v>
      </c>
      <c r="B1913" s="1">
        <v>0.35657033946932049</v>
      </c>
      <c r="C1913" s="1">
        <v>2</v>
      </c>
      <c r="D1913" s="1">
        <v>592</v>
      </c>
      <c r="E1913" s="2">
        <v>43462</v>
      </c>
      <c r="F1913" s="6">
        <v>67.382824378773179</v>
      </c>
    </row>
    <row r="1914" spans="1:6">
      <c r="A1914" s="1">
        <v>9127036</v>
      </c>
      <c r="B1914" s="1">
        <v>0.45362663502871048</v>
      </c>
      <c r="C1914" s="1">
        <v>555</v>
      </c>
      <c r="D1914" s="1">
        <v>458</v>
      </c>
      <c r="E1914" s="2">
        <v>42858</v>
      </c>
      <c r="F1914" s="6">
        <v>243.78192579606008</v>
      </c>
    </row>
    <row r="1915" spans="1:6">
      <c r="A1915" s="1">
        <v>9127039</v>
      </c>
      <c r="B1915" s="1">
        <v>0.85959279520790521</v>
      </c>
      <c r="C1915" s="1">
        <v>74</v>
      </c>
      <c r="D1915" s="1">
        <v>40</v>
      </c>
      <c r="E1915" s="2">
        <v>42872</v>
      </c>
      <c r="F1915" s="6">
        <v>159.58717083471839</v>
      </c>
    </row>
    <row r="1916" spans="1:6">
      <c r="A1916" s="1">
        <v>9127042</v>
      </c>
      <c r="B1916" s="1">
        <v>0.31072684185166632</v>
      </c>
      <c r="C1916" s="1">
        <v>3</v>
      </c>
      <c r="D1916" s="1">
        <v>176</v>
      </c>
      <c r="E1916" s="2">
        <v>42929</v>
      </c>
      <c r="F1916" s="6">
        <v>3.7227263582379435</v>
      </c>
    </row>
    <row r="1917" spans="1:6">
      <c r="A1917" s="1">
        <v>9127045</v>
      </c>
      <c r="B1917" s="1">
        <v>0.98648467459880651</v>
      </c>
      <c r="C1917" s="1">
        <v>287</v>
      </c>
      <c r="D1917" s="1">
        <v>176</v>
      </c>
      <c r="E1917" s="2">
        <v>43097</v>
      </c>
      <c r="F1917" s="6">
        <v>19.234500811428699</v>
      </c>
    </row>
    <row r="1918" spans="1:6">
      <c r="A1918" s="1">
        <v>9127048</v>
      </c>
      <c r="B1918" s="1">
        <v>0.32057781105682781</v>
      </c>
      <c r="C1918" s="1">
        <v>71</v>
      </c>
      <c r="D1918" s="1">
        <v>176</v>
      </c>
      <c r="E1918" s="2">
        <v>43227</v>
      </c>
      <c r="F1918" s="6">
        <v>82.25398111596337</v>
      </c>
    </row>
    <row r="1919" spans="1:6">
      <c r="A1919" s="1">
        <v>9127051</v>
      </c>
      <c r="B1919" s="1">
        <v>0.7757883131955492</v>
      </c>
      <c r="C1919" s="1">
        <v>17</v>
      </c>
      <c r="D1919" s="1">
        <v>77</v>
      </c>
      <c r="E1919" s="2">
        <v>43018</v>
      </c>
      <c r="F1919" s="6">
        <v>102.09531581201433</v>
      </c>
    </row>
    <row r="1920" spans="1:6">
      <c r="A1920" s="1">
        <v>9127054</v>
      </c>
      <c r="B1920" s="1">
        <v>7.8698542298094587E-4</v>
      </c>
      <c r="C1920" s="1">
        <v>72</v>
      </c>
      <c r="D1920" s="1">
        <v>476</v>
      </c>
      <c r="E1920" s="2">
        <v>43494</v>
      </c>
      <c r="F1920" s="6">
        <v>27.920901531744644</v>
      </c>
    </row>
    <row r="1921" spans="1:6">
      <c r="A1921" s="1">
        <v>9127057</v>
      </c>
      <c r="B1921" s="1">
        <v>0.77686438702591132</v>
      </c>
      <c r="C1921" s="1">
        <v>29</v>
      </c>
      <c r="D1921" s="1">
        <v>358</v>
      </c>
      <c r="E1921" s="2">
        <v>43293</v>
      </c>
      <c r="F1921" s="6">
        <v>33.46417123090243</v>
      </c>
    </row>
    <row r="1922" spans="1:6">
      <c r="A1922" s="1">
        <v>9127060</v>
      </c>
      <c r="B1922" s="1">
        <v>0.97511826503598553</v>
      </c>
      <c r="C1922" s="1">
        <v>12</v>
      </c>
      <c r="D1922" s="1">
        <v>98</v>
      </c>
      <c r="E1922" s="2">
        <v>43261</v>
      </c>
      <c r="F1922" s="6">
        <v>14.75549228805065</v>
      </c>
    </row>
    <row r="1923" spans="1:6">
      <c r="A1923" s="1">
        <v>9127063</v>
      </c>
      <c r="B1923" s="1">
        <v>0.45822934264498705</v>
      </c>
      <c r="C1923" s="1">
        <v>236</v>
      </c>
      <c r="D1923" s="1">
        <v>334</v>
      </c>
      <c r="E1923" s="2">
        <v>43009</v>
      </c>
      <c r="F1923" s="6">
        <v>10.352838043848728</v>
      </c>
    </row>
    <row r="1924" spans="1:6">
      <c r="A1924" s="1">
        <v>9127066</v>
      </c>
      <c r="B1924" s="1">
        <v>0.30908265052362727</v>
      </c>
      <c r="C1924" s="1">
        <v>202</v>
      </c>
      <c r="D1924" s="1">
        <v>361</v>
      </c>
      <c r="E1924" s="2">
        <v>43298</v>
      </c>
      <c r="F1924" s="6">
        <v>29.968780648566799</v>
      </c>
    </row>
    <row r="1925" spans="1:6">
      <c r="A1925" s="1">
        <v>9127069</v>
      </c>
      <c r="B1925" s="1">
        <v>0.27685294398047777</v>
      </c>
      <c r="C1925" s="1">
        <v>58</v>
      </c>
      <c r="D1925" s="1">
        <v>90</v>
      </c>
      <c r="E1925" s="2">
        <v>43379</v>
      </c>
      <c r="F1925" s="6">
        <v>24.087247604087601</v>
      </c>
    </row>
    <row r="1926" spans="1:6">
      <c r="A1926" s="1">
        <v>9127072</v>
      </c>
      <c r="B1926" s="1">
        <v>0.44116332676555026</v>
      </c>
      <c r="C1926" s="1">
        <v>2</v>
      </c>
      <c r="D1926" s="1">
        <v>572</v>
      </c>
      <c r="E1926" s="2">
        <v>43077</v>
      </c>
      <c r="F1926" s="6">
        <v>47.810829721356427</v>
      </c>
    </row>
    <row r="1927" spans="1:6">
      <c r="A1927" s="1">
        <v>9127075</v>
      </c>
      <c r="B1927" s="1">
        <v>1.1533833381184522E-2</v>
      </c>
      <c r="C1927" s="1">
        <v>50</v>
      </c>
      <c r="D1927" s="1">
        <v>558</v>
      </c>
      <c r="E1927" s="2">
        <v>43260</v>
      </c>
      <c r="F1927" s="6">
        <v>32.520258981532635</v>
      </c>
    </row>
    <row r="1928" spans="1:6">
      <c r="A1928" s="1">
        <v>9127078</v>
      </c>
      <c r="B1928" s="1">
        <v>6.9204828076967928E-2</v>
      </c>
      <c r="C1928" s="1">
        <v>1</v>
      </c>
      <c r="D1928" s="1">
        <v>510</v>
      </c>
      <c r="E1928" s="2">
        <v>42753</v>
      </c>
      <c r="F1928" s="6">
        <v>33.914164098510511</v>
      </c>
    </row>
    <row r="1929" spans="1:6">
      <c r="A1929" s="1">
        <v>9127081</v>
      </c>
      <c r="B1929" s="1">
        <v>0.85007412982796138</v>
      </c>
      <c r="C1929" s="1">
        <v>59</v>
      </c>
      <c r="D1929" s="1">
        <v>510</v>
      </c>
      <c r="E1929" s="2">
        <v>43055</v>
      </c>
      <c r="F1929" s="6">
        <v>6.304630477492025</v>
      </c>
    </row>
    <row r="1930" spans="1:6">
      <c r="A1930" s="1">
        <v>9127084</v>
      </c>
      <c r="B1930" s="1">
        <v>2.1241782702850043E-2</v>
      </c>
      <c r="C1930" s="1">
        <v>120</v>
      </c>
      <c r="D1930" s="1">
        <v>235</v>
      </c>
      <c r="E1930" s="2">
        <v>43016</v>
      </c>
      <c r="F1930" s="6">
        <v>44.173224934273634</v>
      </c>
    </row>
    <row r="1931" spans="1:6">
      <c r="A1931" s="1">
        <v>9127087</v>
      </c>
      <c r="B1931" s="1">
        <v>0.25497807432470065</v>
      </c>
      <c r="C1931" s="1">
        <v>96</v>
      </c>
      <c r="D1931" s="1">
        <v>78</v>
      </c>
      <c r="E1931" s="2">
        <v>43031</v>
      </c>
      <c r="F1931" s="6">
        <v>9.1278428571520216</v>
      </c>
    </row>
    <row r="1932" spans="1:6">
      <c r="A1932" s="1">
        <v>9127090</v>
      </c>
      <c r="B1932" s="1">
        <v>0.11852625516919024</v>
      </c>
      <c r="C1932" s="1">
        <v>51</v>
      </c>
      <c r="D1932" s="1">
        <v>182</v>
      </c>
      <c r="E1932" s="2">
        <v>43462</v>
      </c>
      <c r="F1932" s="6">
        <v>3.8242644757405548</v>
      </c>
    </row>
    <row r="1933" spans="1:6">
      <c r="A1933" s="1">
        <v>9127093</v>
      </c>
      <c r="B1933" s="1">
        <v>3.6847161194765943E-2</v>
      </c>
      <c r="C1933" s="1">
        <v>18</v>
      </c>
      <c r="D1933" s="1">
        <v>510</v>
      </c>
      <c r="E1933" s="2">
        <v>43432</v>
      </c>
      <c r="F1933" s="6">
        <v>7.503958284133514</v>
      </c>
    </row>
    <row r="1934" spans="1:6">
      <c r="A1934" s="1">
        <v>9127096</v>
      </c>
      <c r="B1934" s="1">
        <v>0.57171721671828868</v>
      </c>
      <c r="C1934" s="1">
        <v>4</v>
      </c>
      <c r="D1934" s="1">
        <v>489</v>
      </c>
      <c r="E1934" s="2">
        <v>43194</v>
      </c>
      <c r="F1934" s="6">
        <v>169.4327023818837</v>
      </c>
    </row>
    <row r="1935" spans="1:6">
      <c r="A1935" s="1">
        <v>9127099</v>
      </c>
      <c r="B1935" s="1">
        <v>0.8702375622317845</v>
      </c>
      <c r="C1935" s="1">
        <v>23</v>
      </c>
      <c r="D1935" s="1">
        <v>230</v>
      </c>
      <c r="E1935" s="2">
        <v>43015</v>
      </c>
      <c r="F1935" s="6">
        <v>9.8287762883774281</v>
      </c>
    </row>
    <row r="1936" spans="1:6">
      <c r="A1936" s="1">
        <v>9127102</v>
      </c>
      <c r="B1936" s="1">
        <v>0.37364387371676133</v>
      </c>
      <c r="C1936" s="1">
        <v>10</v>
      </c>
      <c r="D1936" s="1">
        <v>176</v>
      </c>
      <c r="E1936" s="2">
        <v>43039</v>
      </c>
      <c r="F1936" s="6">
        <v>127.86120727233163</v>
      </c>
    </row>
    <row r="1937" spans="1:6">
      <c r="A1937" s="1">
        <v>9127105</v>
      </c>
      <c r="B1937" s="1">
        <v>6.899620810268281E-2</v>
      </c>
      <c r="C1937" s="1">
        <v>128</v>
      </c>
      <c r="D1937" s="1">
        <v>405</v>
      </c>
      <c r="E1937" s="2">
        <v>43204</v>
      </c>
      <c r="F1937" s="6">
        <v>16.405363187746492</v>
      </c>
    </row>
    <row r="1938" spans="1:6">
      <c r="A1938" s="1">
        <v>9127108</v>
      </c>
      <c r="B1938" s="1">
        <v>0.95044132081844779</v>
      </c>
      <c r="C1938" s="1">
        <v>95</v>
      </c>
      <c r="D1938" s="1">
        <v>139</v>
      </c>
      <c r="E1938" s="2">
        <v>43421</v>
      </c>
      <c r="F1938" s="6">
        <v>4.3293391831736834</v>
      </c>
    </row>
    <row r="1939" spans="1:6">
      <c r="A1939" s="1">
        <v>9127111</v>
      </c>
      <c r="B1939" s="1">
        <v>0.1673348949592387</v>
      </c>
      <c r="C1939" s="1">
        <v>36</v>
      </c>
      <c r="D1939" s="1">
        <v>546</v>
      </c>
      <c r="E1939" s="2">
        <v>43282</v>
      </c>
      <c r="F1939" s="6">
        <v>135.78115156041852</v>
      </c>
    </row>
    <row r="1940" spans="1:6">
      <c r="A1940" s="1">
        <v>9127114</v>
      </c>
      <c r="B1940" s="1">
        <v>0.29798724700177981</v>
      </c>
      <c r="C1940" s="1">
        <v>37</v>
      </c>
      <c r="D1940" s="1">
        <v>413</v>
      </c>
      <c r="E1940" s="2">
        <v>43484</v>
      </c>
      <c r="F1940" s="6">
        <v>20.900747359245951</v>
      </c>
    </row>
    <row r="1941" spans="1:6">
      <c r="A1941" s="1">
        <v>9127117</v>
      </c>
      <c r="B1941" s="1">
        <v>0.24360066222157806</v>
      </c>
      <c r="C1941" s="1">
        <v>249</v>
      </c>
      <c r="D1941" s="1">
        <v>575</v>
      </c>
      <c r="E1941" s="2">
        <v>43174</v>
      </c>
      <c r="F1941" s="6">
        <v>5.1343998190111204</v>
      </c>
    </row>
    <row r="1942" spans="1:6">
      <c r="A1942" s="1">
        <v>9127120</v>
      </c>
      <c r="B1942" s="1">
        <v>0.22077363702388408</v>
      </c>
      <c r="C1942" s="1">
        <v>3</v>
      </c>
      <c r="D1942" s="1">
        <v>149</v>
      </c>
      <c r="E1942" s="2">
        <v>43489</v>
      </c>
      <c r="F1942" s="6">
        <v>28.403967383000069</v>
      </c>
    </row>
    <row r="1943" spans="1:6">
      <c r="A1943" s="1">
        <v>9127123</v>
      </c>
      <c r="B1943" s="1">
        <v>0.86272441946348288</v>
      </c>
      <c r="C1943" s="1">
        <v>50</v>
      </c>
      <c r="D1943" s="1">
        <v>65</v>
      </c>
      <c r="E1943" s="2">
        <v>43277</v>
      </c>
      <c r="F1943" s="6">
        <v>147.6166809726642</v>
      </c>
    </row>
    <row r="1944" spans="1:6">
      <c r="A1944" s="1">
        <v>9127126</v>
      </c>
      <c r="B1944" s="1">
        <v>0.98833752733115909</v>
      </c>
      <c r="C1944" s="1">
        <v>49</v>
      </c>
      <c r="D1944" s="1">
        <v>258</v>
      </c>
      <c r="E1944" s="2">
        <v>43487</v>
      </c>
      <c r="F1944" s="6">
        <v>24.378912856762298</v>
      </c>
    </row>
    <row r="1945" spans="1:6">
      <c r="A1945" s="1">
        <v>9127129</v>
      </c>
      <c r="B1945" s="1">
        <v>0.6495933151912836</v>
      </c>
      <c r="C1945" s="1">
        <v>60</v>
      </c>
      <c r="D1945" s="1">
        <v>16</v>
      </c>
      <c r="E1945" s="2">
        <v>42929</v>
      </c>
      <c r="F1945" s="6">
        <v>70.915051594167309</v>
      </c>
    </row>
    <row r="1946" spans="1:6">
      <c r="A1946" s="1">
        <v>9127132</v>
      </c>
      <c r="B1946" s="1">
        <v>0.36394972832339223</v>
      </c>
      <c r="C1946" s="1">
        <v>3</v>
      </c>
      <c r="D1946" s="1">
        <v>592</v>
      </c>
      <c r="E1946" s="2">
        <v>43197</v>
      </c>
      <c r="F1946" s="6">
        <v>276.96668576230121</v>
      </c>
    </row>
    <row r="1947" spans="1:6">
      <c r="A1947" s="1">
        <v>9127135</v>
      </c>
      <c r="B1947" s="1">
        <v>0.64053001256942088</v>
      </c>
      <c r="C1947" s="1">
        <v>1</v>
      </c>
      <c r="D1947" s="1">
        <v>254</v>
      </c>
      <c r="E1947" s="2">
        <v>42749</v>
      </c>
      <c r="F1947" s="6">
        <v>137.0470748177998</v>
      </c>
    </row>
    <row r="1948" spans="1:6">
      <c r="A1948" s="1">
        <v>9127138</v>
      </c>
      <c r="B1948" s="1">
        <v>0.5922476106592568</v>
      </c>
      <c r="C1948" s="1">
        <v>3</v>
      </c>
      <c r="D1948" s="1">
        <v>431</v>
      </c>
      <c r="E1948" s="2">
        <v>42898</v>
      </c>
      <c r="F1948" s="6">
        <v>463.83284845157817</v>
      </c>
    </row>
    <row r="1949" spans="1:6">
      <c r="A1949" s="1">
        <v>9127141</v>
      </c>
      <c r="B1949" s="1">
        <v>5.0349550552691302E-2</v>
      </c>
      <c r="C1949" s="1">
        <v>1</v>
      </c>
      <c r="D1949" s="1">
        <v>492</v>
      </c>
      <c r="E1949" s="2">
        <v>43420</v>
      </c>
      <c r="F1949" s="6">
        <v>4.0932766940790613</v>
      </c>
    </row>
    <row r="1950" spans="1:6">
      <c r="A1950" s="1">
        <v>9127144</v>
      </c>
      <c r="B1950" s="1">
        <v>0.46504804422041057</v>
      </c>
      <c r="C1950" s="1">
        <v>3</v>
      </c>
      <c r="D1950" s="1">
        <v>597</v>
      </c>
      <c r="E1950" s="2">
        <v>42898</v>
      </c>
      <c r="F1950" s="6">
        <v>33.520885728200113</v>
      </c>
    </row>
    <row r="1951" spans="1:6">
      <c r="A1951" s="1">
        <v>9127147</v>
      </c>
      <c r="B1951" s="1">
        <v>0.89868435905429878</v>
      </c>
      <c r="C1951" s="1">
        <v>241</v>
      </c>
      <c r="D1951" s="1">
        <v>358</v>
      </c>
      <c r="E1951" s="2">
        <v>43304</v>
      </c>
      <c r="F1951" s="6">
        <v>21.01278448636165</v>
      </c>
    </row>
    <row r="1952" spans="1:6">
      <c r="A1952" s="1">
        <v>9127150</v>
      </c>
      <c r="B1952" s="1">
        <v>0.57535635631369852</v>
      </c>
      <c r="C1952" s="1">
        <v>6</v>
      </c>
      <c r="D1952" s="1">
        <v>485</v>
      </c>
      <c r="E1952" s="2">
        <v>43124</v>
      </c>
      <c r="F1952" s="6">
        <v>26.640062919662082</v>
      </c>
    </row>
    <row r="1953" spans="1:6">
      <c r="A1953" s="1">
        <v>9127153</v>
      </c>
      <c r="B1953" s="1">
        <v>5.0915826444195567E-2</v>
      </c>
      <c r="C1953" s="1">
        <v>120</v>
      </c>
      <c r="D1953" s="1">
        <v>100</v>
      </c>
      <c r="E1953" s="2">
        <v>43214</v>
      </c>
      <c r="F1953" s="6">
        <v>108.19560059070967</v>
      </c>
    </row>
    <row r="1954" spans="1:6">
      <c r="A1954" s="1">
        <v>9127156</v>
      </c>
      <c r="B1954" s="1">
        <v>0.40674089865587193</v>
      </c>
      <c r="C1954" s="1">
        <v>19</v>
      </c>
      <c r="D1954" s="1">
        <v>564</v>
      </c>
      <c r="E1954" s="2">
        <v>43240</v>
      </c>
      <c r="F1954" s="6">
        <v>38.638723202371445</v>
      </c>
    </row>
    <row r="1955" spans="1:6">
      <c r="A1955" s="1">
        <v>9127159</v>
      </c>
      <c r="B1955" s="1">
        <v>0.84313872560052849</v>
      </c>
      <c r="C1955" s="1">
        <v>57</v>
      </c>
      <c r="D1955" s="1">
        <v>12</v>
      </c>
      <c r="E1955" s="2">
        <v>42985</v>
      </c>
      <c r="F1955" s="6">
        <v>71.629030571101083</v>
      </c>
    </row>
    <row r="1956" spans="1:6">
      <c r="A1956" s="1">
        <v>9127162</v>
      </c>
      <c r="B1956" s="1">
        <v>0.41405998295516422</v>
      </c>
      <c r="C1956" s="1">
        <v>2</v>
      </c>
      <c r="D1956" s="1">
        <v>597</v>
      </c>
      <c r="E1956" s="2">
        <v>43220</v>
      </c>
      <c r="F1956" s="6">
        <v>37.850704821676985</v>
      </c>
    </row>
    <row r="1957" spans="1:6">
      <c r="A1957" s="1">
        <v>9127165</v>
      </c>
      <c r="B1957" s="1">
        <v>0.47342034571805647</v>
      </c>
      <c r="C1957" s="1">
        <v>80</v>
      </c>
      <c r="D1957" s="1">
        <v>12</v>
      </c>
      <c r="E1957" s="2">
        <v>43001</v>
      </c>
      <c r="F1957" s="6">
        <v>8.418779855348161</v>
      </c>
    </row>
    <row r="1958" spans="1:6">
      <c r="A1958" s="1">
        <v>9127168</v>
      </c>
      <c r="B1958" s="1">
        <v>0.17673919711174602</v>
      </c>
      <c r="C1958" s="1">
        <v>108</v>
      </c>
      <c r="D1958" s="1">
        <v>115</v>
      </c>
      <c r="E1958" s="2">
        <v>43449</v>
      </c>
      <c r="F1958" s="6">
        <v>183.34873883598573</v>
      </c>
    </row>
    <row r="1959" spans="1:6">
      <c r="A1959" s="1">
        <v>9127171</v>
      </c>
      <c r="B1959" s="1">
        <v>0.15776470184454838</v>
      </c>
      <c r="C1959" s="1">
        <v>22</v>
      </c>
      <c r="D1959" s="1">
        <v>495</v>
      </c>
      <c r="E1959" s="2">
        <v>43174</v>
      </c>
      <c r="F1959" s="6">
        <v>115.9383477633107</v>
      </c>
    </row>
    <row r="1960" spans="1:6">
      <c r="A1960" s="1">
        <v>9127174</v>
      </c>
      <c r="B1960" s="1">
        <v>0.66762629971022303</v>
      </c>
      <c r="C1960" s="1">
        <v>18</v>
      </c>
      <c r="D1960" s="1">
        <v>485</v>
      </c>
      <c r="E1960" s="2">
        <v>43431</v>
      </c>
      <c r="F1960" s="6">
        <v>21.45088990997662</v>
      </c>
    </row>
    <row r="1961" spans="1:6">
      <c r="A1961" s="1">
        <v>9127177</v>
      </c>
      <c r="B1961" s="1">
        <v>0.88890362544178891</v>
      </c>
      <c r="C1961" s="1">
        <v>40</v>
      </c>
      <c r="D1961" s="1">
        <v>84</v>
      </c>
      <c r="E1961" s="2">
        <v>43417</v>
      </c>
      <c r="F1961" s="6">
        <v>48.765720245418962</v>
      </c>
    </row>
    <row r="1962" spans="1:6">
      <c r="A1962" s="1">
        <v>9127180</v>
      </c>
      <c r="B1962" s="1">
        <v>0.42039946583590315</v>
      </c>
      <c r="C1962" s="1">
        <v>326</v>
      </c>
      <c r="D1962" s="1">
        <v>258</v>
      </c>
      <c r="E1962" s="2">
        <v>42954</v>
      </c>
      <c r="F1962" s="6">
        <v>62.383657398604917</v>
      </c>
    </row>
    <row r="1963" spans="1:6">
      <c r="A1963" s="1">
        <v>9127183</v>
      </c>
      <c r="B1963" s="1">
        <v>0.56594145148722685</v>
      </c>
      <c r="C1963" s="1">
        <v>32</v>
      </c>
      <c r="D1963" s="1">
        <v>509</v>
      </c>
      <c r="E1963" s="2">
        <v>43174</v>
      </c>
      <c r="F1963" s="6">
        <v>30.611518103522886</v>
      </c>
    </row>
    <row r="1964" spans="1:6">
      <c r="A1964" s="1">
        <v>9127186</v>
      </c>
      <c r="B1964" s="1">
        <v>0.29846473774233817</v>
      </c>
      <c r="C1964" s="1">
        <v>2</v>
      </c>
      <c r="D1964" s="1">
        <v>509</v>
      </c>
      <c r="E1964" s="2">
        <v>42877</v>
      </c>
      <c r="F1964" s="6">
        <v>11.539616215502392</v>
      </c>
    </row>
    <row r="1965" spans="1:6">
      <c r="A1965" s="1">
        <v>9127189</v>
      </c>
      <c r="B1965" s="1">
        <v>0.792092851525937</v>
      </c>
      <c r="C1965" s="1">
        <v>1</v>
      </c>
      <c r="D1965" s="1">
        <v>495</v>
      </c>
      <c r="E1965" s="2">
        <v>43375</v>
      </c>
      <c r="F1965" s="6">
        <v>43.183122165733522</v>
      </c>
    </row>
    <row r="1966" spans="1:6">
      <c r="A1966" s="1">
        <v>9127192</v>
      </c>
      <c r="B1966" s="1">
        <v>7.2469698286772299E-3</v>
      </c>
      <c r="C1966" s="1">
        <v>162</v>
      </c>
      <c r="D1966" s="1">
        <v>273</v>
      </c>
      <c r="E1966" s="2">
        <v>43126</v>
      </c>
      <c r="F1966" s="6">
        <v>7.2584204559809553</v>
      </c>
    </row>
    <row r="1967" spans="1:6">
      <c r="A1967" s="1">
        <v>9127195</v>
      </c>
      <c r="B1967" s="1">
        <v>0.74790327557952796</v>
      </c>
      <c r="C1967" s="1">
        <v>277</v>
      </c>
      <c r="D1967" s="1">
        <v>592</v>
      </c>
      <c r="E1967" s="2">
        <v>43400</v>
      </c>
      <c r="F1967" s="6">
        <v>52.905915122070674</v>
      </c>
    </row>
    <row r="1968" spans="1:6">
      <c r="A1968" s="1">
        <v>9127198</v>
      </c>
      <c r="B1968" s="1">
        <v>0.20932368402237655</v>
      </c>
      <c r="C1968" s="1">
        <v>58</v>
      </c>
      <c r="D1968" s="1">
        <v>141</v>
      </c>
      <c r="E1968" s="2">
        <v>43051</v>
      </c>
      <c r="F1968" s="6">
        <v>33.092622304343493</v>
      </c>
    </row>
    <row r="1969" spans="1:6">
      <c r="A1969" s="1">
        <v>9127201</v>
      </c>
      <c r="B1969" s="1">
        <v>0.98474584133018417</v>
      </c>
      <c r="C1969" s="1">
        <v>11</v>
      </c>
      <c r="D1969" s="1">
        <v>67</v>
      </c>
      <c r="E1969" s="2">
        <v>43247</v>
      </c>
      <c r="F1969" s="6">
        <v>37.36689581207456</v>
      </c>
    </row>
    <row r="1970" spans="1:6">
      <c r="A1970" s="1">
        <v>9127204</v>
      </c>
      <c r="B1970" s="1">
        <v>0.24327279910690636</v>
      </c>
      <c r="C1970" s="1">
        <v>26</v>
      </c>
      <c r="D1970" s="1">
        <v>420</v>
      </c>
      <c r="E1970" s="2">
        <v>43158</v>
      </c>
      <c r="F1970" s="6">
        <v>8.8607470686303582</v>
      </c>
    </row>
    <row r="1971" spans="1:6">
      <c r="A1971" s="1">
        <v>9127207</v>
      </c>
      <c r="B1971" s="1">
        <v>0.39628753593402966</v>
      </c>
      <c r="C1971" s="1">
        <v>27</v>
      </c>
      <c r="D1971" s="1">
        <v>149</v>
      </c>
      <c r="E1971" s="2">
        <v>42784</v>
      </c>
      <c r="F1971" s="6">
        <v>249.10831499055124</v>
      </c>
    </row>
    <row r="1972" spans="1:6">
      <c r="A1972" s="1">
        <v>9127210</v>
      </c>
      <c r="B1972" s="1">
        <v>0.79203099599156479</v>
      </c>
      <c r="C1972" s="1">
        <v>218</v>
      </c>
      <c r="D1972" s="1">
        <v>169</v>
      </c>
      <c r="E1972" s="2">
        <v>43410</v>
      </c>
      <c r="F1972" s="6">
        <v>282.96191950683379</v>
      </c>
    </row>
    <row r="1973" spans="1:6">
      <c r="A1973" s="1">
        <v>9127213</v>
      </c>
      <c r="B1973" s="1">
        <v>2.5631771884357391E-2</v>
      </c>
      <c r="C1973" s="1">
        <v>62</v>
      </c>
      <c r="D1973" s="1">
        <v>592</v>
      </c>
      <c r="E1973" s="2">
        <v>43184</v>
      </c>
      <c r="F1973" s="6">
        <v>9.9372580754646016</v>
      </c>
    </row>
    <row r="1974" spans="1:6">
      <c r="A1974" s="1">
        <v>9127216</v>
      </c>
      <c r="B1974" s="1">
        <v>0.2144745350552334</v>
      </c>
      <c r="C1974" s="1">
        <v>17</v>
      </c>
      <c r="D1974" s="1">
        <v>510</v>
      </c>
      <c r="E1974" s="2">
        <v>43259</v>
      </c>
      <c r="F1974" s="6">
        <v>56.307840204470061</v>
      </c>
    </row>
    <row r="1975" spans="1:6">
      <c r="A1975" s="1">
        <v>9127219</v>
      </c>
      <c r="B1975" s="1">
        <v>0.79561863787888154</v>
      </c>
      <c r="C1975" s="1">
        <v>207</v>
      </c>
      <c r="D1975" s="1">
        <v>299</v>
      </c>
      <c r="E1975" s="2">
        <v>43486</v>
      </c>
      <c r="F1975" s="6">
        <v>68.334812612183441</v>
      </c>
    </row>
    <row r="1976" spans="1:6">
      <c r="A1976" s="1">
        <v>9127222</v>
      </c>
      <c r="B1976" s="1">
        <v>0.98779458674475862</v>
      </c>
      <c r="C1976" s="1">
        <v>5</v>
      </c>
      <c r="D1976" s="1">
        <v>258</v>
      </c>
      <c r="E1976" s="2">
        <v>42897</v>
      </c>
      <c r="F1976" s="6">
        <v>4.5995047357930883</v>
      </c>
    </row>
    <row r="1977" spans="1:6">
      <c r="A1977" s="1">
        <v>9127225</v>
      </c>
      <c r="B1977" s="1">
        <v>1.9095975196140369E-2</v>
      </c>
      <c r="C1977" s="1">
        <v>14</v>
      </c>
      <c r="D1977" s="1">
        <v>510</v>
      </c>
      <c r="E1977" s="2">
        <v>43223</v>
      </c>
      <c r="F1977" s="6">
        <v>53.896572442680075</v>
      </c>
    </row>
    <row r="1978" spans="1:6">
      <c r="A1978" s="1">
        <v>9127228</v>
      </c>
      <c r="B1978" s="1">
        <v>0.21445421542187904</v>
      </c>
      <c r="C1978" s="1">
        <v>74</v>
      </c>
      <c r="D1978" s="1">
        <v>468</v>
      </c>
      <c r="E1978" s="2">
        <v>43162</v>
      </c>
      <c r="F1978" s="6">
        <v>7.8479727832494142</v>
      </c>
    </row>
    <row r="1979" spans="1:6">
      <c r="A1979" s="1">
        <v>9127231</v>
      </c>
      <c r="B1979" s="1">
        <v>0.75797160581753276</v>
      </c>
      <c r="C1979" s="1">
        <v>68</v>
      </c>
      <c r="D1979" s="1">
        <v>267</v>
      </c>
      <c r="E1979" s="2">
        <v>43197</v>
      </c>
      <c r="F1979" s="6">
        <v>68.883135132167851</v>
      </c>
    </row>
    <row r="1980" spans="1:6">
      <c r="A1980" s="1">
        <v>9127234</v>
      </c>
      <c r="B1980" s="1">
        <v>0.74123320364670997</v>
      </c>
      <c r="C1980" s="1">
        <v>14</v>
      </c>
      <c r="D1980" s="1">
        <v>430</v>
      </c>
      <c r="E1980" s="2">
        <v>43217</v>
      </c>
      <c r="F1980" s="6">
        <v>40.021884879162229</v>
      </c>
    </row>
    <row r="1981" spans="1:6">
      <c r="A1981" s="1">
        <v>9127237</v>
      </c>
      <c r="B1981" s="1">
        <v>0.24590224282805651</v>
      </c>
      <c r="C1981" s="1">
        <v>65</v>
      </c>
      <c r="D1981" s="1">
        <v>141</v>
      </c>
      <c r="E1981" s="2">
        <v>42942</v>
      </c>
      <c r="F1981" s="6">
        <v>9.5145471700384743</v>
      </c>
    </row>
    <row r="1982" spans="1:6">
      <c r="A1982" s="1">
        <v>9127240</v>
      </c>
      <c r="B1982" s="1">
        <v>0.32593167792555611</v>
      </c>
      <c r="C1982" s="1">
        <v>34</v>
      </c>
      <c r="D1982" s="1">
        <v>573</v>
      </c>
      <c r="E1982" s="2">
        <v>43229</v>
      </c>
      <c r="F1982" s="6">
        <v>8.0148763499512121</v>
      </c>
    </row>
    <row r="1983" spans="1:6">
      <c r="A1983" s="1">
        <v>9127243</v>
      </c>
      <c r="B1983" s="1">
        <v>0.74856530593070314</v>
      </c>
      <c r="C1983" s="1">
        <v>11</v>
      </c>
      <c r="D1983" s="1">
        <v>358</v>
      </c>
      <c r="E1983" s="2">
        <v>43192</v>
      </c>
      <c r="F1983" s="6">
        <v>3.1982591377864513</v>
      </c>
    </row>
    <row r="1984" spans="1:6">
      <c r="A1984" s="1">
        <v>9127246</v>
      </c>
      <c r="B1984" s="1">
        <v>0.45087140587902674</v>
      </c>
      <c r="C1984" s="1">
        <v>139</v>
      </c>
      <c r="D1984" s="1">
        <v>577</v>
      </c>
      <c r="E1984" s="2">
        <v>43200</v>
      </c>
      <c r="F1984" s="6">
        <v>12.218015591404516</v>
      </c>
    </row>
    <row r="1985" spans="1:6">
      <c r="A1985" s="1">
        <v>9127249</v>
      </c>
      <c r="B1985" s="1">
        <v>0.10440836839312539</v>
      </c>
      <c r="C1985" s="1">
        <v>17</v>
      </c>
      <c r="D1985" s="1">
        <v>221</v>
      </c>
      <c r="E1985" s="2">
        <v>43413</v>
      </c>
      <c r="F1985" s="6">
        <v>54.61076628878002</v>
      </c>
    </row>
    <row r="1986" spans="1:6">
      <c r="A1986" s="1">
        <v>9127252</v>
      </c>
      <c r="B1986" s="1">
        <v>0.31751521678720773</v>
      </c>
      <c r="C1986" s="1">
        <v>20</v>
      </c>
      <c r="D1986" s="1">
        <v>258</v>
      </c>
      <c r="E1986" s="2">
        <v>43023</v>
      </c>
      <c r="F1986" s="6">
        <v>51.531547087632113</v>
      </c>
    </row>
    <row r="1987" spans="1:6">
      <c r="A1987" s="1">
        <v>9127255</v>
      </c>
      <c r="B1987" s="1">
        <v>0.43845111411616133</v>
      </c>
      <c r="C1987" s="1">
        <v>15</v>
      </c>
      <c r="D1987" s="1">
        <v>319</v>
      </c>
      <c r="E1987" s="2">
        <v>43419</v>
      </c>
      <c r="F1987" s="6">
        <v>20.793804879323595</v>
      </c>
    </row>
    <row r="1988" spans="1:6">
      <c r="A1988" s="1">
        <v>9127258</v>
      </c>
      <c r="B1988" s="1">
        <v>0.77542715425781417</v>
      </c>
      <c r="C1988" s="1">
        <v>11</v>
      </c>
      <c r="D1988" s="1">
        <v>564</v>
      </c>
      <c r="E1988" s="2">
        <v>43164</v>
      </c>
      <c r="F1988" s="6">
        <v>59.516463343593969</v>
      </c>
    </row>
    <row r="1989" spans="1:6">
      <c r="A1989" s="1">
        <v>9127261</v>
      </c>
      <c r="B1989" s="1">
        <v>0.21772348285970966</v>
      </c>
      <c r="C1989" s="1">
        <v>49</v>
      </c>
      <c r="D1989" s="1">
        <v>296</v>
      </c>
      <c r="E1989" s="2">
        <v>43387</v>
      </c>
      <c r="F1989" s="6">
        <v>11.572210894364575</v>
      </c>
    </row>
    <row r="1990" spans="1:6">
      <c r="A1990" s="1">
        <v>9127264</v>
      </c>
      <c r="B1990" s="1">
        <v>0.54525879871069249</v>
      </c>
      <c r="C1990" s="1">
        <v>30</v>
      </c>
      <c r="D1990" s="1">
        <v>482</v>
      </c>
      <c r="E1990" s="2">
        <v>43315</v>
      </c>
      <c r="F1990" s="6">
        <v>261.45048379371968</v>
      </c>
    </row>
    <row r="1991" spans="1:6">
      <c r="A1991" s="1">
        <v>9127267</v>
      </c>
      <c r="B1991" s="1">
        <v>0.31932120356102622</v>
      </c>
      <c r="C1991" s="1">
        <v>52</v>
      </c>
      <c r="D1991" s="1">
        <v>18</v>
      </c>
      <c r="E1991" s="2">
        <v>43026</v>
      </c>
      <c r="F1991" s="6">
        <v>121.53122776315259</v>
      </c>
    </row>
    <row r="1992" spans="1:6">
      <c r="A1992" s="1">
        <v>9127270</v>
      </c>
      <c r="B1992" s="1">
        <v>0.76607176170206059</v>
      </c>
      <c r="C1992" s="1">
        <v>39</v>
      </c>
      <c r="D1992" s="1">
        <v>197</v>
      </c>
      <c r="E1992" s="2">
        <v>42922</v>
      </c>
      <c r="F1992" s="6">
        <v>38.08390704478672</v>
      </c>
    </row>
    <row r="1993" spans="1:6">
      <c r="A1993" s="1">
        <v>9127273</v>
      </c>
      <c r="B1993" s="1">
        <v>0.65806006042633647</v>
      </c>
      <c r="C1993" s="1">
        <v>3</v>
      </c>
      <c r="D1993" s="1">
        <v>510</v>
      </c>
      <c r="E1993" s="2">
        <v>43010</v>
      </c>
      <c r="F1993" s="6">
        <v>465.89159186504219</v>
      </c>
    </row>
    <row r="1994" spans="1:6">
      <c r="A1994" s="1">
        <v>9127276</v>
      </c>
      <c r="B1994" s="1">
        <v>0.64667929684600345</v>
      </c>
      <c r="C1994" s="1">
        <v>233</v>
      </c>
      <c r="D1994" s="1">
        <v>478</v>
      </c>
      <c r="E1994" s="2">
        <v>42994</v>
      </c>
      <c r="F1994" s="6">
        <v>6.9937137521560473</v>
      </c>
    </row>
    <row r="1995" spans="1:6">
      <c r="A1995" s="1">
        <v>9127279</v>
      </c>
      <c r="B1995" s="1">
        <v>0.49913183985725995</v>
      </c>
      <c r="C1995" s="1">
        <v>21</v>
      </c>
      <c r="D1995" s="1">
        <v>176</v>
      </c>
      <c r="E1995" s="2">
        <v>43458</v>
      </c>
      <c r="F1995" s="6">
        <v>20.690966461418462</v>
      </c>
    </row>
    <row r="1996" spans="1:6">
      <c r="A1996" s="1">
        <v>9127282</v>
      </c>
      <c r="B1996" s="1">
        <v>3.0758987264937088E-2</v>
      </c>
      <c r="C1996" s="1">
        <v>2</v>
      </c>
      <c r="D1996" s="1">
        <v>430</v>
      </c>
      <c r="E1996" s="2">
        <v>43495</v>
      </c>
      <c r="F1996" s="6">
        <v>321.58809559359293</v>
      </c>
    </row>
    <row r="1997" spans="1:6">
      <c r="A1997" s="1">
        <v>9127285</v>
      </c>
      <c r="B1997" s="1">
        <v>0.43778135648741923</v>
      </c>
      <c r="C1997" s="1">
        <v>32</v>
      </c>
      <c r="D1997" s="1">
        <v>258</v>
      </c>
      <c r="E1997" s="2">
        <v>42831</v>
      </c>
      <c r="F1997" s="6">
        <v>9.7745069566135729</v>
      </c>
    </row>
    <row r="1998" spans="1:6">
      <c r="A1998" s="1">
        <v>9127288</v>
      </c>
      <c r="B1998" s="1">
        <v>0.57077343215080933</v>
      </c>
      <c r="C1998" s="1">
        <v>31</v>
      </c>
      <c r="D1998" s="1">
        <v>546</v>
      </c>
      <c r="E1998" s="2">
        <v>43209</v>
      </c>
      <c r="F1998" s="6">
        <v>20.163398035400203</v>
      </c>
    </row>
    <row r="1999" spans="1:6">
      <c r="A1999" s="1">
        <v>9127291</v>
      </c>
      <c r="B1999" s="1">
        <v>0.58768441141026939</v>
      </c>
      <c r="C1999" s="1">
        <v>4</v>
      </c>
      <c r="D1999" s="1">
        <v>390</v>
      </c>
      <c r="E1999" s="2">
        <v>43449</v>
      </c>
      <c r="F1999" s="6">
        <v>28.634912570988377</v>
      </c>
    </row>
    <row r="2000" spans="1:6">
      <c r="A2000" s="1">
        <v>9127294</v>
      </c>
      <c r="B2000" s="1">
        <v>0.34453456005586236</v>
      </c>
      <c r="C2000" s="1">
        <v>38</v>
      </c>
      <c r="D2000" s="1">
        <v>358</v>
      </c>
      <c r="E2000" s="2">
        <v>43214</v>
      </c>
      <c r="F2000" s="6">
        <v>274.54209497724975</v>
      </c>
    </row>
    <row r="2001" spans="1:6">
      <c r="A2001" s="1">
        <v>9127297</v>
      </c>
      <c r="B2001" s="1">
        <v>0.15805049550228101</v>
      </c>
      <c r="C2001" s="1">
        <v>42</v>
      </c>
      <c r="D2001" s="1">
        <v>394</v>
      </c>
      <c r="E2001" s="2">
        <v>42941</v>
      </c>
      <c r="F2001" s="6">
        <v>4.1459607239352385</v>
      </c>
    </row>
    <row r="2002" spans="1:6">
      <c r="A2002" s="1">
        <v>9127300</v>
      </c>
      <c r="B2002" s="1">
        <v>0.20171960045291382</v>
      </c>
      <c r="C2002" s="1">
        <v>4</v>
      </c>
      <c r="D2002" s="1">
        <v>258</v>
      </c>
      <c r="E2002" s="2">
        <v>42864</v>
      </c>
      <c r="F2002" s="6">
        <v>16.519830650612036</v>
      </c>
    </row>
    <row r="2003" spans="1:6">
      <c r="A2003" s="1">
        <v>9127303</v>
      </c>
      <c r="B2003" s="1">
        <v>0.26794117291249742</v>
      </c>
      <c r="C2003" s="1">
        <v>15</v>
      </c>
      <c r="D2003" s="1">
        <v>258</v>
      </c>
      <c r="E2003" s="2">
        <v>43492</v>
      </c>
      <c r="F2003" s="6">
        <v>16.910551295019658</v>
      </c>
    </row>
    <row r="2004" spans="1:6">
      <c r="A2004" s="1">
        <v>9127306</v>
      </c>
      <c r="B2004" s="1">
        <v>0.50828182187851223</v>
      </c>
      <c r="C2004" s="1">
        <v>8</v>
      </c>
      <c r="D2004" s="1">
        <v>162</v>
      </c>
      <c r="E2004" s="2">
        <v>43259</v>
      </c>
      <c r="F2004" s="6">
        <v>6.0986534993938735</v>
      </c>
    </row>
    <row r="2005" spans="1:6">
      <c r="A2005" s="1">
        <v>9127309</v>
      </c>
      <c r="B2005" s="1">
        <v>0.7370503653546473</v>
      </c>
      <c r="C2005" s="1">
        <v>1</v>
      </c>
      <c r="D2005" s="1">
        <v>413</v>
      </c>
      <c r="E2005" s="2">
        <v>43246</v>
      </c>
      <c r="F2005" s="6">
        <v>11.663992599676604</v>
      </c>
    </row>
    <row r="2006" spans="1:6">
      <c r="A2006" s="1">
        <v>9127312</v>
      </c>
      <c r="B2006" s="1">
        <v>0.70437347870410605</v>
      </c>
      <c r="C2006" s="1">
        <v>121</v>
      </c>
      <c r="D2006" s="1">
        <v>510</v>
      </c>
      <c r="E2006" s="2">
        <v>42985</v>
      </c>
      <c r="F2006" s="6">
        <v>16.599658998437334</v>
      </c>
    </row>
    <row r="2007" spans="1:6">
      <c r="A2007" s="1">
        <v>9127315</v>
      </c>
      <c r="B2007" s="1">
        <v>0.14133439601574438</v>
      </c>
      <c r="C2007" s="1">
        <v>29</v>
      </c>
      <c r="D2007" s="1">
        <v>258</v>
      </c>
      <c r="E2007" s="2">
        <v>42852</v>
      </c>
      <c r="F2007" s="6">
        <v>50.771548852783518</v>
      </c>
    </row>
    <row r="2008" spans="1:6">
      <c r="A2008" s="1">
        <v>9127318</v>
      </c>
      <c r="B2008" s="1">
        <v>0.97766898301355809</v>
      </c>
      <c r="C2008" s="1">
        <v>3</v>
      </c>
      <c r="D2008" s="1">
        <v>541</v>
      </c>
      <c r="E2008" s="2">
        <v>43430</v>
      </c>
      <c r="F2008" s="6">
        <v>9.4717588769885914</v>
      </c>
    </row>
    <row r="2009" spans="1:6">
      <c r="A2009" s="1">
        <v>9127321</v>
      </c>
      <c r="B2009" s="1">
        <v>0.59546705328108196</v>
      </c>
      <c r="C2009" s="1">
        <v>19</v>
      </c>
      <c r="D2009" s="1">
        <v>326</v>
      </c>
      <c r="E2009" s="2">
        <v>43488</v>
      </c>
      <c r="F2009" s="6">
        <v>35.704843191557572</v>
      </c>
    </row>
    <row r="2010" spans="1:6">
      <c r="A2010" s="1">
        <v>9127324</v>
      </c>
      <c r="B2010" s="1">
        <v>0.84569469486152649</v>
      </c>
      <c r="C2010" s="1">
        <v>30</v>
      </c>
      <c r="D2010" s="1">
        <v>236</v>
      </c>
      <c r="E2010" s="2">
        <v>43317</v>
      </c>
      <c r="F2010" s="6">
        <v>29.439542766337905</v>
      </c>
    </row>
    <row r="2011" spans="1:6">
      <c r="A2011" s="1">
        <v>9127327</v>
      </c>
      <c r="B2011" s="1">
        <v>0.22147196380854173</v>
      </c>
      <c r="C2011" s="1">
        <v>2</v>
      </c>
      <c r="D2011" s="1">
        <v>258</v>
      </c>
      <c r="E2011" s="2">
        <v>42918</v>
      </c>
      <c r="F2011" s="6">
        <v>20.709560288115465</v>
      </c>
    </row>
    <row r="2012" spans="1:6">
      <c r="A2012" s="1">
        <v>9127330</v>
      </c>
      <c r="B2012" s="1">
        <v>0.82380126195809367</v>
      </c>
      <c r="C2012" s="1">
        <v>8</v>
      </c>
      <c r="D2012" s="1">
        <v>393</v>
      </c>
      <c r="E2012" s="2">
        <v>42860</v>
      </c>
      <c r="F2012" s="6">
        <v>31.904615458848564</v>
      </c>
    </row>
    <row r="2013" spans="1:6">
      <c r="A2013" s="1">
        <v>9127333</v>
      </c>
      <c r="B2013" s="1">
        <v>0.68790900700693203</v>
      </c>
      <c r="C2013" s="1">
        <v>106</v>
      </c>
      <c r="D2013" s="1">
        <v>514</v>
      </c>
      <c r="E2013" s="2">
        <v>43491</v>
      </c>
      <c r="F2013" s="6">
        <v>160.17797167877384</v>
      </c>
    </row>
    <row r="2014" spans="1:6">
      <c r="A2014" s="1">
        <v>9127336</v>
      </c>
      <c r="B2014" s="1">
        <v>0.80683291301292936</v>
      </c>
      <c r="C2014" s="1">
        <v>11</v>
      </c>
      <c r="D2014" s="1">
        <v>263</v>
      </c>
      <c r="E2014" s="2">
        <v>43021</v>
      </c>
      <c r="F2014" s="6">
        <v>60.574053894315746</v>
      </c>
    </row>
    <row r="2015" spans="1:6">
      <c r="A2015" s="1">
        <v>9127339</v>
      </c>
      <c r="B2015" s="1">
        <v>0.5033519488524405</v>
      </c>
      <c r="C2015" s="1">
        <v>22</v>
      </c>
      <c r="D2015" s="1">
        <v>359</v>
      </c>
      <c r="E2015" s="2">
        <v>42974</v>
      </c>
      <c r="F2015" s="6">
        <v>80.16650841959023</v>
      </c>
    </row>
    <row r="2016" spans="1:6">
      <c r="A2016" s="1">
        <v>9127342</v>
      </c>
      <c r="B2016" s="1">
        <v>0.97260872635773521</v>
      </c>
      <c r="C2016" s="1">
        <v>3</v>
      </c>
      <c r="D2016" s="1">
        <v>522</v>
      </c>
      <c r="E2016" s="2">
        <v>43164</v>
      </c>
      <c r="F2016" s="6">
        <v>88.899965244188053</v>
      </c>
    </row>
    <row r="2017" spans="1:6">
      <c r="A2017" s="1">
        <v>9127345</v>
      </c>
      <c r="B2017" s="1">
        <v>0.98999994968777505</v>
      </c>
      <c r="C2017" s="1">
        <v>26</v>
      </c>
      <c r="D2017" s="1">
        <v>258</v>
      </c>
      <c r="E2017" s="2">
        <v>43164</v>
      </c>
      <c r="F2017" s="6">
        <v>11.424734429776409</v>
      </c>
    </row>
    <row r="2018" spans="1:6">
      <c r="A2018" s="1">
        <v>9127348</v>
      </c>
      <c r="B2018" s="1">
        <v>0.90153016544023412</v>
      </c>
      <c r="C2018" s="1">
        <v>184</v>
      </c>
      <c r="D2018" s="1">
        <v>263</v>
      </c>
      <c r="E2018" s="2">
        <v>43338</v>
      </c>
      <c r="F2018" s="6">
        <v>18.813559194860574</v>
      </c>
    </row>
    <row r="2019" spans="1:6">
      <c r="A2019" s="1">
        <v>9127351</v>
      </c>
      <c r="B2019" s="1">
        <v>3.4352093384371174E-2</v>
      </c>
      <c r="C2019" s="1">
        <v>149</v>
      </c>
      <c r="D2019" s="1">
        <v>585</v>
      </c>
      <c r="E2019" s="2">
        <v>42865</v>
      </c>
      <c r="F2019" s="6">
        <v>23.494411332045491</v>
      </c>
    </row>
    <row r="2020" spans="1:6">
      <c r="A2020" s="1">
        <v>9127354</v>
      </c>
      <c r="B2020" s="1">
        <v>0.76924756574567732</v>
      </c>
      <c r="C2020" s="1">
        <v>54</v>
      </c>
      <c r="D2020" s="1">
        <v>182</v>
      </c>
      <c r="E2020" s="2">
        <v>43333</v>
      </c>
      <c r="F2020" s="6">
        <v>53.235163971740135</v>
      </c>
    </row>
    <row r="2021" spans="1:6">
      <c r="A2021" s="1">
        <v>9127357</v>
      </c>
      <c r="B2021" s="1">
        <v>0.98927982946683157</v>
      </c>
      <c r="C2021" s="1">
        <v>160</v>
      </c>
      <c r="D2021" s="1">
        <v>514</v>
      </c>
      <c r="E2021" s="2">
        <v>43143</v>
      </c>
      <c r="F2021" s="6">
        <v>10.381859874550557</v>
      </c>
    </row>
    <row r="2022" spans="1:6">
      <c r="A2022" s="1">
        <v>9127360</v>
      </c>
      <c r="B2022" s="1">
        <v>0.13343494426198277</v>
      </c>
      <c r="C2022" s="1">
        <v>140</v>
      </c>
      <c r="D2022" s="1">
        <v>564</v>
      </c>
      <c r="E2022" s="2">
        <v>43003</v>
      </c>
      <c r="F2022" s="6">
        <v>42.735306350943532</v>
      </c>
    </row>
    <row r="2023" spans="1:6">
      <c r="A2023" s="1">
        <v>9127363</v>
      </c>
      <c r="B2023" s="1">
        <v>0.80223903990074419</v>
      </c>
      <c r="C2023" s="1">
        <v>13</v>
      </c>
      <c r="D2023" s="1">
        <v>526</v>
      </c>
      <c r="E2023" s="2">
        <v>42849</v>
      </c>
      <c r="F2023" s="6">
        <v>50.341274820131432</v>
      </c>
    </row>
    <row r="2024" spans="1:6">
      <c r="A2024" s="1">
        <v>9127366</v>
      </c>
      <c r="B2024" s="1">
        <v>0.91750477977521649</v>
      </c>
      <c r="C2024" s="1">
        <v>17</v>
      </c>
      <c r="D2024" s="1">
        <v>458</v>
      </c>
      <c r="E2024" s="2">
        <v>43040</v>
      </c>
      <c r="F2024" s="6">
        <v>56.059894220000395</v>
      </c>
    </row>
    <row r="2025" spans="1:6">
      <c r="A2025" s="1">
        <v>9127369</v>
      </c>
      <c r="B2025" s="1">
        <v>0.98526927723066482</v>
      </c>
      <c r="C2025" s="1">
        <v>19</v>
      </c>
      <c r="D2025" s="1">
        <v>176</v>
      </c>
      <c r="E2025" s="2">
        <v>42988</v>
      </c>
      <c r="F2025" s="6">
        <v>4.7564426911845707</v>
      </c>
    </row>
    <row r="2026" spans="1:6">
      <c r="A2026" s="1">
        <v>9127372</v>
      </c>
      <c r="B2026" s="1">
        <v>0.19998400933941185</v>
      </c>
      <c r="C2026" s="1">
        <v>2</v>
      </c>
      <c r="D2026" s="1">
        <v>22</v>
      </c>
      <c r="E2026" s="2">
        <v>43361</v>
      </c>
      <c r="F2026" s="6">
        <v>16.710437271588546</v>
      </c>
    </row>
    <row r="2027" spans="1:6">
      <c r="A2027" s="1">
        <v>9127375</v>
      </c>
      <c r="B2027" s="1">
        <v>0.70654274588208066</v>
      </c>
      <c r="C2027" s="1">
        <v>1</v>
      </c>
      <c r="D2027" s="1">
        <v>597</v>
      </c>
      <c r="E2027" s="2">
        <v>42921</v>
      </c>
      <c r="F2027" s="6">
        <v>9.6758684950675544</v>
      </c>
    </row>
    <row r="2028" spans="1:6">
      <c r="A2028" s="1">
        <v>9127378</v>
      </c>
      <c r="B2028" s="1">
        <v>0.67862173843862095</v>
      </c>
      <c r="C2028" s="1">
        <v>79</v>
      </c>
      <c r="D2028" s="1">
        <v>532</v>
      </c>
      <c r="E2028" s="2">
        <v>43364</v>
      </c>
      <c r="F2028" s="6">
        <v>9.8976861606912294</v>
      </c>
    </row>
    <row r="2029" spans="1:6">
      <c r="A2029" s="1">
        <v>9127381</v>
      </c>
      <c r="B2029" s="1">
        <v>0.43461928774306047</v>
      </c>
      <c r="C2029" s="1">
        <v>88</v>
      </c>
      <c r="D2029" s="1">
        <v>420</v>
      </c>
      <c r="E2029" s="2">
        <v>43428</v>
      </c>
      <c r="F2029" s="6">
        <v>24.525988838146795</v>
      </c>
    </row>
    <row r="2030" spans="1:6">
      <c r="A2030" s="1">
        <v>9127384</v>
      </c>
      <c r="B2030" s="1">
        <v>0.57166706756588703</v>
      </c>
      <c r="C2030" s="1">
        <v>6</v>
      </c>
      <c r="D2030" s="1">
        <v>431</v>
      </c>
      <c r="E2030" s="2">
        <v>42921</v>
      </c>
      <c r="F2030" s="6">
        <v>19.677581051395919</v>
      </c>
    </row>
    <row r="2031" spans="1:6">
      <c r="A2031" s="1">
        <v>9127387</v>
      </c>
      <c r="B2031" s="1">
        <v>0.48258976883492377</v>
      </c>
      <c r="C2031" s="1">
        <v>42</v>
      </c>
      <c r="D2031" s="1">
        <v>47</v>
      </c>
      <c r="E2031" s="2">
        <v>43360</v>
      </c>
      <c r="F2031" s="6">
        <v>37.497788982204511</v>
      </c>
    </row>
    <row r="2032" spans="1:6">
      <c r="A2032" s="1">
        <v>9127390</v>
      </c>
      <c r="B2032" s="1">
        <v>0.27280673848047321</v>
      </c>
      <c r="C2032" s="1">
        <v>110</v>
      </c>
      <c r="D2032" s="1">
        <v>38</v>
      </c>
      <c r="E2032" s="2">
        <v>43421</v>
      </c>
      <c r="F2032" s="6">
        <v>29.556729051940518</v>
      </c>
    </row>
    <row r="2033" spans="1:6">
      <c r="A2033" s="1">
        <v>9127393</v>
      </c>
      <c r="B2033" s="1">
        <v>0.15836506514899296</v>
      </c>
      <c r="C2033" s="1">
        <v>20</v>
      </c>
      <c r="D2033" s="1">
        <v>592</v>
      </c>
      <c r="E2033" s="2">
        <v>43479</v>
      </c>
      <c r="F2033" s="6">
        <v>20.166760857909029</v>
      </c>
    </row>
    <row r="2034" spans="1:6">
      <c r="A2034" s="1">
        <v>9127396</v>
      </c>
      <c r="B2034" s="1">
        <v>0.15676750486264301</v>
      </c>
      <c r="C2034" s="1">
        <v>211</v>
      </c>
      <c r="D2034" s="1">
        <v>139</v>
      </c>
      <c r="E2034" s="2">
        <v>43245</v>
      </c>
      <c r="F2034" s="6">
        <v>46.325538557837248</v>
      </c>
    </row>
    <row r="2035" spans="1:6">
      <c r="A2035" s="1">
        <v>9127399</v>
      </c>
      <c r="B2035" s="1">
        <v>0.75043627917984934</v>
      </c>
      <c r="C2035" s="1">
        <v>41</v>
      </c>
      <c r="D2035" s="1">
        <v>258</v>
      </c>
      <c r="E2035" s="2">
        <v>42800</v>
      </c>
      <c r="F2035" s="6">
        <v>55.843543171091667</v>
      </c>
    </row>
    <row r="2036" spans="1:6">
      <c r="A2036" s="1">
        <v>9127402</v>
      </c>
      <c r="B2036" s="1">
        <v>0.44407790382430534</v>
      </c>
      <c r="C2036" s="1">
        <v>2</v>
      </c>
      <c r="D2036" s="1">
        <v>551</v>
      </c>
      <c r="E2036" s="2">
        <v>43343</v>
      </c>
      <c r="F2036" s="6">
        <v>79.736711933986953</v>
      </c>
    </row>
    <row r="2037" spans="1:6">
      <c r="A2037" s="1">
        <v>9127405</v>
      </c>
      <c r="B2037" s="1">
        <v>0.15353565151203286</v>
      </c>
      <c r="C2037" s="1">
        <v>48</v>
      </c>
      <c r="D2037" s="1">
        <v>22</v>
      </c>
      <c r="E2037" s="2">
        <v>43310</v>
      </c>
      <c r="F2037" s="6">
        <v>85.185279264308946</v>
      </c>
    </row>
    <row r="2038" spans="1:6">
      <c r="A2038" s="1">
        <v>9127408</v>
      </c>
      <c r="B2038" s="1">
        <v>0.67655523763960468</v>
      </c>
      <c r="C2038" s="1">
        <v>4</v>
      </c>
      <c r="D2038" s="1">
        <v>424</v>
      </c>
      <c r="E2038" s="2">
        <v>43003</v>
      </c>
      <c r="F2038" s="6">
        <v>4.4709534436757483</v>
      </c>
    </row>
    <row r="2039" spans="1:6">
      <c r="A2039" s="1">
        <v>9127411</v>
      </c>
      <c r="B2039" s="1">
        <v>7.7473703497758506E-2</v>
      </c>
      <c r="C2039" s="1">
        <v>9</v>
      </c>
      <c r="D2039" s="1">
        <v>258</v>
      </c>
      <c r="E2039" s="2">
        <v>42742</v>
      </c>
      <c r="F2039" s="6">
        <v>11.953393184932795</v>
      </c>
    </row>
    <row r="2040" spans="1:6">
      <c r="A2040" s="1">
        <v>9127414</v>
      </c>
      <c r="B2040" s="1">
        <v>0.36906209725940131</v>
      </c>
      <c r="C2040" s="1">
        <v>85</v>
      </c>
      <c r="D2040" s="1">
        <v>393</v>
      </c>
      <c r="E2040" s="2">
        <v>43113</v>
      </c>
      <c r="F2040" s="6">
        <v>109.23692274551271</v>
      </c>
    </row>
    <row r="2041" spans="1:6">
      <c r="A2041" s="1">
        <v>9127417</v>
      </c>
      <c r="B2041" s="1">
        <v>0.92008025916765324</v>
      </c>
      <c r="C2041" s="1">
        <v>74</v>
      </c>
      <c r="D2041" s="1">
        <v>47</v>
      </c>
      <c r="E2041" s="2">
        <v>43448</v>
      </c>
      <c r="F2041" s="6">
        <v>3.8495651191367228</v>
      </c>
    </row>
    <row r="2042" spans="1:6">
      <c r="A2042" s="1">
        <v>9127420</v>
      </c>
      <c r="B2042" s="1">
        <v>0.8664525471389225</v>
      </c>
      <c r="C2042" s="1">
        <v>4</v>
      </c>
      <c r="D2042" s="1">
        <v>22</v>
      </c>
      <c r="E2042" s="2">
        <v>42893</v>
      </c>
      <c r="F2042" s="6">
        <v>8.9003187099934227</v>
      </c>
    </row>
    <row r="2043" spans="1:6">
      <c r="A2043" s="1">
        <v>9127423</v>
      </c>
      <c r="B2043" s="1">
        <v>0.89067548584740452</v>
      </c>
      <c r="C2043" s="1">
        <v>2</v>
      </c>
      <c r="D2043" s="1">
        <v>393</v>
      </c>
      <c r="E2043" s="2">
        <v>42870</v>
      </c>
      <c r="F2043" s="6">
        <v>251.73417145840565</v>
      </c>
    </row>
    <row r="2044" spans="1:6">
      <c r="A2044" s="1">
        <v>9127426</v>
      </c>
      <c r="B2044" s="1">
        <v>0.72915300836773278</v>
      </c>
      <c r="C2044" s="1">
        <v>19</v>
      </c>
      <c r="D2044" s="1">
        <v>235</v>
      </c>
      <c r="E2044" s="2">
        <v>43023</v>
      </c>
      <c r="F2044" s="6">
        <v>72.205010415178009</v>
      </c>
    </row>
    <row r="2045" spans="1:6">
      <c r="A2045" s="1">
        <v>9127429</v>
      </c>
      <c r="B2045" s="1">
        <v>0.39358730710955436</v>
      </c>
      <c r="C2045" s="1">
        <v>3</v>
      </c>
      <c r="D2045" s="1">
        <v>219</v>
      </c>
      <c r="E2045" s="2">
        <v>43183</v>
      </c>
      <c r="F2045" s="6">
        <v>144.83983602836619</v>
      </c>
    </row>
    <row r="2046" spans="1:6">
      <c r="A2046" s="1">
        <v>9127432</v>
      </c>
      <c r="B2046" s="1">
        <v>0.78139600107004625</v>
      </c>
      <c r="C2046" s="1">
        <v>12</v>
      </c>
      <c r="D2046" s="1">
        <v>510</v>
      </c>
      <c r="E2046" s="2">
        <v>43416</v>
      </c>
      <c r="F2046" s="6">
        <v>35.737205213202763</v>
      </c>
    </row>
    <row r="2047" spans="1:6">
      <c r="A2047" s="1">
        <v>9127435</v>
      </c>
      <c r="B2047" s="1">
        <v>0.40215972344133988</v>
      </c>
      <c r="C2047" s="1">
        <v>1</v>
      </c>
      <c r="D2047" s="1">
        <v>340</v>
      </c>
      <c r="E2047" s="2">
        <v>42857</v>
      </c>
      <c r="F2047" s="6">
        <v>174.10166647757785</v>
      </c>
    </row>
    <row r="2048" spans="1:6">
      <c r="A2048" s="1">
        <v>9127438</v>
      </c>
      <c r="B2048" s="1">
        <v>0.69771972372250046</v>
      </c>
      <c r="C2048" s="1">
        <v>2</v>
      </c>
      <c r="D2048" s="1">
        <v>169</v>
      </c>
      <c r="E2048" s="2">
        <v>43331</v>
      </c>
      <c r="F2048" s="6">
        <v>36.285200219102798</v>
      </c>
    </row>
    <row r="2049" spans="1:6">
      <c r="A2049" s="1">
        <v>9127441</v>
      </c>
      <c r="B2049" s="1">
        <v>0.13157429622546168</v>
      </c>
      <c r="C2049" s="1">
        <v>19</v>
      </c>
      <c r="D2049" s="1">
        <v>108</v>
      </c>
      <c r="E2049" s="2">
        <v>43163</v>
      </c>
      <c r="F2049" s="6">
        <v>277.11793362272272</v>
      </c>
    </row>
    <row r="2050" spans="1:6">
      <c r="A2050" s="1">
        <v>9127444</v>
      </c>
      <c r="B2050" s="1">
        <v>0.27339291114980746</v>
      </c>
      <c r="C2050" s="1">
        <v>95</v>
      </c>
      <c r="D2050" s="1">
        <v>510</v>
      </c>
      <c r="E2050" s="2">
        <v>42742</v>
      </c>
      <c r="F2050" s="6">
        <v>140.70614666005656</v>
      </c>
    </row>
    <row r="2051" spans="1:6">
      <c r="A2051" s="1">
        <v>9127447</v>
      </c>
      <c r="B2051" s="1">
        <v>0.87045402026640739</v>
      </c>
      <c r="C2051" s="1">
        <v>214</v>
      </c>
      <c r="D2051" s="1">
        <v>343</v>
      </c>
      <c r="E2051" s="2">
        <v>43452</v>
      </c>
      <c r="F2051" s="6">
        <v>134.873631078985</v>
      </c>
    </row>
    <row r="2052" spans="1:6">
      <c r="A2052" s="1">
        <v>9127450</v>
      </c>
      <c r="B2052" s="1">
        <v>0.43607271950739068</v>
      </c>
      <c r="C2052" s="1">
        <v>25</v>
      </c>
      <c r="D2052" s="1">
        <v>431</v>
      </c>
      <c r="E2052" s="2">
        <v>43051</v>
      </c>
      <c r="F2052" s="6">
        <v>81.384241823337561</v>
      </c>
    </row>
    <row r="2053" spans="1:6">
      <c r="A2053" s="1">
        <v>9127453</v>
      </c>
      <c r="B2053" s="1">
        <v>0.51213438565886682</v>
      </c>
      <c r="C2053" s="1">
        <v>58</v>
      </c>
      <c r="D2053" s="1">
        <v>326</v>
      </c>
      <c r="E2053" s="2">
        <v>43309</v>
      </c>
      <c r="F2053" s="6">
        <v>83.632658562628649</v>
      </c>
    </row>
    <row r="2054" spans="1:6">
      <c r="A2054" s="1">
        <v>9127456</v>
      </c>
      <c r="B2054" s="1">
        <v>0.82642994988934404</v>
      </c>
      <c r="C2054" s="1">
        <v>17</v>
      </c>
      <c r="D2054" s="1">
        <v>221</v>
      </c>
      <c r="E2054" s="2">
        <v>43225</v>
      </c>
      <c r="F2054" s="6">
        <v>99.507464343209207</v>
      </c>
    </row>
    <row r="2055" spans="1:6">
      <c r="A2055" s="1">
        <v>9127459</v>
      </c>
      <c r="B2055" s="1">
        <v>0.25867351249506798</v>
      </c>
      <c r="C2055" s="1">
        <v>39</v>
      </c>
      <c r="D2055" s="1">
        <v>548</v>
      </c>
      <c r="E2055" s="2">
        <v>43057</v>
      </c>
      <c r="F2055" s="6">
        <v>180.34427882642848</v>
      </c>
    </row>
    <row r="2056" spans="1:6">
      <c r="A2056" s="1">
        <v>9127462</v>
      </c>
      <c r="B2056" s="1">
        <v>0.51214312975442622</v>
      </c>
      <c r="C2056" s="1">
        <v>12</v>
      </c>
      <c r="D2056" s="1">
        <v>544</v>
      </c>
      <c r="E2056" s="2">
        <v>43166</v>
      </c>
      <c r="F2056" s="6">
        <v>18.677773001088731</v>
      </c>
    </row>
    <row r="2057" spans="1:6">
      <c r="A2057" s="1">
        <v>9127465</v>
      </c>
      <c r="B2057" s="1">
        <v>0.74151982997108434</v>
      </c>
      <c r="C2057" s="1">
        <v>229</v>
      </c>
      <c r="D2057" s="1">
        <v>138</v>
      </c>
      <c r="E2057" s="2">
        <v>43000</v>
      </c>
      <c r="F2057" s="6">
        <v>83.174465814575868</v>
      </c>
    </row>
    <row r="2058" spans="1:6">
      <c r="A2058" s="1">
        <v>9127468</v>
      </c>
      <c r="B2058" s="1">
        <v>0.8143639326346801</v>
      </c>
      <c r="C2058" s="1">
        <v>206</v>
      </c>
      <c r="D2058" s="1">
        <v>592</v>
      </c>
      <c r="E2058" s="2">
        <v>43145</v>
      </c>
      <c r="F2058" s="6">
        <v>26.412973639206495</v>
      </c>
    </row>
    <row r="2059" spans="1:6">
      <c r="A2059" s="1">
        <v>9127471</v>
      </c>
      <c r="B2059" s="1">
        <v>0.20897312803447099</v>
      </c>
      <c r="C2059" s="1">
        <v>88</v>
      </c>
      <c r="D2059" s="1">
        <v>492</v>
      </c>
      <c r="E2059" s="2">
        <v>43271</v>
      </c>
      <c r="F2059" s="6">
        <v>49.710652546373701</v>
      </c>
    </row>
    <row r="2060" spans="1:6">
      <c r="A2060" s="1">
        <v>9127474</v>
      </c>
      <c r="B2060" s="1">
        <v>0.16066908533148072</v>
      </c>
      <c r="C2060" s="1">
        <v>9</v>
      </c>
      <c r="D2060" s="1">
        <v>383</v>
      </c>
      <c r="E2060" s="2">
        <v>43220</v>
      </c>
      <c r="F2060" s="6">
        <v>6.8294235775655725</v>
      </c>
    </row>
    <row r="2061" spans="1:6">
      <c r="A2061" s="1">
        <v>9127477</v>
      </c>
      <c r="B2061" s="1">
        <v>0.1805794580737321</v>
      </c>
      <c r="C2061" s="1">
        <v>18</v>
      </c>
      <c r="D2061" s="1">
        <v>47</v>
      </c>
      <c r="E2061" s="2">
        <v>43134</v>
      </c>
      <c r="F2061" s="6">
        <v>8.0718600510294003</v>
      </c>
    </row>
    <row r="2062" spans="1:6">
      <c r="A2062" s="1">
        <v>9127480</v>
      </c>
      <c r="B2062" s="1">
        <v>0.65671065039999266</v>
      </c>
      <c r="C2062" s="1">
        <v>2</v>
      </c>
      <c r="D2062" s="1">
        <v>176</v>
      </c>
      <c r="E2062" s="2">
        <v>42748</v>
      </c>
      <c r="F2062" s="6">
        <v>5.296665214712446</v>
      </c>
    </row>
    <row r="2063" spans="1:6">
      <c r="A2063" s="1">
        <v>9127483</v>
      </c>
      <c r="B2063" s="1">
        <v>0.16023610381334108</v>
      </c>
      <c r="C2063" s="1">
        <v>27</v>
      </c>
      <c r="D2063" s="1">
        <v>176</v>
      </c>
      <c r="E2063" s="2">
        <v>42786</v>
      </c>
      <c r="F2063" s="6">
        <v>74.12340626127282</v>
      </c>
    </row>
    <row r="2064" spans="1:6">
      <c r="A2064" s="1">
        <v>9127486</v>
      </c>
      <c r="B2064" s="1">
        <v>0.38595946744322074</v>
      </c>
      <c r="C2064" s="1">
        <v>6</v>
      </c>
      <c r="D2064" s="1">
        <v>176</v>
      </c>
      <c r="E2064" s="2">
        <v>43304</v>
      </c>
      <c r="F2064" s="6">
        <v>7.0572493024761913</v>
      </c>
    </row>
    <row r="2065" spans="1:6">
      <c r="A2065" s="1">
        <v>9127489</v>
      </c>
      <c r="B2065" s="1">
        <v>0.28829168338109845</v>
      </c>
      <c r="C2065" s="1">
        <v>1</v>
      </c>
      <c r="D2065" s="1">
        <v>290</v>
      </c>
      <c r="E2065" s="2">
        <v>43027</v>
      </c>
      <c r="F2065" s="6">
        <v>74.855564269713824</v>
      </c>
    </row>
    <row r="2066" spans="1:6">
      <c r="A2066" s="1">
        <v>9127492</v>
      </c>
      <c r="B2066" s="1">
        <v>0.89923993247430212</v>
      </c>
      <c r="C2066" s="1">
        <v>207</v>
      </c>
      <c r="D2066" s="1">
        <v>47</v>
      </c>
      <c r="E2066" s="2">
        <v>42749</v>
      </c>
      <c r="F2066" s="6">
        <v>34.686548811100124</v>
      </c>
    </row>
    <row r="2067" spans="1:6">
      <c r="A2067" s="1">
        <v>9127495</v>
      </c>
      <c r="B2067" s="1">
        <v>0.15529828762336984</v>
      </c>
      <c r="C2067" s="1">
        <v>209</v>
      </c>
      <c r="D2067" s="1">
        <v>225</v>
      </c>
      <c r="E2067" s="2">
        <v>42865</v>
      </c>
      <c r="F2067" s="6">
        <v>14.496858462485356</v>
      </c>
    </row>
    <row r="2068" spans="1:6">
      <c r="A2068" s="1">
        <v>9127498</v>
      </c>
      <c r="B2068" s="1">
        <v>0.82504866649305342</v>
      </c>
      <c r="C2068" s="1">
        <v>37</v>
      </c>
      <c r="D2068" s="1">
        <v>90</v>
      </c>
      <c r="E2068" s="2">
        <v>43442</v>
      </c>
      <c r="F2068" s="6">
        <v>93.969782061715534</v>
      </c>
    </row>
    <row r="2069" spans="1:6">
      <c r="A2069" s="1">
        <v>9127501</v>
      </c>
      <c r="B2069" s="1">
        <v>0.49776283280937117</v>
      </c>
      <c r="C2069" s="1">
        <v>25</v>
      </c>
      <c r="D2069" s="1">
        <v>176</v>
      </c>
      <c r="E2069" s="2">
        <v>42928</v>
      </c>
      <c r="F2069" s="6">
        <v>7.0446171862865716</v>
      </c>
    </row>
    <row r="2070" spans="1:6">
      <c r="A2070" s="1">
        <v>9127504</v>
      </c>
      <c r="B2070" s="1">
        <v>6.8312889252876152E-2</v>
      </c>
      <c r="C2070" s="1">
        <v>2</v>
      </c>
      <c r="D2070" s="1">
        <v>592</v>
      </c>
      <c r="E2070" s="2">
        <v>42854</v>
      </c>
      <c r="F2070" s="6">
        <v>3.1725489118842969</v>
      </c>
    </row>
    <row r="2071" spans="1:6">
      <c r="A2071" s="1">
        <v>9127507</v>
      </c>
      <c r="B2071" s="1">
        <v>0.65536298928080405</v>
      </c>
      <c r="C2071" s="1">
        <v>22</v>
      </c>
      <c r="D2071" s="1">
        <v>358</v>
      </c>
      <c r="E2071" s="2">
        <v>43475</v>
      </c>
      <c r="F2071" s="6">
        <v>171.50177006371419</v>
      </c>
    </row>
    <row r="2072" spans="1:6">
      <c r="A2072" s="1">
        <v>9127510</v>
      </c>
      <c r="B2072" s="1">
        <v>0.24199113447047604</v>
      </c>
      <c r="C2072" s="1">
        <v>3</v>
      </c>
      <c r="D2072" s="1">
        <v>176</v>
      </c>
      <c r="E2072" s="2">
        <v>42852</v>
      </c>
      <c r="F2072" s="6">
        <v>13.29748622640926</v>
      </c>
    </row>
    <row r="2073" spans="1:6">
      <c r="A2073" s="1">
        <v>9127513</v>
      </c>
      <c r="B2073" s="1">
        <v>0.14319573519168471</v>
      </c>
      <c r="C2073" s="1">
        <v>87</v>
      </c>
      <c r="D2073" s="1">
        <v>393</v>
      </c>
      <c r="E2073" s="2">
        <v>42759</v>
      </c>
      <c r="F2073" s="6">
        <v>169.28746441892858</v>
      </c>
    </row>
    <row r="2074" spans="1:6">
      <c r="A2074" s="1">
        <v>9127516</v>
      </c>
      <c r="B2074" s="1">
        <v>0.44780545978759578</v>
      </c>
      <c r="C2074" s="1">
        <v>74</v>
      </c>
      <c r="D2074" s="1">
        <v>176</v>
      </c>
      <c r="E2074" s="2">
        <v>43211</v>
      </c>
      <c r="F2074" s="6">
        <v>42.24196664282826</v>
      </c>
    </row>
    <row r="2075" spans="1:6">
      <c r="A2075" s="1">
        <v>9127519</v>
      </c>
      <c r="B2075" s="1">
        <v>0.69233501710852907</v>
      </c>
      <c r="C2075" s="1">
        <v>2</v>
      </c>
      <c r="D2075" s="1">
        <v>495</v>
      </c>
      <c r="E2075" s="2">
        <v>43224</v>
      </c>
      <c r="F2075" s="6">
        <v>11.313450081162225</v>
      </c>
    </row>
    <row r="2076" spans="1:6">
      <c r="A2076" s="1">
        <v>9127522</v>
      </c>
      <c r="B2076" s="1">
        <v>5.893824862510344E-2</v>
      </c>
      <c r="C2076" s="1">
        <v>18</v>
      </c>
      <c r="D2076" s="1">
        <v>126</v>
      </c>
      <c r="E2076" s="2">
        <v>43419</v>
      </c>
      <c r="F2076" s="6">
        <v>142.53272749904838</v>
      </c>
    </row>
    <row r="2077" spans="1:6">
      <c r="A2077" s="1">
        <v>9127525</v>
      </c>
      <c r="B2077" s="1">
        <v>0.20351511638114295</v>
      </c>
      <c r="C2077" s="1">
        <v>1</v>
      </c>
      <c r="D2077" s="1">
        <v>592</v>
      </c>
      <c r="E2077" s="2">
        <v>43456</v>
      </c>
      <c r="F2077" s="6">
        <v>5.3360797218089102</v>
      </c>
    </row>
    <row r="2078" spans="1:6">
      <c r="A2078" s="1">
        <v>9127528</v>
      </c>
      <c r="B2078" s="1">
        <v>6.0979537129438932E-2</v>
      </c>
      <c r="C2078" s="1">
        <v>94</v>
      </c>
      <c r="D2078" s="1">
        <v>597</v>
      </c>
      <c r="E2078" s="2">
        <v>42990</v>
      </c>
      <c r="F2078" s="6">
        <v>113.71619550949259</v>
      </c>
    </row>
    <row r="2079" spans="1:6">
      <c r="A2079" s="1">
        <v>9127531</v>
      </c>
      <c r="B2079" s="1">
        <v>0.20202762235967298</v>
      </c>
      <c r="C2079" s="1">
        <v>20</v>
      </c>
      <c r="D2079" s="1">
        <v>263</v>
      </c>
      <c r="E2079" s="2">
        <v>42820</v>
      </c>
      <c r="F2079" s="6">
        <v>3.0023883780228853</v>
      </c>
    </row>
    <row r="2080" spans="1:6">
      <c r="A2080" s="1">
        <v>9127534</v>
      </c>
      <c r="B2080" s="1">
        <v>0.8770619706569176</v>
      </c>
      <c r="C2080" s="1">
        <v>136</v>
      </c>
      <c r="D2080" s="1">
        <v>154</v>
      </c>
      <c r="E2080" s="2">
        <v>43265</v>
      </c>
      <c r="F2080" s="6">
        <v>64.798520114804958</v>
      </c>
    </row>
    <row r="2081" spans="1:6">
      <c r="A2081" s="1">
        <v>9127537</v>
      </c>
      <c r="B2081" s="1">
        <v>0.39115128234058694</v>
      </c>
      <c r="C2081" s="1">
        <v>9</v>
      </c>
      <c r="D2081" s="1">
        <v>510</v>
      </c>
      <c r="E2081" s="2">
        <v>43170</v>
      </c>
      <c r="F2081" s="6">
        <v>70.943054304404725</v>
      </c>
    </row>
    <row r="2082" spans="1:6">
      <c r="A2082" s="1">
        <v>9127540</v>
      </c>
      <c r="B2082" s="1">
        <v>3.1795951490900087E-2</v>
      </c>
      <c r="C2082" s="1">
        <v>60</v>
      </c>
      <c r="D2082" s="1">
        <v>176</v>
      </c>
      <c r="E2082" s="2">
        <v>42970</v>
      </c>
      <c r="F2082" s="6">
        <v>200.21262017613452</v>
      </c>
    </row>
    <row r="2083" spans="1:6">
      <c r="A2083" s="1">
        <v>9127543</v>
      </c>
      <c r="B2083" s="1">
        <v>0.95239325423549315</v>
      </c>
      <c r="C2083" s="1">
        <v>26</v>
      </c>
      <c r="D2083" s="1">
        <v>146</v>
      </c>
      <c r="E2083" s="2">
        <v>43309</v>
      </c>
      <c r="F2083" s="6">
        <v>4.7012104955645695</v>
      </c>
    </row>
    <row r="2084" spans="1:6">
      <c r="A2084" s="1">
        <v>9127546</v>
      </c>
      <c r="B2084" s="1">
        <v>0.5725523370073532</v>
      </c>
      <c r="C2084" s="1">
        <v>1</v>
      </c>
      <c r="D2084" s="1">
        <v>551</v>
      </c>
      <c r="E2084" s="2">
        <v>43117</v>
      </c>
      <c r="F2084" s="6">
        <v>8.3815195141231218</v>
      </c>
    </row>
    <row r="2085" spans="1:6">
      <c r="A2085" s="1">
        <v>9127549</v>
      </c>
      <c r="B2085" s="1">
        <v>9.4166220061011829E-2</v>
      </c>
      <c r="C2085" s="1">
        <v>8</v>
      </c>
      <c r="D2085" s="1">
        <v>597</v>
      </c>
      <c r="E2085" s="2">
        <v>43261</v>
      </c>
      <c r="F2085" s="6">
        <v>37.24254267818894</v>
      </c>
    </row>
    <row r="2086" spans="1:6">
      <c r="A2086" s="1">
        <v>9127552</v>
      </c>
      <c r="B2086" s="1">
        <v>0.6380984836505843</v>
      </c>
      <c r="C2086" s="1">
        <v>13</v>
      </c>
      <c r="D2086" s="1">
        <v>216</v>
      </c>
      <c r="E2086" s="2">
        <v>43258</v>
      </c>
      <c r="F2086" s="6">
        <v>25.795218630437482</v>
      </c>
    </row>
    <row r="2087" spans="1:6">
      <c r="A2087" s="1">
        <v>9127555</v>
      </c>
      <c r="B2087" s="1">
        <v>0.60915840680949007</v>
      </c>
      <c r="C2087" s="1">
        <v>13</v>
      </c>
      <c r="D2087" s="1">
        <v>176</v>
      </c>
      <c r="E2087" s="2">
        <v>43368</v>
      </c>
      <c r="F2087" s="6">
        <v>212.36036130966343</v>
      </c>
    </row>
    <row r="2088" spans="1:6">
      <c r="A2088" s="1">
        <v>9127558</v>
      </c>
      <c r="B2088" s="1">
        <v>0.47014638367200179</v>
      </c>
      <c r="C2088" s="1">
        <v>69</v>
      </c>
      <c r="D2088" s="1">
        <v>67</v>
      </c>
      <c r="E2088" s="2">
        <v>43346</v>
      </c>
      <c r="F2088" s="6">
        <v>4.375586798882833</v>
      </c>
    </row>
    <row r="2089" spans="1:6">
      <c r="A2089" s="1">
        <v>9127561</v>
      </c>
      <c r="B2089" s="1">
        <v>0.47121632427119209</v>
      </c>
      <c r="C2089" s="1">
        <v>2</v>
      </c>
      <c r="D2089" s="1">
        <v>176</v>
      </c>
      <c r="E2089" s="2">
        <v>42742</v>
      </c>
      <c r="F2089" s="6">
        <v>64.057649311772181</v>
      </c>
    </row>
    <row r="2090" spans="1:6">
      <c r="A2090" s="1">
        <v>9127564</v>
      </c>
      <c r="B2090" s="1">
        <v>7.4814592327126506E-2</v>
      </c>
      <c r="C2090" s="1">
        <v>21</v>
      </c>
      <c r="D2090" s="1">
        <v>334</v>
      </c>
      <c r="E2090" s="2">
        <v>43074</v>
      </c>
      <c r="F2090" s="6">
        <v>236.67546176544579</v>
      </c>
    </row>
    <row r="2091" spans="1:6">
      <c r="A2091" s="1">
        <v>9127567</v>
      </c>
      <c r="B2091" s="1">
        <v>0.54256471434435438</v>
      </c>
      <c r="C2091" s="1">
        <v>8</v>
      </c>
      <c r="D2091" s="1">
        <v>176</v>
      </c>
      <c r="E2091" s="2">
        <v>43045</v>
      </c>
      <c r="F2091" s="6">
        <v>34.383471756067827</v>
      </c>
    </row>
    <row r="2092" spans="1:6">
      <c r="A2092" s="1">
        <v>9127570</v>
      </c>
      <c r="B2092" s="1">
        <v>0.60877910349542019</v>
      </c>
      <c r="C2092" s="1">
        <v>37</v>
      </c>
      <c r="D2092" s="1">
        <v>431</v>
      </c>
      <c r="E2092" s="2">
        <v>43204</v>
      </c>
      <c r="F2092" s="6">
        <v>4.4033200082269763</v>
      </c>
    </row>
    <row r="2093" spans="1:6">
      <c r="A2093" s="1">
        <v>9127573</v>
      </c>
      <c r="B2093" s="1">
        <v>0.22197426295196976</v>
      </c>
      <c r="C2093" s="1">
        <v>80</v>
      </c>
      <c r="D2093" s="1">
        <v>176</v>
      </c>
      <c r="E2093" s="2">
        <v>42859</v>
      </c>
      <c r="F2093" s="6">
        <v>21.336868447609021</v>
      </c>
    </row>
    <row r="2094" spans="1:6">
      <c r="A2094" s="1">
        <v>9127576</v>
      </c>
      <c r="B2094" s="1">
        <v>0.16185216834829186</v>
      </c>
      <c r="C2094" s="1">
        <v>13</v>
      </c>
      <c r="D2094" s="1">
        <v>510</v>
      </c>
      <c r="E2094" s="2">
        <v>42901</v>
      </c>
      <c r="F2094" s="6">
        <v>26.459403066462084</v>
      </c>
    </row>
    <row r="2095" spans="1:6">
      <c r="A2095" s="1">
        <v>9127579</v>
      </c>
      <c r="B2095" s="1">
        <v>0.64077922864104275</v>
      </c>
      <c r="C2095" s="1">
        <v>32</v>
      </c>
      <c r="D2095" s="1">
        <v>139</v>
      </c>
      <c r="E2095" s="2">
        <v>42740</v>
      </c>
      <c r="F2095" s="6">
        <v>29.905213868284221</v>
      </c>
    </row>
    <row r="2096" spans="1:6">
      <c r="A2096" s="1">
        <v>9127582</v>
      </c>
      <c r="B2096" s="1">
        <v>0.95765640300352262</v>
      </c>
      <c r="C2096" s="1">
        <v>139</v>
      </c>
      <c r="D2096" s="1">
        <v>162</v>
      </c>
      <c r="E2096" s="2">
        <v>43230</v>
      </c>
      <c r="F2096" s="6">
        <v>17.080291992980204</v>
      </c>
    </row>
    <row r="2097" spans="1:6">
      <c r="A2097" s="1">
        <v>9127585</v>
      </c>
      <c r="B2097" s="1">
        <v>0.44857590811741788</v>
      </c>
      <c r="C2097" s="1">
        <v>15</v>
      </c>
      <c r="D2097" s="1">
        <v>258</v>
      </c>
      <c r="E2097" s="2">
        <v>43289</v>
      </c>
      <c r="F2097" s="6">
        <v>75.481044364653414</v>
      </c>
    </row>
    <row r="2098" spans="1:6">
      <c r="A2098" s="1">
        <v>9127588</v>
      </c>
      <c r="B2098" s="1">
        <v>0.7249713204712902</v>
      </c>
      <c r="C2098" s="1">
        <v>5</v>
      </c>
      <c r="D2098" s="1">
        <v>182</v>
      </c>
      <c r="E2098" s="2">
        <v>43308</v>
      </c>
      <c r="F2098" s="6">
        <v>60.765679699165318</v>
      </c>
    </row>
    <row r="2099" spans="1:6">
      <c r="A2099" s="1">
        <v>9127591</v>
      </c>
      <c r="B2099" s="1">
        <v>0.85024185794255946</v>
      </c>
      <c r="C2099" s="1">
        <v>9</v>
      </c>
      <c r="D2099" s="1">
        <v>299</v>
      </c>
      <c r="E2099" s="2">
        <v>42863</v>
      </c>
      <c r="F2099" s="6">
        <v>3.0271149345703674</v>
      </c>
    </row>
    <row r="2100" spans="1:6">
      <c r="A2100" s="1">
        <v>9127594</v>
      </c>
      <c r="B2100" s="1">
        <v>0.13137281062983586</v>
      </c>
      <c r="C2100" s="1">
        <v>22</v>
      </c>
      <c r="D2100" s="1">
        <v>134</v>
      </c>
      <c r="E2100" s="2">
        <v>43279</v>
      </c>
      <c r="F2100" s="6">
        <v>175.26122364303421</v>
      </c>
    </row>
    <row r="2101" spans="1:6">
      <c r="A2101" s="1">
        <v>9127597</v>
      </c>
      <c r="B2101" s="1">
        <v>7.8312415592403206E-2</v>
      </c>
      <c r="C2101" s="1">
        <v>1</v>
      </c>
      <c r="D2101" s="1">
        <v>258</v>
      </c>
      <c r="E2101" s="2">
        <v>43287</v>
      </c>
      <c r="F2101" s="6">
        <v>31.699879399178069</v>
      </c>
    </row>
    <row r="2102" spans="1:6">
      <c r="A2102" s="1">
        <v>9127600</v>
      </c>
      <c r="B2102" s="1">
        <v>0.24526495765025347</v>
      </c>
      <c r="C2102" s="1">
        <v>1</v>
      </c>
      <c r="D2102" s="1">
        <v>343</v>
      </c>
      <c r="E2102" s="2">
        <v>43406</v>
      </c>
      <c r="F2102" s="6">
        <v>15.43363633460088</v>
      </c>
    </row>
    <row r="2103" spans="1:6">
      <c r="A2103" s="1">
        <v>9127603</v>
      </c>
      <c r="B2103" s="1">
        <v>0.63410623397116628</v>
      </c>
      <c r="C2103" s="1">
        <v>24</v>
      </c>
      <c r="D2103" s="1">
        <v>420</v>
      </c>
      <c r="E2103" s="2">
        <v>43161</v>
      </c>
      <c r="F2103" s="6">
        <v>686.35428218473521</v>
      </c>
    </row>
    <row r="2104" spans="1:6">
      <c r="A2104" s="1">
        <v>9127606</v>
      </c>
      <c r="B2104" s="1">
        <v>0.22716996683790514</v>
      </c>
      <c r="C2104" s="1">
        <v>1</v>
      </c>
      <c r="D2104" s="1">
        <v>510</v>
      </c>
      <c r="E2104" s="2">
        <v>43200</v>
      </c>
      <c r="F2104" s="6">
        <v>104.45926827293943</v>
      </c>
    </row>
    <row r="2105" spans="1:6">
      <c r="A2105" s="1">
        <v>9127609</v>
      </c>
      <c r="B2105" s="1">
        <v>3.600304202488025E-2</v>
      </c>
      <c r="C2105" s="1">
        <v>105</v>
      </c>
      <c r="D2105" s="1">
        <v>575</v>
      </c>
      <c r="E2105" s="2">
        <v>43393</v>
      </c>
      <c r="F2105" s="6">
        <v>10.495645566497595</v>
      </c>
    </row>
    <row r="2106" spans="1:6">
      <c r="A2106" s="1">
        <v>9127612</v>
      </c>
      <c r="B2106" s="1">
        <v>0.61925046639402903</v>
      </c>
      <c r="C2106" s="1">
        <v>13</v>
      </c>
      <c r="D2106" s="1">
        <v>510</v>
      </c>
      <c r="E2106" s="2">
        <v>43322</v>
      </c>
      <c r="F2106" s="6">
        <v>64.161330077494853</v>
      </c>
    </row>
    <row r="2107" spans="1:6">
      <c r="A2107" s="1">
        <v>9127615</v>
      </c>
      <c r="B2107" s="1">
        <v>0.48933408623954178</v>
      </c>
      <c r="C2107" s="1">
        <v>110</v>
      </c>
      <c r="D2107" s="1">
        <v>197</v>
      </c>
      <c r="E2107" s="2">
        <v>43259</v>
      </c>
      <c r="F2107" s="6">
        <v>70.614766552910481</v>
      </c>
    </row>
    <row r="2108" spans="1:6">
      <c r="A2108" s="1">
        <v>9127618</v>
      </c>
      <c r="B2108" s="1">
        <v>0.66649821491713523</v>
      </c>
      <c r="C2108" s="1">
        <v>102</v>
      </c>
      <c r="D2108" s="1">
        <v>564</v>
      </c>
      <c r="E2108" s="2">
        <v>43403</v>
      </c>
      <c r="F2108" s="6">
        <v>21.031616323867059</v>
      </c>
    </row>
    <row r="2109" spans="1:6">
      <c r="A2109" s="1">
        <v>9127621</v>
      </c>
      <c r="B2109" s="1">
        <v>0.17275938080121245</v>
      </c>
      <c r="C2109" s="1">
        <v>1</v>
      </c>
      <c r="D2109" s="1">
        <v>139</v>
      </c>
      <c r="E2109" s="2">
        <v>43272</v>
      </c>
      <c r="F2109" s="6">
        <v>164.45072699148011</v>
      </c>
    </row>
    <row r="2110" spans="1:6">
      <c r="A2110" s="1">
        <v>9127624</v>
      </c>
      <c r="B2110" s="1">
        <v>0.49680041224384675</v>
      </c>
      <c r="C2110" s="1">
        <v>105</v>
      </c>
      <c r="D2110" s="1">
        <v>358</v>
      </c>
      <c r="E2110" s="2">
        <v>43199</v>
      </c>
      <c r="F2110" s="6">
        <v>163.23247074203658</v>
      </c>
    </row>
    <row r="2111" spans="1:6">
      <c r="A2111" s="1">
        <v>9127627</v>
      </c>
      <c r="B2111" s="1">
        <v>0.44730348650945995</v>
      </c>
      <c r="C2111" s="1">
        <v>1</v>
      </c>
      <c r="D2111" s="1">
        <v>182</v>
      </c>
      <c r="E2111" s="2">
        <v>43072</v>
      </c>
      <c r="F2111" s="6">
        <v>57.044202592220948</v>
      </c>
    </row>
    <row r="2112" spans="1:6">
      <c r="A2112" s="1">
        <v>9127630</v>
      </c>
      <c r="B2112" s="1">
        <v>0.57761598220945054</v>
      </c>
      <c r="C2112" s="1">
        <v>43</v>
      </c>
      <c r="D2112" s="1">
        <v>471</v>
      </c>
      <c r="E2112" s="2">
        <v>43273</v>
      </c>
      <c r="F2112" s="6">
        <v>173.35357922708604</v>
      </c>
    </row>
    <row r="2113" spans="1:6">
      <c r="A2113" s="1">
        <v>9127633</v>
      </c>
      <c r="B2113" s="1">
        <v>0.46830299759763983</v>
      </c>
      <c r="C2113" s="1">
        <v>3</v>
      </c>
      <c r="D2113" s="1">
        <v>176</v>
      </c>
      <c r="E2113" s="2">
        <v>43350</v>
      </c>
      <c r="F2113" s="6">
        <v>88.203426713129332</v>
      </c>
    </row>
    <row r="2114" spans="1:6">
      <c r="A2114" s="1">
        <v>9127636</v>
      </c>
      <c r="B2114" s="1">
        <v>0.10302979028764592</v>
      </c>
      <c r="C2114" s="1">
        <v>85</v>
      </c>
      <c r="D2114" s="1">
        <v>394</v>
      </c>
      <c r="E2114" s="2">
        <v>43127</v>
      </c>
      <c r="F2114" s="6">
        <v>53.16639731768533</v>
      </c>
    </row>
    <row r="2115" spans="1:6">
      <c r="A2115" s="1">
        <v>9127639</v>
      </c>
      <c r="B2115" s="1">
        <v>0.74949700924831297</v>
      </c>
      <c r="C2115" s="1">
        <v>114</v>
      </c>
      <c r="D2115" s="1">
        <v>599</v>
      </c>
      <c r="E2115" s="2">
        <v>42857</v>
      </c>
      <c r="F2115" s="6">
        <v>14.289525926973617</v>
      </c>
    </row>
    <row r="2116" spans="1:6">
      <c r="A2116" s="1">
        <v>9127642</v>
      </c>
      <c r="B2116" s="1">
        <v>0.21547311856639784</v>
      </c>
      <c r="C2116" s="1">
        <v>1</v>
      </c>
      <c r="D2116" s="1">
        <v>176</v>
      </c>
      <c r="E2116" s="2">
        <v>42814</v>
      </c>
      <c r="F2116" s="6">
        <v>75.167081485108071</v>
      </c>
    </row>
    <row r="2117" spans="1:6">
      <c r="A2117" s="1">
        <v>9127645</v>
      </c>
      <c r="B2117" s="1">
        <v>0.62714558684032096</v>
      </c>
      <c r="C2117" s="1">
        <v>49</v>
      </c>
      <c r="D2117" s="1">
        <v>258</v>
      </c>
      <c r="E2117" s="2">
        <v>43371</v>
      </c>
      <c r="F2117" s="6">
        <v>51.590347731805586</v>
      </c>
    </row>
    <row r="2118" spans="1:6">
      <c r="A2118" s="1">
        <v>9127648</v>
      </c>
      <c r="B2118" s="1">
        <v>0.70166326632474441</v>
      </c>
      <c r="C2118" s="1">
        <v>2</v>
      </c>
      <c r="D2118" s="1">
        <v>169</v>
      </c>
      <c r="E2118" s="2">
        <v>42953</v>
      </c>
      <c r="F2118" s="6">
        <v>27.701778341074956</v>
      </c>
    </row>
    <row r="2119" spans="1:6">
      <c r="A2119" s="1">
        <v>9127651</v>
      </c>
      <c r="B2119" s="1">
        <v>0.15345765791494181</v>
      </c>
      <c r="C2119" s="1">
        <v>34</v>
      </c>
      <c r="D2119" s="1">
        <v>167</v>
      </c>
      <c r="E2119" s="2">
        <v>43269</v>
      </c>
      <c r="F2119" s="6">
        <v>68.193329335993326</v>
      </c>
    </row>
    <row r="2120" spans="1:6">
      <c r="A2120" s="1">
        <v>9127654</v>
      </c>
      <c r="B2120" s="1">
        <v>0.61285111482568777</v>
      </c>
      <c r="C2120" s="1">
        <v>2</v>
      </c>
      <c r="D2120" s="1">
        <v>431</v>
      </c>
      <c r="E2120" s="2">
        <v>43139</v>
      </c>
      <c r="F2120" s="6">
        <v>11.731309141088154</v>
      </c>
    </row>
    <row r="2121" spans="1:6">
      <c r="A2121" s="1">
        <v>9127657</v>
      </c>
      <c r="B2121" s="1">
        <v>5.0857054963760806E-2</v>
      </c>
      <c r="C2121" s="1">
        <v>42</v>
      </c>
      <c r="D2121" s="1">
        <v>486</v>
      </c>
      <c r="E2121" s="2">
        <v>43167</v>
      </c>
      <c r="F2121" s="6">
        <v>72.345799065880556</v>
      </c>
    </row>
    <row r="2122" spans="1:6">
      <c r="A2122" s="1">
        <v>9127660</v>
      </c>
      <c r="B2122" s="1">
        <v>0.97202640719732747</v>
      </c>
      <c r="C2122" s="1">
        <v>1</v>
      </c>
      <c r="D2122" s="1">
        <v>182</v>
      </c>
      <c r="E2122" s="2">
        <v>43467</v>
      </c>
      <c r="F2122" s="6">
        <v>210.95184045133129</v>
      </c>
    </row>
    <row r="2123" spans="1:6">
      <c r="A2123" s="1">
        <v>9127663</v>
      </c>
      <c r="B2123" s="1">
        <v>0.89724090440299786</v>
      </c>
      <c r="C2123" s="1">
        <v>288</v>
      </c>
      <c r="D2123" s="1">
        <v>334</v>
      </c>
      <c r="E2123" s="2">
        <v>43435</v>
      </c>
      <c r="F2123" s="6">
        <v>184.11090803657399</v>
      </c>
    </row>
    <row r="2124" spans="1:6">
      <c r="A2124" s="1">
        <v>9127666</v>
      </c>
      <c r="B2124" s="1">
        <v>0.88856658374137054</v>
      </c>
      <c r="C2124" s="1">
        <v>166</v>
      </c>
      <c r="D2124" s="1">
        <v>541</v>
      </c>
      <c r="E2124" s="2">
        <v>43246</v>
      </c>
      <c r="F2124" s="6">
        <v>298.42474029984294</v>
      </c>
    </row>
    <row r="2125" spans="1:6">
      <c r="A2125" s="1">
        <v>9127669</v>
      </c>
      <c r="B2125" s="1">
        <v>8.5595870988288247E-2</v>
      </c>
      <c r="C2125" s="1">
        <v>32</v>
      </c>
      <c r="D2125" s="1">
        <v>318</v>
      </c>
      <c r="E2125" s="2">
        <v>42861</v>
      </c>
      <c r="F2125" s="6">
        <v>6.2333294691804531</v>
      </c>
    </row>
    <row r="2126" spans="1:6">
      <c r="A2126" s="1">
        <v>9127672</v>
      </c>
      <c r="B2126" s="1">
        <v>2.3329591934647231E-2</v>
      </c>
      <c r="C2126" s="1">
        <v>9</v>
      </c>
      <c r="D2126" s="1">
        <v>146</v>
      </c>
      <c r="E2126" s="2">
        <v>43159</v>
      </c>
      <c r="F2126" s="6">
        <v>3.2940188111193698</v>
      </c>
    </row>
    <row r="2127" spans="1:6">
      <c r="A2127" s="1">
        <v>9127675</v>
      </c>
      <c r="B2127" s="1">
        <v>0.99323084052049204</v>
      </c>
      <c r="C2127" s="1">
        <v>234</v>
      </c>
      <c r="D2127" s="1">
        <v>548</v>
      </c>
      <c r="E2127" s="2">
        <v>43003</v>
      </c>
      <c r="F2127" s="6">
        <v>61.890175159850457</v>
      </c>
    </row>
    <row r="2128" spans="1:6">
      <c r="A2128" s="1">
        <v>9127678</v>
      </c>
      <c r="B2128" s="1">
        <v>0.12504690256897544</v>
      </c>
      <c r="C2128" s="1">
        <v>2</v>
      </c>
      <c r="D2128" s="1">
        <v>564</v>
      </c>
      <c r="E2128" s="2">
        <v>42934</v>
      </c>
      <c r="F2128" s="6">
        <v>11.714753344947304</v>
      </c>
    </row>
    <row r="2129" spans="1:6">
      <c r="A2129" s="1">
        <v>9127681</v>
      </c>
      <c r="B2129" s="1">
        <v>0.93578968566147813</v>
      </c>
      <c r="C2129" s="1">
        <v>1</v>
      </c>
      <c r="D2129" s="1">
        <v>22</v>
      </c>
      <c r="E2129" s="2">
        <v>42892</v>
      </c>
      <c r="F2129" s="6">
        <v>81.935431397438009</v>
      </c>
    </row>
    <row r="2130" spans="1:6">
      <c r="A2130" s="1">
        <v>9127684</v>
      </c>
      <c r="B2130" s="1">
        <v>0.89389046870843691</v>
      </c>
      <c r="C2130" s="1">
        <v>42</v>
      </c>
      <c r="D2130" s="1">
        <v>186</v>
      </c>
      <c r="E2130" s="2">
        <v>42969</v>
      </c>
      <c r="F2130" s="6">
        <v>113.87855350944118</v>
      </c>
    </row>
    <row r="2131" spans="1:6">
      <c r="A2131" s="1">
        <v>9127687</v>
      </c>
      <c r="B2131" s="1">
        <v>0.99023845968995605</v>
      </c>
      <c r="C2131" s="1">
        <v>5</v>
      </c>
      <c r="D2131" s="1">
        <v>258</v>
      </c>
      <c r="E2131" s="2">
        <v>42866</v>
      </c>
      <c r="F2131" s="6">
        <v>135.06801382020146</v>
      </c>
    </row>
    <row r="2132" spans="1:6">
      <c r="A2132" s="1">
        <v>9127690</v>
      </c>
      <c r="B2132" s="1">
        <v>0.77258005101255511</v>
      </c>
      <c r="C2132" s="1">
        <v>36</v>
      </c>
      <c r="D2132" s="1">
        <v>458</v>
      </c>
      <c r="E2132" s="2">
        <v>42753</v>
      </c>
      <c r="F2132" s="6">
        <v>8.2095099560083753</v>
      </c>
    </row>
    <row r="2133" spans="1:6">
      <c r="A2133" s="1">
        <v>9127693</v>
      </c>
      <c r="B2133" s="1">
        <v>0.4908204634108444</v>
      </c>
      <c r="C2133" s="1">
        <v>17</v>
      </c>
      <c r="D2133" s="1">
        <v>176</v>
      </c>
      <c r="E2133" s="2">
        <v>43338</v>
      </c>
      <c r="F2133" s="6">
        <v>15.137093968774527</v>
      </c>
    </row>
    <row r="2134" spans="1:6">
      <c r="A2134" s="1">
        <v>9127696</v>
      </c>
      <c r="B2134" s="1">
        <v>0.91108063462228195</v>
      </c>
      <c r="C2134" s="1">
        <v>87</v>
      </c>
      <c r="D2134" s="1">
        <v>115</v>
      </c>
      <c r="E2134" s="2">
        <v>43472</v>
      </c>
      <c r="F2134" s="6">
        <v>6.2246190644807733</v>
      </c>
    </row>
    <row r="2135" spans="1:6">
      <c r="A2135" s="1">
        <v>9127699</v>
      </c>
      <c r="B2135" s="1">
        <v>0.69977290713239637</v>
      </c>
      <c r="C2135" s="1">
        <v>7</v>
      </c>
      <c r="D2135" s="1">
        <v>599</v>
      </c>
      <c r="E2135" s="2">
        <v>42797</v>
      </c>
      <c r="F2135" s="6">
        <v>11.181448453094243</v>
      </c>
    </row>
    <row r="2136" spans="1:6">
      <c r="A2136" s="1">
        <v>9127702</v>
      </c>
      <c r="B2136" s="1">
        <v>0.47000298218563097</v>
      </c>
      <c r="C2136" s="1">
        <v>27</v>
      </c>
      <c r="D2136" s="1">
        <v>592</v>
      </c>
      <c r="E2136" s="2">
        <v>43250</v>
      </c>
      <c r="F2136" s="6">
        <v>54.7371647073372</v>
      </c>
    </row>
    <row r="2137" spans="1:6">
      <c r="A2137" s="1">
        <v>9127705</v>
      </c>
      <c r="B2137" s="1">
        <v>0.86967604558976708</v>
      </c>
      <c r="C2137" s="1">
        <v>5</v>
      </c>
      <c r="D2137" s="1">
        <v>495</v>
      </c>
      <c r="E2137" s="2">
        <v>42999</v>
      </c>
      <c r="F2137" s="6">
        <v>19.962012897073389</v>
      </c>
    </row>
    <row r="2138" spans="1:6">
      <c r="A2138" s="1">
        <v>9127708</v>
      </c>
      <c r="B2138" s="1">
        <v>1.0486650531166708E-2</v>
      </c>
      <c r="C2138" s="1">
        <v>140</v>
      </c>
      <c r="D2138" s="1">
        <v>546</v>
      </c>
      <c r="E2138" s="2">
        <v>43416</v>
      </c>
      <c r="F2138" s="6">
        <v>72.758626777829249</v>
      </c>
    </row>
    <row r="2139" spans="1:6">
      <c r="A2139" s="1">
        <v>9127711</v>
      </c>
      <c r="B2139" s="1">
        <v>0.17052507395752314</v>
      </c>
      <c r="C2139" s="1">
        <v>1</v>
      </c>
      <c r="D2139" s="1">
        <v>348</v>
      </c>
      <c r="E2139" s="2">
        <v>42761</v>
      </c>
      <c r="F2139" s="6">
        <v>30.276396820351561</v>
      </c>
    </row>
    <row r="2140" spans="1:6">
      <c r="A2140" s="1">
        <v>9127714</v>
      </c>
      <c r="B2140" s="1">
        <v>0.68766694731933953</v>
      </c>
      <c r="C2140" s="1">
        <v>9</v>
      </c>
      <c r="D2140" s="1">
        <v>564</v>
      </c>
      <c r="E2140" s="2">
        <v>42838</v>
      </c>
      <c r="F2140" s="6">
        <v>33.030789047856963</v>
      </c>
    </row>
    <row r="2141" spans="1:6">
      <c r="A2141" s="1">
        <v>9127717</v>
      </c>
      <c r="B2141" s="1">
        <v>0.4370373250549634</v>
      </c>
      <c r="C2141" s="1">
        <v>10</v>
      </c>
      <c r="D2141" s="1">
        <v>348</v>
      </c>
      <c r="E2141" s="2">
        <v>42941</v>
      </c>
      <c r="F2141" s="6">
        <v>84.108007557397045</v>
      </c>
    </row>
    <row r="2142" spans="1:6">
      <c r="A2142" s="1">
        <v>9127720</v>
      </c>
      <c r="B2142" s="1">
        <v>0.56016688489964517</v>
      </c>
      <c r="C2142" s="1">
        <v>9</v>
      </c>
      <c r="D2142" s="1">
        <v>248</v>
      </c>
      <c r="E2142" s="2">
        <v>43432</v>
      </c>
      <c r="F2142" s="6">
        <v>222.94788529494548</v>
      </c>
    </row>
    <row r="2143" spans="1:6">
      <c r="A2143" s="1">
        <v>9127723</v>
      </c>
      <c r="B2143" s="1">
        <v>0.18759200968601608</v>
      </c>
      <c r="C2143" s="1">
        <v>295</v>
      </c>
      <c r="D2143" s="1">
        <v>544</v>
      </c>
      <c r="E2143" s="2">
        <v>43184</v>
      </c>
      <c r="F2143" s="6">
        <v>43.775125291803178</v>
      </c>
    </row>
    <row r="2144" spans="1:6">
      <c r="A2144" s="1">
        <v>9127726</v>
      </c>
      <c r="B2144" s="1">
        <v>0.75340478459030269</v>
      </c>
      <c r="C2144" s="1">
        <v>14</v>
      </c>
      <c r="D2144" s="1">
        <v>510</v>
      </c>
      <c r="E2144" s="2">
        <v>42866</v>
      </c>
      <c r="F2144" s="6">
        <v>41.91043581698797</v>
      </c>
    </row>
    <row r="2145" spans="1:6">
      <c r="A2145" s="1">
        <v>9127729</v>
      </c>
      <c r="B2145" s="1">
        <v>0.53288395777401421</v>
      </c>
      <c r="C2145" s="1">
        <v>16</v>
      </c>
      <c r="D2145" s="1">
        <v>329</v>
      </c>
      <c r="E2145" s="2">
        <v>43343</v>
      </c>
      <c r="F2145" s="6">
        <v>4.0665169540168815</v>
      </c>
    </row>
    <row r="2146" spans="1:6">
      <c r="A2146" s="1">
        <v>9127732</v>
      </c>
      <c r="B2146" s="1">
        <v>0.91283174060848471</v>
      </c>
      <c r="C2146" s="1">
        <v>3</v>
      </c>
      <c r="D2146" s="1">
        <v>80</v>
      </c>
      <c r="E2146" s="2">
        <v>42894</v>
      </c>
      <c r="F2146" s="6">
        <v>194.51264136051961</v>
      </c>
    </row>
    <row r="2147" spans="1:6">
      <c r="A2147" s="1">
        <v>9127735</v>
      </c>
      <c r="B2147" s="1">
        <v>0.99260736350626544</v>
      </c>
      <c r="C2147" s="1">
        <v>25</v>
      </c>
      <c r="D2147" s="1">
        <v>359</v>
      </c>
      <c r="E2147" s="2">
        <v>43012</v>
      </c>
      <c r="F2147" s="6">
        <v>106.17106299504589</v>
      </c>
    </row>
    <row r="2148" spans="1:6">
      <c r="A2148" s="1">
        <v>9127738</v>
      </c>
      <c r="B2148" s="1">
        <v>0.71081291755150688</v>
      </c>
      <c r="C2148" s="1">
        <v>8</v>
      </c>
      <c r="D2148" s="1">
        <v>88</v>
      </c>
      <c r="E2148" s="2">
        <v>42864</v>
      </c>
      <c r="F2148" s="6">
        <v>60.987726337339005</v>
      </c>
    </row>
    <row r="2149" spans="1:6">
      <c r="A2149" s="1">
        <v>9127741</v>
      </c>
      <c r="B2149" s="1">
        <v>0.34937037809492222</v>
      </c>
      <c r="C2149" s="1">
        <v>42</v>
      </c>
      <c r="D2149" s="1">
        <v>258</v>
      </c>
      <c r="E2149" s="2">
        <v>43073</v>
      </c>
      <c r="F2149" s="6">
        <v>124.38066422105747</v>
      </c>
    </row>
    <row r="2150" spans="1:6">
      <c r="A2150" s="1">
        <v>9127744</v>
      </c>
      <c r="B2150" s="1">
        <v>5.6863366844905672E-2</v>
      </c>
      <c r="C2150" s="1">
        <v>6</v>
      </c>
      <c r="D2150" s="1">
        <v>458</v>
      </c>
      <c r="E2150" s="2">
        <v>43386</v>
      </c>
      <c r="F2150" s="6">
        <v>12.089523423974272</v>
      </c>
    </row>
    <row r="2151" spans="1:6">
      <c r="A2151" s="1">
        <v>9127747</v>
      </c>
      <c r="B2151" s="1">
        <v>6.7074017437398714E-2</v>
      </c>
      <c r="C2151" s="1">
        <v>65</v>
      </c>
      <c r="D2151" s="1">
        <v>248</v>
      </c>
      <c r="E2151" s="2">
        <v>43363</v>
      </c>
      <c r="F2151" s="6">
        <v>21.512028488889737</v>
      </c>
    </row>
    <row r="2152" spans="1:6">
      <c r="A2152" s="1">
        <v>9127750</v>
      </c>
      <c r="B2152" s="1">
        <v>0.87352860055930559</v>
      </c>
      <c r="C2152" s="1">
        <v>59</v>
      </c>
      <c r="D2152" s="1">
        <v>156</v>
      </c>
      <c r="E2152" s="2">
        <v>42911</v>
      </c>
      <c r="F2152" s="6">
        <v>4.2344348990758238</v>
      </c>
    </row>
    <row r="2153" spans="1:6">
      <c r="A2153" s="1">
        <v>9127753</v>
      </c>
      <c r="B2153" s="1">
        <v>0.87190526614657715</v>
      </c>
      <c r="C2153" s="1">
        <v>3</v>
      </c>
      <c r="D2153" s="1">
        <v>149</v>
      </c>
      <c r="E2153" s="2">
        <v>43211</v>
      </c>
      <c r="F2153" s="6">
        <v>3.8060490880033688</v>
      </c>
    </row>
    <row r="2154" spans="1:6">
      <c r="A2154" s="1">
        <v>9127756</v>
      </c>
      <c r="B2154" s="1">
        <v>0.67822635575936174</v>
      </c>
      <c r="C2154" s="1">
        <v>2</v>
      </c>
      <c r="D2154" s="1">
        <v>417</v>
      </c>
      <c r="E2154" s="2">
        <v>42839</v>
      </c>
      <c r="F2154" s="6">
        <v>167.77448304992171</v>
      </c>
    </row>
    <row r="2155" spans="1:6">
      <c r="A2155" s="1">
        <v>9127759</v>
      </c>
      <c r="B2155" s="1">
        <v>0.27488380169958548</v>
      </c>
      <c r="C2155" s="1">
        <v>2</v>
      </c>
      <c r="D2155" s="1">
        <v>276</v>
      </c>
      <c r="E2155" s="2">
        <v>42749</v>
      </c>
      <c r="F2155" s="6">
        <v>6.437646463679326</v>
      </c>
    </row>
    <row r="2156" spans="1:6">
      <c r="A2156" s="1">
        <v>9127762</v>
      </c>
      <c r="B2156" s="1">
        <v>0.5315226949599039</v>
      </c>
      <c r="C2156" s="1">
        <v>50</v>
      </c>
      <c r="D2156" s="1">
        <v>128</v>
      </c>
      <c r="E2156" s="2">
        <v>43470</v>
      </c>
      <c r="F2156" s="6">
        <v>23.307010012362142</v>
      </c>
    </row>
    <row r="2157" spans="1:6">
      <c r="A2157" s="1">
        <v>9127765</v>
      </c>
      <c r="B2157" s="1">
        <v>0.14991534192712053</v>
      </c>
      <c r="C2157" s="1">
        <v>4</v>
      </c>
      <c r="D2157" s="1">
        <v>169</v>
      </c>
      <c r="E2157" s="2">
        <v>43320</v>
      </c>
      <c r="F2157" s="6">
        <v>63.225926227609392</v>
      </c>
    </row>
    <row r="2158" spans="1:6">
      <c r="A2158" s="1">
        <v>9127768</v>
      </c>
      <c r="B2158" s="1">
        <v>0.28627561329350515</v>
      </c>
      <c r="C2158" s="1">
        <v>1</v>
      </c>
      <c r="D2158" s="1">
        <v>510</v>
      </c>
      <c r="E2158" s="2">
        <v>43371</v>
      </c>
      <c r="F2158" s="6">
        <v>168.47187553638105</v>
      </c>
    </row>
    <row r="2159" spans="1:6">
      <c r="A2159" s="1">
        <v>9127771</v>
      </c>
      <c r="B2159" s="1">
        <v>1.1585030363744031E-2</v>
      </c>
      <c r="C2159" s="1">
        <v>118</v>
      </c>
      <c r="D2159" s="1">
        <v>509</v>
      </c>
      <c r="E2159" s="2">
        <v>43091</v>
      </c>
      <c r="F2159" s="6">
        <v>105.23162765211326</v>
      </c>
    </row>
    <row r="2160" spans="1:6">
      <c r="A2160" s="1">
        <v>9127774</v>
      </c>
      <c r="B2160" s="1">
        <v>0.49370020631666278</v>
      </c>
      <c r="C2160" s="1">
        <v>52</v>
      </c>
      <c r="D2160" s="1">
        <v>176</v>
      </c>
      <c r="E2160" s="2">
        <v>43402</v>
      </c>
      <c r="F2160" s="6">
        <v>52.349138937849233</v>
      </c>
    </row>
    <row r="2161" spans="1:6">
      <c r="A2161" s="1">
        <v>9127777</v>
      </c>
      <c r="B2161" s="1">
        <v>0.9148079856298984</v>
      </c>
      <c r="C2161" s="1">
        <v>124</v>
      </c>
      <c r="D2161" s="1">
        <v>343</v>
      </c>
      <c r="E2161" s="2">
        <v>43353</v>
      </c>
      <c r="F2161" s="6">
        <v>41.547803589087962</v>
      </c>
    </row>
    <row r="2162" spans="1:6">
      <c r="A2162" s="1">
        <v>9127780</v>
      </c>
      <c r="B2162" s="1">
        <v>0.17789371601674064</v>
      </c>
      <c r="C2162" s="1">
        <v>6</v>
      </c>
      <c r="D2162" s="1">
        <v>573</v>
      </c>
      <c r="E2162" s="2">
        <v>43114</v>
      </c>
      <c r="F2162" s="6">
        <v>3.526601580625341</v>
      </c>
    </row>
    <row r="2163" spans="1:6">
      <c r="A2163" s="1">
        <v>9127783</v>
      </c>
      <c r="B2163" s="1">
        <v>2.6611545596935349E-2</v>
      </c>
      <c r="C2163" s="1">
        <v>2</v>
      </c>
      <c r="D2163" s="1">
        <v>22</v>
      </c>
      <c r="E2163" s="2">
        <v>42894</v>
      </c>
      <c r="F2163" s="6">
        <v>24.233560762318064</v>
      </c>
    </row>
    <row r="2164" spans="1:6">
      <c r="A2164" s="1">
        <v>9127786</v>
      </c>
      <c r="B2164" s="1">
        <v>0.76786091841973969</v>
      </c>
      <c r="C2164" s="1">
        <v>3</v>
      </c>
      <c r="D2164" s="1">
        <v>391</v>
      </c>
      <c r="E2164" s="2">
        <v>42753</v>
      </c>
      <c r="F2164" s="6">
        <v>23.62721514776657</v>
      </c>
    </row>
    <row r="2165" spans="1:6">
      <c r="A2165" s="1">
        <v>9127789</v>
      </c>
      <c r="B2165" s="1">
        <v>8.7930659701624947E-2</v>
      </c>
      <c r="C2165" s="1">
        <v>36</v>
      </c>
      <c r="D2165" s="1">
        <v>12</v>
      </c>
      <c r="E2165" s="2">
        <v>42918</v>
      </c>
      <c r="F2165" s="6">
        <v>166.96943955227499</v>
      </c>
    </row>
    <row r="2166" spans="1:6">
      <c r="A2166" s="1">
        <v>9127792</v>
      </c>
      <c r="B2166" s="1">
        <v>0.16995083228724239</v>
      </c>
      <c r="C2166" s="1">
        <v>35</v>
      </c>
      <c r="D2166" s="1">
        <v>126</v>
      </c>
      <c r="E2166" s="2">
        <v>43399</v>
      </c>
      <c r="F2166" s="6">
        <v>109.36157438310731</v>
      </c>
    </row>
    <row r="2167" spans="1:6">
      <c r="A2167" s="1">
        <v>9127795</v>
      </c>
      <c r="B2167" s="1">
        <v>0.88926687036465146</v>
      </c>
      <c r="C2167" s="1">
        <v>1</v>
      </c>
      <c r="D2167" s="1">
        <v>22</v>
      </c>
      <c r="E2167" s="2">
        <v>43160</v>
      </c>
      <c r="F2167" s="6">
        <v>4.9464664656836277</v>
      </c>
    </row>
    <row r="2168" spans="1:6">
      <c r="A2168" s="1">
        <v>9127798</v>
      </c>
      <c r="B2168" s="1">
        <v>0.6337447206230622</v>
      </c>
      <c r="C2168" s="1">
        <v>128</v>
      </c>
      <c r="D2168" s="1">
        <v>487</v>
      </c>
      <c r="E2168" s="2">
        <v>43188</v>
      </c>
      <c r="F2168" s="6">
        <v>39.492594117608334</v>
      </c>
    </row>
    <row r="2169" spans="1:6">
      <c r="A2169" s="1">
        <v>9127801</v>
      </c>
      <c r="B2169" s="1">
        <v>0.46352463301991742</v>
      </c>
      <c r="C2169" s="1">
        <v>39</v>
      </c>
      <c r="D2169" s="1">
        <v>176</v>
      </c>
      <c r="E2169" s="2">
        <v>43061</v>
      </c>
      <c r="F2169" s="6">
        <v>42.250440667503362</v>
      </c>
    </row>
    <row r="2170" spans="1:6">
      <c r="A2170" s="1">
        <v>9127804</v>
      </c>
      <c r="B2170" s="1">
        <v>3.0674880561411655E-2</v>
      </c>
      <c r="C2170" s="1">
        <v>18</v>
      </c>
      <c r="D2170" s="1">
        <v>258</v>
      </c>
      <c r="E2170" s="2">
        <v>43079</v>
      </c>
      <c r="F2170" s="6">
        <v>615.28573639938395</v>
      </c>
    </row>
    <row r="2171" spans="1:6">
      <c r="A2171" s="1">
        <v>9127807</v>
      </c>
      <c r="B2171" s="1">
        <v>0.13021781352993456</v>
      </c>
      <c r="C2171" s="1">
        <v>10</v>
      </c>
      <c r="D2171" s="1">
        <v>149</v>
      </c>
      <c r="E2171" s="2">
        <v>42802</v>
      </c>
      <c r="F2171" s="6">
        <v>33.800647997247751</v>
      </c>
    </row>
    <row r="2172" spans="1:6">
      <c r="A2172" s="1">
        <v>9127810</v>
      </c>
      <c r="B2172" s="1">
        <v>0.53745152896054305</v>
      </c>
      <c r="C2172" s="1">
        <v>29</v>
      </c>
      <c r="D2172" s="1">
        <v>176</v>
      </c>
      <c r="E2172" s="2">
        <v>43069</v>
      </c>
      <c r="F2172" s="6">
        <v>6.100719750683016</v>
      </c>
    </row>
    <row r="2173" spans="1:6">
      <c r="A2173" s="1">
        <v>9127813</v>
      </c>
      <c r="B2173" s="1">
        <v>0.32933987079851845</v>
      </c>
      <c r="C2173" s="1">
        <v>8</v>
      </c>
      <c r="D2173" s="1">
        <v>597</v>
      </c>
      <c r="E2173" s="2">
        <v>42800</v>
      </c>
      <c r="F2173" s="6">
        <v>76.67716681675995</v>
      </c>
    </row>
    <row r="2174" spans="1:6">
      <c r="A2174" s="1">
        <v>9127816</v>
      </c>
      <c r="B2174" s="1">
        <v>0.40548508441908793</v>
      </c>
      <c r="C2174" s="1">
        <v>99</v>
      </c>
      <c r="D2174" s="1">
        <v>44</v>
      </c>
      <c r="E2174" s="2">
        <v>42973</v>
      </c>
      <c r="F2174" s="6">
        <v>5.6469619347291165</v>
      </c>
    </row>
    <row r="2175" spans="1:6">
      <c r="A2175" s="1">
        <v>9127819</v>
      </c>
      <c r="B2175" s="1">
        <v>5.8311071359247957E-2</v>
      </c>
      <c r="C2175" s="1">
        <v>53</v>
      </c>
      <c r="D2175" s="1">
        <v>348</v>
      </c>
      <c r="E2175" s="2">
        <v>43372</v>
      </c>
      <c r="F2175" s="6">
        <v>179.32317580213336</v>
      </c>
    </row>
    <row r="2176" spans="1:6">
      <c r="A2176" s="1">
        <v>9127822</v>
      </c>
      <c r="B2176" s="1">
        <v>0.64268001179953405</v>
      </c>
      <c r="C2176" s="1">
        <v>52</v>
      </c>
      <c r="D2176" s="1">
        <v>334</v>
      </c>
      <c r="E2176" s="2">
        <v>43151</v>
      </c>
      <c r="F2176" s="6">
        <v>7.052303384367506</v>
      </c>
    </row>
    <row r="2177" spans="1:6">
      <c r="A2177" s="1">
        <v>9127825</v>
      </c>
      <c r="B2177" s="1">
        <v>7.9719306787853994E-2</v>
      </c>
      <c r="C2177" s="1">
        <v>5</v>
      </c>
      <c r="D2177" s="1">
        <v>315</v>
      </c>
      <c r="E2177" s="2">
        <v>42746</v>
      </c>
      <c r="F2177" s="6">
        <v>21.962155229104656</v>
      </c>
    </row>
    <row r="2178" spans="1:6">
      <c r="A2178" s="1">
        <v>9127828</v>
      </c>
      <c r="B2178" s="1">
        <v>0.20653118462472531</v>
      </c>
      <c r="C2178" s="1">
        <v>227</v>
      </c>
      <c r="D2178" s="1">
        <v>343</v>
      </c>
      <c r="E2178" s="2">
        <v>42969</v>
      </c>
      <c r="F2178" s="6">
        <v>73.416616153934939</v>
      </c>
    </row>
    <row r="2179" spans="1:6">
      <c r="A2179" s="1">
        <v>9127831</v>
      </c>
      <c r="B2179" s="1">
        <v>0.34295274915433027</v>
      </c>
      <c r="C2179" s="1">
        <v>20</v>
      </c>
      <c r="D2179" s="1">
        <v>267</v>
      </c>
      <c r="E2179" s="2">
        <v>43198</v>
      </c>
      <c r="F2179" s="6">
        <v>34.505179492034785</v>
      </c>
    </row>
    <row r="2180" spans="1:6">
      <c r="A2180" s="1">
        <v>9127834</v>
      </c>
      <c r="B2180" s="1">
        <v>0.62439962617195766</v>
      </c>
      <c r="C2180" s="1">
        <v>16</v>
      </c>
      <c r="D2180" s="1">
        <v>592</v>
      </c>
      <c r="E2180" s="2">
        <v>42825</v>
      </c>
      <c r="F2180" s="6">
        <v>156.88418211076129</v>
      </c>
    </row>
    <row r="2181" spans="1:6">
      <c r="A2181" s="1">
        <v>9127837</v>
      </c>
      <c r="B2181" s="1">
        <v>0.85732494522643166</v>
      </c>
      <c r="C2181" s="1">
        <v>14</v>
      </c>
      <c r="D2181" s="1">
        <v>548</v>
      </c>
      <c r="E2181" s="2">
        <v>42881</v>
      </c>
      <c r="F2181" s="6">
        <v>5.042847309041111</v>
      </c>
    </row>
    <row r="2182" spans="1:6">
      <c r="A2182" s="1">
        <v>9127840</v>
      </c>
      <c r="B2182" s="1">
        <v>0.58184643656464008</v>
      </c>
      <c r="C2182" s="1">
        <v>1</v>
      </c>
      <c r="D2182" s="1">
        <v>326</v>
      </c>
      <c r="E2182" s="2">
        <v>43071</v>
      </c>
      <c r="F2182" s="6">
        <v>30.874891408922153</v>
      </c>
    </row>
    <row r="2183" spans="1:6">
      <c r="A2183" s="1">
        <v>9127843</v>
      </c>
      <c r="B2183" s="1">
        <v>0.83882837158698809</v>
      </c>
      <c r="C2183" s="1">
        <v>18</v>
      </c>
      <c r="D2183" s="1">
        <v>573</v>
      </c>
      <c r="E2183" s="2">
        <v>42909</v>
      </c>
      <c r="F2183" s="6">
        <v>20.542387308204514</v>
      </c>
    </row>
    <row r="2184" spans="1:6">
      <c r="A2184" s="1">
        <v>9127846</v>
      </c>
      <c r="B2184" s="1">
        <v>0.59495760670744557</v>
      </c>
      <c r="C2184" s="1">
        <v>107</v>
      </c>
      <c r="D2184" s="1">
        <v>176</v>
      </c>
      <c r="E2184" s="2">
        <v>43028</v>
      </c>
      <c r="F2184" s="6">
        <v>9.5102884082117214</v>
      </c>
    </row>
    <row r="2185" spans="1:6">
      <c r="A2185" s="1">
        <v>9127849</v>
      </c>
      <c r="B2185" s="1">
        <v>0.97570708441170995</v>
      </c>
      <c r="C2185" s="1">
        <v>2</v>
      </c>
      <c r="D2185" s="1">
        <v>77</v>
      </c>
      <c r="E2185" s="2">
        <v>43219</v>
      </c>
      <c r="F2185" s="6">
        <v>233.66838628297864</v>
      </c>
    </row>
    <row r="2186" spans="1:6">
      <c r="A2186" s="1">
        <v>9127852</v>
      </c>
      <c r="B2186" s="1">
        <v>0.86852969290886606</v>
      </c>
      <c r="C2186" s="1">
        <v>69</v>
      </c>
      <c r="D2186" s="1">
        <v>431</v>
      </c>
      <c r="E2186" s="2">
        <v>42738</v>
      </c>
      <c r="F2186" s="6">
        <v>140.22022364364898</v>
      </c>
    </row>
    <row r="2187" spans="1:6">
      <c r="A2187" s="1">
        <v>9127855</v>
      </c>
      <c r="B2187" s="1">
        <v>0.80401702911491213</v>
      </c>
      <c r="C2187" s="1">
        <v>160</v>
      </c>
      <c r="D2187" s="1">
        <v>592</v>
      </c>
      <c r="E2187" s="2">
        <v>42737</v>
      </c>
      <c r="F2187" s="6">
        <v>15.647017436485438</v>
      </c>
    </row>
    <row r="2188" spans="1:6">
      <c r="A2188" s="1">
        <v>9127858</v>
      </c>
      <c r="B2188" s="1">
        <v>6.1555672446749532E-2</v>
      </c>
      <c r="C2188" s="1">
        <v>1</v>
      </c>
      <c r="D2188" s="1">
        <v>197</v>
      </c>
      <c r="E2188" s="2">
        <v>42801</v>
      </c>
      <c r="F2188" s="6">
        <v>35.029813581997381</v>
      </c>
    </row>
    <row r="2189" spans="1:6">
      <c r="A2189" s="1">
        <v>9127861</v>
      </c>
      <c r="B2189" s="1">
        <v>0.9273101018514277</v>
      </c>
      <c r="C2189" s="1">
        <v>37</v>
      </c>
      <c r="D2189" s="1">
        <v>22</v>
      </c>
      <c r="E2189" s="2">
        <v>43250</v>
      </c>
      <c r="F2189" s="6">
        <v>32.6446494888039</v>
      </c>
    </row>
    <row r="2190" spans="1:6">
      <c r="A2190" s="1">
        <v>9127864</v>
      </c>
      <c r="B2190" s="1">
        <v>0.82129953047107662</v>
      </c>
      <c r="C2190" s="1">
        <v>287</v>
      </c>
      <c r="D2190" s="1">
        <v>88</v>
      </c>
      <c r="E2190" s="2">
        <v>42747</v>
      </c>
      <c r="F2190" s="6">
        <v>275.48340215593771</v>
      </c>
    </row>
    <row r="2191" spans="1:6">
      <c r="A2191" s="1">
        <v>9127867</v>
      </c>
      <c r="B2191" s="1">
        <v>0.59933803860014556</v>
      </c>
      <c r="C2191" s="1">
        <v>18</v>
      </c>
      <c r="D2191" s="1">
        <v>116</v>
      </c>
      <c r="E2191" s="2">
        <v>43164</v>
      </c>
      <c r="F2191" s="6">
        <v>75.315515733692692</v>
      </c>
    </row>
    <row r="2192" spans="1:6">
      <c r="A2192" s="1">
        <v>9127870</v>
      </c>
      <c r="B2192" s="1">
        <v>0.85764476648335441</v>
      </c>
      <c r="C2192" s="1">
        <v>47</v>
      </c>
      <c r="D2192" s="1">
        <v>548</v>
      </c>
      <c r="E2192" s="2">
        <v>43210</v>
      </c>
      <c r="F2192" s="6">
        <v>97.807769927701841</v>
      </c>
    </row>
    <row r="2193" spans="1:6">
      <c r="A2193" s="1">
        <v>9127873</v>
      </c>
      <c r="B2193" s="1">
        <v>0.90283757007034671</v>
      </c>
      <c r="C2193" s="1">
        <v>120</v>
      </c>
      <c r="D2193" s="1">
        <v>420</v>
      </c>
      <c r="E2193" s="2">
        <v>43263</v>
      </c>
      <c r="F2193" s="6">
        <v>6.5426611926459355</v>
      </c>
    </row>
    <row r="2194" spans="1:6">
      <c r="A2194" s="1">
        <v>9127876</v>
      </c>
      <c r="B2194" s="1">
        <v>0.83850297788907924</v>
      </c>
      <c r="C2194" s="1">
        <v>6</v>
      </c>
      <c r="D2194" s="1">
        <v>88</v>
      </c>
      <c r="E2194" s="2">
        <v>43007</v>
      </c>
      <c r="F2194" s="6">
        <v>8.0967844024638609</v>
      </c>
    </row>
    <row r="2195" spans="1:6">
      <c r="A2195" s="1">
        <v>9127879</v>
      </c>
      <c r="B2195" s="1">
        <v>0.30213076328719268</v>
      </c>
      <c r="C2195" s="1">
        <v>1</v>
      </c>
      <c r="D2195" s="1">
        <v>597</v>
      </c>
      <c r="E2195" s="2">
        <v>42786</v>
      </c>
      <c r="F2195" s="6">
        <v>3.8767036385766382</v>
      </c>
    </row>
    <row r="2196" spans="1:6">
      <c r="A2196" s="1">
        <v>9127882</v>
      </c>
      <c r="B2196" s="1">
        <v>0.95499251238274818</v>
      </c>
      <c r="C2196" s="1">
        <v>109</v>
      </c>
      <c r="D2196" s="1">
        <v>468</v>
      </c>
      <c r="E2196" s="2">
        <v>42806</v>
      </c>
      <c r="F2196" s="6">
        <v>74.886195301403333</v>
      </c>
    </row>
    <row r="2197" spans="1:6">
      <c r="A2197" s="1">
        <v>9127885</v>
      </c>
      <c r="B2197" s="1">
        <v>0.48877134922328103</v>
      </c>
      <c r="C2197" s="1">
        <v>1</v>
      </c>
      <c r="D2197" s="1">
        <v>88</v>
      </c>
      <c r="E2197" s="2">
        <v>43491</v>
      </c>
      <c r="F2197" s="6">
        <v>53.870074473058104</v>
      </c>
    </row>
    <row r="2198" spans="1:6">
      <c r="A2198" s="1">
        <v>9127888</v>
      </c>
      <c r="B2198" s="1">
        <v>0.40357073171208213</v>
      </c>
      <c r="C2198" s="1">
        <v>55</v>
      </c>
      <c r="D2198" s="1">
        <v>146</v>
      </c>
      <c r="E2198" s="2">
        <v>43417</v>
      </c>
      <c r="F2198" s="6">
        <v>49.365955127170764</v>
      </c>
    </row>
    <row r="2199" spans="1:6">
      <c r="A2199" s="1">
        <v>9127891</v>
      </c>
      <c r="B2199" s="1">
        <v>1.0325605158742035E-2</v>
      </c>
      <c r="C2199" s="1">
        <v>123</v>
      </c>
      <c r="D2199" s="1">
        <v>413</v>
      </c>
      <c r="E2199" s="2">
        <v>43214</v>
      </c>
      <c r="F2199" s="6">
        <v>42.728070821546183</v>
      </c>
    </row>
    <row r="2200" spans="1:6">
      <c r="A2200" s="1">
        <v>9127894</v>
      </c>
      <c r="B2200" s="1">
        <v>0.44936566230766417</v>
      </c>
      <c r="C2200" s="1">
        <v>13</v>
      </c>
      <c r="D2200" s="1">
        <v>182</v>
      </c>
      <c r="E2200" s="2">
        <v>43410</v>
      </c>
      <c r="F2200" s="6">
        <v>90.021265365355532</v>
      </c>
    </row>
    <row r="2201" spans="1:6">
      <c r="A2201" s="1">
        <v>9127897</v>
      </c>
      <c r="B2201" s="1">
        <v>0.43377345988884197</v>
      </c>
      <c r="C2201" s="1">
        <v>10</v>
      </c>
      <c r="D2201" s="1">
        <v>176</v>
      </c>
      <c r="E2201" s="2">
        <v>42888</v>
      </c>
      <c r="F2201" s="6">
        <v>24.819819947556141</v>
      </c>
    </row>
    <row r="2202" spans="1:6">
      <c r="A2202" s="1">
        <v>9127900</v>
      </c>
      <c r="B2202" s="1">
        <v>0.68174047188276565</v>
      </c>
      <c r="C2202" s="1">
        <v>15</v>
      </c>
      <c r="D2202" s="1">
        <v>90</v>
      </c>
      <c r="E2202" s="2">
        <v>43213</v>
      </c>
      <c r="F2202" s="6">
        <v>32.507969801574035</v>
      </c>
    </row>
    <row r="2203" spans="1:6">
      <c r="A2203" s="1">
        <v>9127903</v>
      </c>
      <c r="B2203" s="1">
        <v>0.56355201749056483</v>
      </c>
      <c r="C2203" s="1">
        <v>6</v>
      </c>
      <c r="D2203" s="1">
        <v>486</v>
      </c>
      <c r="E2203" s="2">
        <v>42917</v>
      </c>
      <c r="F2203" s="6">
        <v>26.311479827706393</v>
      </c>
    </row>
    <row r="2204" spans="1:6">
      <c r="A2204" s="1">
        <v>9127906</v>
      </c>
      <c r="B2204" s="1">
        <v>0.1922504253178865</v>
      </c>
      <c r="C2204" s="1">
        <v>98</v>
      </c>
      <c r="D2204" s="1">
        <v>564</v>
      </c>
      <c r="E2204" s="2">
        <v>42862</v>
      </c>
      <c r="F2204" s="6">
        <v>11.058235296961671</v>
      </c>
    </row>
    <row r="2205" spans="1:6">
      <c r="A2205" s="1">
        <v>9127909</v>
      </c>
      <c r="B2205" s="1">
        <v>0.23740698216973355</v>
      </c>
      <c r="C2205" s="1">
        <v>77</v>
      </c>
      <c r="D2205" s="1">
        <v>358</v>
      </c>
      <c r="E2205" s="2">
        <v>42787</v>
      </c>
      <c r="F2205" s="6">
        <v>29.230452427913793</v>
      </c>
    </row>
    <row r="2206" spans="1:6">
      <c r="A2206" s="1">
        <v>9127912</v>
      </c>
      <c r="B2206" s="1">
        <v>0.65023367822868772</v>
      </c>
      <c r="C2206" s="1">
        <v>109</v>
      </c>
      <c r="D2206" s="1">
        <v>510</v>
      </c>
      <c r="E2206" s="2">
        <v>43491</v>
      </c>
      <c r="F2206" s="6">
        <v>20.978146108332975</v>
      </c>
    </row>
    <row r="2207" spans="1:6">
      <c r="A2207" s="1">
        <v>9127915</v>
      </c>
      <c r="B2207" s="1">
        <v>0.43487885064744691</v>
      </c>
      <c r="C2207" s="1">
        <v>4</v>
      </c>
      <c r="D2207" s="1">
        <v>451</v>
      </c>
      <c r="E2207" s="2">
        <v>42866</v>
      </c>
      <c r="F2207" s="6">
        <v>4.3402244614826868</v>
      </c>
    </row>
    <row r="2208" spans="1:6">
      <c r="A2208" s="1">
        <v>9127918</v>
      </c>
      <c r="B2208" s="1">
        <v>0.19821654312151948</v>
      </c>
      <c r="C2208" s="1">
        <v>7</v>
      </c>
      <c r="D2208" s="1">
        <v>445</v>
      </c>
      <c r="E2208" s="2">
        <v>43300</v>
      </c>
      <c r="F2208" s="6">
        <v>5.9191244230350701</v>
      </c>
    </row>
    <row r="2209" spans="1:6">
      <c r="A2209" s="1">
        <v>9127921</v>
      </c>
      <c r="B2209" s="1">
        <v>0.83976735816612047</v>
      </c>
      <c r="C2209" s="1">
        <v>45</v>
      </c>
      <c r="D2209" s="1">
        <v>176</v>
      </c>
      <c r="E2209" s="2">
        <v>43078</v>
      </c>
      <c r="F2209" s="6">
        <v>19.913017113757725</v>
      </c>
    </row>
    <row r="2210" spans="1:6">
      <c r="A2210" s="1">
        <v>9127924</v>
      </c>
      <c r="B2210" s="1">
        <v>0.65131487197345517</v>
      </c>
      <c r="C2210" s="1">
        <v>31</v>
      </c>
      <c r="D2210" s="1">
        <v>478</v>
      </c>
      <c r="E2210" s="2">
        <v>43060</v>
      </c>
      <c r="F2210" s="6">
        <v>3.0791463642564492</v>
      </c>
    </row>
    <row r="2211" spans="1:6">
      <c r="A2211" s="1">
        <v>9127927</v>
      </c>
      <c r="B2211" s="1">
        <v>0.2113719400442573</v>
      </c>
      <c r="C2211" s="1">
        <v>119</v>
      </c>
      <c r="D2211" s="1">
        <v>88</v>
      </c>
      <c r="E2211" s="2">
        <v>43457</v>
      </c>
      <c r="F2211" s="6">
        <v>59.77422694182566</v>
      </c>
    </row>
    <row r="2212" spans="1:6">
      <c r="A2212" s="1">
        <v>9127930</v>
      </c>
      <c r="B2212" s="1">
        <v>0.15959888879184336</v>
      </c>
      <c r="C2212" s="1">
        <v>34</v>
      </c>
      <c r="D2212" s="1">
        <v>451</v>
      </c>
      <c r="E2212" s="2">
        <v>43252</v>
      </c>
      <c r="F2212" s="6">
        <v>121.57530302313543</v>
      </c>
    </row>
    <row r="2213" spans="1:6">
      <c r="A2213" s="1">
        <v>9127933</v>
      </c>
      <c r="B2213" s="1">
        <v>0.9153128711265679</v>
      </c>
      <c r="C2213" s="1">
        <v>33</v>
      </c>
      <c r="D2213" s="1">
        <v>259</v>
      </c>
      <c r="E2213" s="2">
        <v>43040</v>
      </c>
      <c r="F2213" s="6">
        <v>108.04179382941932</v>
      </c>
    </row>
    <row r="2214" spans="1:6">
      <c r="A2214" s="1">
        <v>9127936</v>
      </c>
      <c r="B2214" s="1">
        <v>0.64044554687193411</v>
      </c>
      <c r="C2214" s="1">
        <v>21</v>
      </c>
      <c r="D2214" s="1">
        <v>146</v>
      </c>
      <c r="E2214" s="2">
        <v>43104</v>
      </c>
      <c r="F2214" s="6">
        <v>329.25844191981901</v>
      </c>
    </row>
    <row r="2215" spans="1:6">
      <c r="A2215" s="1">
        <v>9127939</v>
      </c>
      <c r="B2215" s="1">
        <v>0.26180091565843711</v>
      </c>
      <c r="C2215" s="1">
        <v>26</v>
      </c>
      <c r="D2215" s="1">
        <v>258</v>
      </c>
      <c r="E2215" s="2">
        <v>43327</v>
      </c>
      <c r="F2215" s="6">
        <v>65.106306598476351</v>
      </c>
    </row>
    <row r="2216" spans="1:6">
      <c r="A2216" s="1">
        <v>9127942</v>
      </c>
      <c r="B2216" s="1">
        <v>0.45961232610177649</v>
      </c>
      <c r="C2216" s="1">
        <v>4</v>
      </c>
      <c r="D2216" s="1">
        <v>176</v>
      </c>
      <c r="E2216" s="2">
        <v>43144</v>
      </c>
      <c r="F2216" s="6">
        <v>6.2005103527133096</v>
      </c>
    </row>
    <row r="2217" spans="1:6">
      <c r="A2217" s="1">
        <v>9127945</v>
      </c>
      <c r="B2217" s="1">
        <v>0.98043915191014419</v>
      </c>
      <c r="C2217" s="1">
        <v>156</v>
      </c>
      <c r="D2217" s="1">
        <v>139</v>
      </c>
      <c r="E2217" s="2">
        <v>42772</v>
      </c>
      <c r="F2217" s="6">
        <v>28.316063271843685</v>
      </c>
    </row>
    <row r="2218" spans="1:6">
      <c r="A2218" s="1">
        <v>9127948</v>
      </c>
      <c r="B2218" s="1">
        <v>0.59207842559517487</v>
      </c>
      <c r="C2218" s="1">
        <v>6</v>
      </c>
      <c r="D2218" s="1">
        <v>145</v>
      </c>
      <c r="E2218" s="2">
        <v>43391</v>
      </c>
      <c r="F2218" s="6">
        <v>154.46449571375081</v>
      </c>
    </row>
    <row r="2219" spans="1:6">
      <c r="A2219" s="1">
        <v>9127951</v>
      </c>
      <c r="B2219" s="1">
        <v>0.78928571346367371</v>
      </c>
      <c r="C2219" s="1">
        <v>2</v>
      </c>
      <c r="D2219" s="1">
        <v>353</v>
      </c>
      <c r="E2219" s="2">
        <v>42771</v>
      </c>
      <c r="F2219" s="6">
        <v>46.307955364578326</v>
      </c>
    </row>
    <row r="2220" spans="1:6">
      <c r="A2220" s="1">
        <v>9127954</v>
      </c>
      <c r="B2220" s="1">
        <v>4.790183149982763E-2</v>
      </c>
      <c r="C2220" s="1">
        <v>44</v>
      </c>
      <c r="D2220" s="1">
        <v>512</v>
      </c>
      <c r="E2220" s="2">
        <v>43439</v>
      </c>
      <c r="F2220" s="6">
        <v>46.724682308322677</v>
      </c>
    </row>
    <row r="2221" spans="1:6">
      <c r="A2221" s="1">
        <v>9127957</v>
      </c>
      <c r="B2221" s="1">
        <v>0.74434003612869171</v>
      </c>
      <c r="C2221" s="1">
        <v>112</v>
      </c>
      <c r="D2221" s="1">
        <v>510</v>
      </c>
      <c r="E2221" s="2">
        <v>43476</v>
      </c>
      <c r="F2221" s="6">
        <v>63.370607641643069</v>
      </c>
    </row>
    <row r="2222" spans="1:6">
      <c r="A2222" s="1">
        <v>9127960</v>
      </c>
      <c r="B2222" s="1">
        <v>0.77989986976755044</v>
      </c>
      <c r="C2222" s="1">
        <v>201</v>
      </c>
      <c r="D2222" s="1">
        <v>13</v>
      </c>
      <c r="E2222" s="2">
        <v>43341</v>
      </c>
      <c r="F2222" s="6">
        <v>186.31860165790781</v>
      </c>
    </row>
    <row r="2223" spans="1:6">
      <c r="A2223" s="1">
        <v>9127963</v>
      </c>
      <c r="B2223" s="1">
        <v>0.39545369195169944</v>
      </c>
      <c r="C2223" s="1">
        <v>43</v>
      </c>
      <c r="D2223" s="1">
        <v>38</v>
      </c>
      <c r="E2223" s="2">
        <v>43139</v>
      </c>
      <c r="F2223" s="6">
        <v>8.1239594597666063</v>
      </c>
    </row>
    <row r="2224" spans="1:6">
      <c r="A2224" s="1">
        <v>9127966</v>
      </c>
      <c r="B2224" s="1">
        <v>0.29024961106483971</v>
      </c>
      <c r="C2224" s="1">
        <v>25</v>
      </c>
      <c r="D2224" s="1">
        <v>551</v>
      </c>
      <c r="E2224" s="2">
        <v>42788</v>
      </c>
      <c r="F2224" s="6">
        <v>154.94853983651396</v>
      </c>
    </row>
    <row r="2225" spans="1:6">
      <c r="A2225" s="1">
        <v>9127969</v>
      </c>
      <c r="B2225" s="1">
        <v>0.26187445200185555</v>
      </c>
      <c r="C2225" s="1">
        <v>19</v>
      </c>
      <c r="D2225" s="1">
        <v>564</v>
      </c>
      <c r="E2225" s="2">
        <v>43180</v>
      </c>
      <c r="F2225" s="6">
        <v>65.984999664671292</v>
      </c>
    </row>
    <row r="2226" spans="1:6">
      <c r="A2226" s="1">
        <v>9127972</v>
      </c>
      <c r="B2226" s="1">
        <v>0.48778360322610925</v>
      </c>
      <c r="C2226" s="1">
        <v>2</v>
      </c>
      <c r="D2226" s="1">
        <v>393</v>
      </c>
      <c r="E2226" s="2">
        <v>43496</v>
      </c>
      <c r="F2226" s="6">
        <v>112.13108177566319</v>
      </c>
    </row>
    <row r="2227" spans="1:6">
      <c r="A2227" s="1">
        <v>9127975</v>
      </c>
      <c r="B2227" s="1">
        <v>0.58387084850722659</v>
      </c>
      <c r="C2227" s="1">
        <v>3</v>
      </c>
      <c r="D2227" s="1">
        <v>126</v>
      </c>
      <c r="E2227" s="2">
        <v>43238</v>
      </c>
      <c r="F2227" s="6">
        <v>24.841192091496964</v>
      </c>
    </row>
    <row r="2228" spans="1:6">
      <c r="A2228" s="1">
        <v>9127978</v>
      </c>
      <c r="B2228" s="1">
        <v>0.92552970343263141</v>
      </c>
      <c r="C2228" s="1">
        <v>21</v>
      </c>
      <c r="D2228" s="1">
        <v>254</v>
      </c>
      <c r="E2228" s="2">
        <v>43197</v>
      </c>
      <c r="F2228" s="6">
        <v>111.31551955397467</v>
      </c>
    </row>
    <row r="2229" spans="1:6">
      <c r="A2229" s="1">
        <v>9127981</v>
      </c>
      <c r="B2229" s="1">
        <v>0.39043357846420901</v>
      </c>
      <c r="C2229" s="1">
        <v>2</v>
      </c>
      <c r="D2229" s="1">
        <v>176</v>
      </c>
      <c r="E2229" s="2">
        <v>42786</v>
      </c>
      <c r="F2229" s="6">
        <v>150.27297177296472</v>
      </c>
    </row>
    <row r="2230" spans="1:6">
      <c r="A2230" s="1">
        <v>9127984</v>
      </c>
      <c r="B2230" s="1">
        <v>0.22528882981700282</v>
      </c>
      <c r="C2230" s="1">
        <v>249</v>
      </c>
      <c r="D2230" s="1">
        <v>471</v>
      </c>
      <c r="E2230" s="2">
        <v>43343</v>
      </c>
      <c r="F2230" s="6">
        <v>8.3400495435411948</v>
      </c>
    </row>
    <row r="2231" spans="1:6">
      <c r="A2231" s="1">
        <v>9127987</v>
      </c>
      <c r="B2231" s="1">
        <v>0.5977571018509521</v>
      </c>
      <c r="C2231" s="1">
        <v>43</v>
      </c>
      <c r="D2231" s="1">
        <v>259</v>
      </c>
      <c r="E2231" s="2">
        <v>43016</v>
      </c>
      <c r="F2231" s="6">
        <v>78.738673113502557</v>
      </c>
    </row>
    <row r="2232" spans="1:6">
      <c r="A2232" s="1">
        <v>9127990</v>
      </c>
      <c r="B2232" s="1">
        <v>0.17112956138815028</v>
      </c>
      <c r="C2232" s="1">
        <v>3</v>
      </c>
      <c r="D2232" s="1">
        <v>361</v>
      </c>
      <c r="E2232" s="2">
        <v>43301</v>
      </c>
      <c r="F2232" s="6">
        <v>132.6867994662762</v>
      </c>
    </row>
    <row r="2233" spans="1:6">
      <c r="A2233" s="1">
        <v>9127993</v>
      </c>
      <c r="B2233" s="1">
        <v>0.38289525079011877</v>
      </c>
      <c r="C2233" s="1">
        <v>30</v>
      </c>
      <c r="D2233" s="1">
        <v>458</v>
      </c>
      <c r="E2233" s="2">
        <v>43247</v>
      </c>
      <c r="F2233" s="6">
        <v>76.925643937583175</v>
      </c>
    </row>
    <row r="2234" spans="1:6">
      <c r="A2234" s="1">
        <v>9127996</v>
      </c>
      <c r="B2234" s="1">
        <v>0.50826359975068625</v>
      </c>
      <c r="C2234" s="1">
        <v>21</v>
      </c>
      <c r="D2234" s="1">
        <v>366</v>
      </c>
      <c r="E2234" s="2">
        <v>43464</v>
      </c>
      <c r="F2234" s="6">
        <v>3.3708563043531901</v>
      </c>
    </row>
    <row r="2235" spans="1:6">
      <c r="A2235" s="1">
        <v>9127999</v>
      </c>
      <c r="B2235" s="1">
        <v>0.69576295782781561</v>
      </c>
      <c r="C2235" s="1">
        <v>3</v>
      </c>
      <c r="D2235" s="1">
        <v>100</v>
      </c>
      <c r="E2235" s="2">
        <v>42786</v>
      </c>
      <c r="F2235" s="6">
        <v>124.03579313477202</v>
      </c>
    </row>
    <row r="2236" spans="1:6">
      <c r="A2236" s="1">
        <v>9128002</v>
      </c>
      <c r="B2236" s="1">
        <v>0.46893751193800104</v>
      </c>
      <c r="C2236" s="1">
        <v>33</v>
      </c>
      <c r="D2236" s="1">
        <v>22</v>
      </c>
      <c r="E2236" s="2">
        <v>43283</v>
      </c>
      <c r="F2236" s="6">
        <v>195.74075148876142</v>
      </c>
    </row>
    <row r="2237" spans="1:6">
      <c r="A2237" s="1">
        <v>9128005</v>
      </c>
      <c r="B2237" s="1">
        <v>0.76381944327430751</v>
      </c>
      <c r="C2237" s="1">
        <v>357</v>
      </c>
      <c r="D2237" s="1">
        <v>492</v>
      </c>
      <c r="E2237" s="2">
        <v>42765</v>
      </c>
      <c r="F2237" s="6">
        <v>5.1712673847030803</v>
      </c>
    </row>
    <row r="2238" spans="1:6">
      <c r="A2238" s="1">
        <v>9128008</v>
      </c>
      <c r="B2238" s="1">
        <v>0.84827476671914859</v>
      </c>
      <c r="C2238" s="1">
        <v>64</v>
      </c>
      <c r="D2238" s="1">
        <v>149</v>
      </c>
      <c r="E2238" s="2">
        <v>42974</v>
      </c>
      <c r="F2238" s="6">
        <v>138.43420934206284</v>
      </c>
    </row>
    <row r="2239" spans="1:6">
      <c r="A2239" s="1">
        <v>9128011</v>
      </c>
      <c r="B2239" s="1">
        <v>0.92649001750409798</v>
      </c>
      <c r="C2239" s="1">
        <v>33</v>
      </c>
      <c r="D2239" s="1">
        <v>323</v>
      </c>
      <c r="E2239" s="2">
        <v>42814</v>
      </c>
      <c r="F2239" s="6">
        <v>29.727300880804368</v>
      </c>
    </row>
    <row r="2240" spans="1:6">
      <c r="A2240" s="1">
        <v>9128014</v>
      </c>
      <c r="B2240" s="1">
        <v>1.5907272901091396E-2</v>
      </c>
      <c r="C2240" s="1">
        <v>8</v>
      </c>
      <c r="D2240" s="1">
        <v>221</v>
      </c>
      <c r="E2240" s="2">
        <v>43138</v>
      </c>
      <c r="F2240" s="6">
        <v>11.490002204094742</v>
      </c>
    </row>
    <row r="2241" spans="1:6">
      <c r="A2241" s="1">
        <v>9128017</v>
      </c>
      <c r="B2241" s="1">
        <v>0.54554543560437196</v>
      </c>
      <c r="C2241" s="1">
        <v>143</v>
      </c>
      <c r="D2241" s="1">
        <v>460</v>
      </c>
      <c r="E2241" s="2">
        <v>43262</v>
      </c>
      <c r="F2241" s="6">
        <v>6.9751166393421862</v>
      </c>
    </row>
    <row r="2242" spans="1:6">
      <c r="A2242" s="1">
        <v>9128020</v>
      </c>
      <c r="B2242" s="1">
        <v>0.26855487683131085</v>
      </c>
      <c r="C2242" s="1">
        <v>56</v>
      </c>
      <c r="D2242" s="1">
        <v>176</v>
      </c>
      <c r="E2242" s="2">
        <v>43339</v>
      </c>
      <c r="F2242" s="6">
        <v>70.8849729148818</v>
      </c>
    </row>
    <row r="2243" spans="1:6">
      <c r="A2243" s="1">
        <v>9128023</v>
      </c>
      <c r="B2243" s="1">
        <v>0.95514313894336855</v>
      </c>
      <c r="C2243" s="1">
        <v>3</v>
      </c>
      <c r="D2243" s="1">
        <v>509</v>
      </c>
      <c r="E2243" s="2">
        <v>43367</v>
      </c>
      <c r="F2243" s="6">
        <v>114.04152739530066</v>
      </c>
    </row>
    <row r="2244" spans="1:6">
      <c r="A2244" s="1">
        <v>9128026</v>
      </c>
      <c r="B2244" s="1">
        <v>0.71972290512787418</v>
      </c>
      <c r="C2244" s="1">
        <v>55</v>
      </c>
      <c r="D2244" s="1">
        <v>541</v>
      </c>
      <c r="E2244" s="2">
        <v>43089</v>
      </c>
      <c r="F2244" s="6">
        <v>53.566622995453713</v>
      </c>
    </row>
    <row r="2245" spans="1:6">
      <c r="A2245" s="1">
        <v>9128029</v>
      </c>
      <c r="B2245" s="1">
        <v>0.35944741903432198</v>
      </c>
      <c r="C2245" s="1">
        <v>103</v>
      </c>
      <c r="D2245" s="1">
        <v>181</v>
      </c>
      <c r="E2245" s="2">
        <v>43469</v>
      </c>
      <c r="F2245" s="6">
        <v>13.797460658880164</v>
      </c>
    </row>
    <row r="2246" spans="1:6">
      <c r="A2246" s="1">
        <v>9128032</v>
      </c>
      <c r="B2246" s="1">
        <v>0.30415149228554506</v>
      </c>
      <c r="C2246" s="1">
        <v>1</v>
      </c>
      <c r="D2246" s="1">
        <v>182</v>
      </c>
      <c r="E2246" s="2">
        <v>43248</v>
      </c>
      <c r="F2246" s="6">
        <v>15.937991286339159</v>
      </c>
    </row>
    <row r="2247" spans="1:6">
      <c r="A2247" s="1">
        <v>9128035</v>
      </c>
      <c r="B2247" s="1">
        <v>0.24578904082686226</v>
      </c>
      <c r="C2247" s="1">
        <v>11</v>
      </c>
      <c r="D2247" s="1">
        <v>146</v>
      </c>
      <c r="E2247" s="2">
        <v>43215</v>
      </c>
      <c r="F2247" s="6">
        <v>47.951065857582542</v>
      </c>
    </row>
    <row r="2248" spans="1:6">
      <c r="A2248" s="1">
        <v>9128038</v>
      </c>
      <c r="B2248" s="1">
        <v>0.523713812777996</v>
      </c>
      <c r="C2248" s="1">
        <v>14</v>
      </c>
      <c r="D2248" s="1">
        <v>214</v>
      </c>
      <c r="E2248" s="2">
        <v>43357</v>
      </c>
      <c r="F2248" s="6">
        <v>33.928851832613454</v>
      </c>
    </row>
    <row r="2249" spans="1:6">
      <c r="A2249" s="1">
        <v>9128041</v>
      </c>
      <c r="B2249" s="1">
        <v>0.98799565198142014</v>
      </c>
      <c r="C2249" s="1">
        <v>2</v>
      </c>
      <c r="D2249" s="1">
        <v>126</v>
      </c>
      <c r="E2249" s="2">
        <v>42833</v>
      </c>
      <c r="F2249" s="6">
        <v>63.704313314334634</v>
      </c>
    </row>
    <row r="2250" spans="1:6">
      <c r="A2250" s="1">
        <v>9128044</v>
      </c>
      <c r="B2250" s="1">
        <v>0.85512405204887243</v>
      </c>
      <c r="C2250" s="1">
        <v>10</v>
      </c>
      <c r="D2250" s="1">
        <v>544</v>
      </c>
      <c r="E2250" s="2">
        <v>42777</v>
      </c>
      <c r="F2250" s="6">
        <v>12.106137328415249</v>
      </c>
    </row>
    <row r="2251" spans="1:6">
      <c r="A2251" s="1">
        <v>9128047</v>
      </c>
      <c r="B2251" s="1">
        <v>0.55897491404785782</v>
      </c>
      <c r="C2251" s="1">
        <v>24</v>
      </c>
      <c r="D2251" s="1">
        <v>169</v>
      </c>
      <c r="E2251" s="2">
        <v>43070</v>
      </c>
      <c r="F2251" s="6">
        <v>203.23780165388993</v>
      </c>
    </row>
    <row r="2252" spans="1:6">
      <c r="A2252" s="1">
        <v>9128050</v>
      </c>
      <c r="B2252" s="1">
        <v>0.427400540675823</v>
      </c>
      <c r="C2252" s="1">
        <v>1</v>
      </c>
      <c r="D2252" s="1">
        <v>176</v>
      </c>
      <c r="E2252" s="2">
        <v>42848</v>
      </c>
      <c r="F2252" s="6">
        <v>47.313278823846787</v>
      </c>
    </row>
    <row r="2253" spans="1:6">
      <c r="A2253" s="1">
        <v>9128053</v>
      </c>
      <c r="B2253" s="1">
        <v>0.11531417226392526</v>
      </c>
      <c r="C2253" s="1">
        <v>102</v>
      </c>
      <c r="D2253" s="1">
        <v>358</v>
      </c>
      <c r="E2253" s="2">
        <v>42969</v>
      </c>
      <c r="F2253" s="6">
        <v>10.426780243891386</v>
      </c>
    </row>
    <row r="2254" spans="1:6">
      <c r="A2254" s="1">
        <v>9128056</v>
      </c>
      <c r="B2254" s="1">
        <v>0.53898523724252489</v>
      </c>
      <c r="C2254" s="1">
        <v>2</v>
      </c>
      <c r="D2254" s="1">
        <v>248</v>
      </c>
      <c r="E2254" s="2">
        <v>42974</v>
      </c>
      <c r="F2254" s="6">
        <v>57.730458092146385</v>
      </c>
    </row>
    <row r="2255" spans="1:6">
      <c r="A2255" s="1">
        <v>9128059</v>
      </c>
      <c r="B2255" s="1">
        <v>0.71412091515328235</v>
      </c>
      <c r="C2255" s="1">
        <v>76</v>
      </c>
      <c r="D2255" s="1">
        <v>22</v>
      </c>
      <c r="E2255" s="2">
        <v>43010</v>
      </c>
      <c r="F2255" s="6">
        <v>27.359383842192461</v>
      </c>
    </row>
    <row r="2256" spans="1:6">
      <c r="A2256" s="1">
        <v>9128062</v>
      </c>
      <c r="B2256" s="1">
        <v>0.70196928476544251</v>
      </c>
      <c r="C2256" s="1">
        <v>30</v>
      </c>
      <c r="D2256" s="1">
        <v>551</v>
      </c>
      <c r="E2256" s="2">
        <v>43352</v>
      </c>
      <c r="F2256" s="6">
        <v>55.141894538695375</v>
      </c>
    </row>
    <row r="2257" spans="1:6">
      <c r="A2257" s="1">
        <v>9128065</v>
      </c>
      <c r="B2257" s="1">
        <v>0.367763242641298</v>
      </c>
      <c r="C2257" s="1">
        <v>41</v>
      </c>
      <c r="D2257" s="1">
        <v>519</v>
      </c>
      <c r="E2257" s="2">
        <v>42850</v>
      </c>
      <c r="F2257" s="6">
        <v>54.266854194687149</v>
      </c>
    </row>
    <row r="2258" spans="1:6">
      <c r="A2258" s="1">
        <v>9128068</v>
      </c>
      <c r="B2258" s="1">
        <v>0.41533063433981243</v>
      </c>
      <c r="C2258" s="1">
        <v>5</v>
      </c>
      <c r="D2258" s="1">
        <v>90</v>
      </c>
      <c r="E2258" s="2">
        <v>42837</v>
      </c>
      <c r="F2258" s="6">
        <v>8.966176789567319</v>
      </c>
    </row>
    <row r="2259" spans="1:6">
      <c r="A2259" s="1">
        <v>9128071</v>
      </c>
      <c r="B2259" s="1">
        <v>0.78267462006177491</v>
      </c>
      <c r="C2259" s="1">
        <v>2</v>
      </c>
      <c r="D2259" s="1">
        <v>3</v>
      </c>
      <c r="E2259" s="2">
        <v>42811</v>
      </c>
      <c r="F2259" s="6">
        <v>113.66218893256443</v>
      </c>
    </row>
    <row r="2260" spans="1:6">
      <c r="A2260" s="1">
        <v>9128074</v>
      </c>
      <c r="B2260" s="1">
        <v>0.10420114867013508</v>
      </c>
      <c r="C2260" s="1">
        <v>3</v>
      </c>
      <c r="D2260" s="1">
        <v>146</v>
      </c>
      <c r="E2260" s="2">
        <v>43128</v>
      </c>
      <c r="F2260" s="6">
        <v>9.0594607119464552</v>
      </c>
    </row>
    <row r="2261" spans="1:6">
      <c r="A2261" s="1">
        <v>9128077</v>
      </c>
      <c r="B2261" s="1">
        <v>0.42613037373581342</v>
      </c>
      <c r="C2261" s="1">
        <v>386</v>
      </c>
      <c r="D2261" s="1">
        <v>145</v>
      </c>
      <c r="E2261" s="2">
        <v>43323</v>
      </c>
      <c r="F2261" s="6">
        <v>58.730371267495585</v>
      </c>
    </row>
    <row r="2262" spans="1:6">
      <c r="A2262" s="1">
        <v>9128080</v>
      </c>
      <c r="B2262" s="1">
        <v>7.7703193680329408E-2</v>
      </c>
      <c r="C2262" s="1">
        <v>115</v>
      </c>
      <c r="D2262" s="1">
        <v>42</v>
      </c>
      <c r="E2262" s="2">
        <v>43462</v>
      </c>
      <c r="F2262" s="6">
        <v>11.927536250838445</v>
      </c>
    </row>
    <row r="2263" spans="1:6">
      <c r="A2263" s="1">
        <v>9128083</v>
      </c>
      <c r="B2263" s="1">
        <v>0.40833159276726094</v>
      </c>
      <c r="C2263" s="1">
        <v>61</v>
      </c>
      <c r="D2263" s="1">
        <v>221</v>
      </c>
      <c r="E2263" s="2">
        <v>43439</v>
      </c>
      <c r="F2263" s="6">
        <v>10.202710652153367</v>
      </c>
    </row>
    <row r="2264" spans="1:6">
      <c r="A2264" s="1">
        <v>9128086</v>
      </c>
      <c r="B2264" s="1">
        <v>0.12175156722086822</v>
      </c>
      <c r="C2264" s="1">
        <v>52</v>
      </c>
      <c r="D2264" s="1">
        <v>258</v>
      </c>
      <c r="E2264" s="2">
        <v>43482</v>
      </c>
      <c r="F2264" s="6">
        <v>79.79613890754446</v>
      </c>
    </row>
    <row r="2265" spans="1:6">
      <c r="A2265" s="1">
        <v>9128089</v>
      </c>
      <c r="B2265" s="1">
        <v>4.784977824955261E-2</v>
      </c>
      <c r="C2265" s="1">
        <v>9</v>
      </c>
      <c r="D2265" s="1">
        <v>176</v>
      </c>
      <c r="E2265" s="2">
        <v>42760</v>
      </c>
      <c r="F2265" s="6">
        <v>53.460111027638156</v>
      </c>
    </row>
    <row r="2266" spans="1:6">
      <c r="A2266" s="1">
        <v>9128092</v>
      </c>
      <c r="B2266" s="1">
        <v>0.9397343452858492</v>
      </c>
      <c r="C2266" s="1">
        <v>141</v>
      </c>
      <c r="D2266" s="1">
        <v>100</v>
      </c>
      <c r="E2266" s="2">
        <v>42921</v>
      </c>
      <c r="F2266" s="6">
        <v>3.7126477654716008</v>
      </c>
    </row>
    <row r="2267" spans="1:6">
      <c r="A2267" s="1">
        <v>9128095</v>
      </c>
      <c r="B2267" s="1">
        <v>0.67384526298728253</v>
      </c>
      <c r="C2267" s="1">
        <v>13</v>
      </c>
      <c r="D2267" s="1">
        <v>495</v>
      </c>
      <c r="E2267" s="2">
        <v>43327</v>
      </c>
      <c r="F2267" s="6">
        <v>52.316469750414917</v>
      </c>
    </row>
    <row r="2268" spans="1:6">
      <c r="A2268" s="1">
        <v>9128098</v>
      </c>
      <c r="B2268" s="1">
        <v>0.58397513756785491</v>
      </c>
      <c r="C2268" s="1">
        <v>77</v>
      </c>
      <c r="D2268" s="1">
        <v>176</v>
      </c>
      <c r="E2268" s="2">
        <v>43344</v>
      </c>
      <c r="F2268" s="6">
        <v>19.809245923075551</v>
      </c>
    </row>
    <row r="2269" spans="1:6">
      <c r="A2269" s="1">
        <v>9128101</v>
      </c>
      <c r="B2269" s="1">
        <v>0.85673967290721331</v>
      </c>
      <c r="C2269" s="1">
        <v>93</v>
      </c>
      <c r="D2269" s="1">
        <v>167</v>
      </c>
      <c r="E2269" s="2">
        <v>43199</v>
      </c>
      <c r="F2269" s="6">
        <v>23.085296750759053</v>
      </c>
    </row>
    <row r="2270" spans="1:6">
      <c r="A2270" s="1">
        <v>9128104</v>
      </c>
      <c r="B2270" s="1">
        <v>0.7503164019220695</v>
      </c>
      <c r="C2270" s="1">
        <v>144</v>
      </c>
      <c r="D2270" s="1">
        <v>458</v>
      </c>
      <c r="E2270" s="2">
        <v>43334</v>
      </c>
      <c r="F2270" s="6">
        <v>87.924373929268555</v>
      </c>
    </row>
    <row r="2271" spans="1:6">
      <c r="A2271" s="1">
        <v>9128107</v>
      </c>
      <c r="B2271" s="1">
        <v>0.68080560638748822</v>
      </c>
      <c r="C2271" s="1">
        <v>1</v>
      </c>
      <c r="D2271" s="1">
        <v>176</v>
      </c>
      <c r="E2271" s="2">
        <v>42929</v>
      </c>
      <c r="F2271" s="6">
        <v>132.54254566573164</v>
      </c>
    </row>
    <row r="2272" spans="1:6">
      <c r="A2272" s="1">
        <v>9128110</v>
      </c>
      <c r="B2272" s="1">
        <v>0.13524000541330539</v>
      </c>
      <c r="C2272" s="1">
        <v>51</v>
      </c>
      <c r="D2272" s="1">
        <v>548</v>
      </c>
      <c r="E2272" s="2">
        <v>43232</v>
      </c>
      <c r="F2272" s="6">
        <v>46.394829915104289</v>
      </c>
    </row>
    <row r="2273" spans="1:6">
      <c r="A2273" s="1">
        <v>9128113</v>
      </c>
      <c r="B2273" s="1">
        <v>0.879266305980128</v>
      </c>
      <c r="C2273" s="1">
        <v>2</v>
      </c>
      <c r="D2273" s="1">
        <v>335</v>
      </c>
      <c r="E2273" s="2">
        <v>43139</v>
      </c>
      <c r="F2273" s="6">
        <v>3.8300422612948055</v>
      </c>
    </row>
    <row r="2274" spans="1:6">
      <c r="A2274" s="1">
        <v>9128116</v>
      </c>
      <c r="B2274" s="1">
        <v>7.7050892341057997E-2</v>
      </c>
      <c r="C2274" s="1">
        <v>4</v>
      </c>
      <c r="D2274" s="1">
        <v>126</v>
      </c>
      <c r="E2274" s="2">
        <v>43058</v>
      </c>
      <c r="F2274" s="6">
        <v>502.6745546086222</v>
      </c>
    </row>
    <row r="2275" spans="1:6">
      <c r="A2275" s="1">
        <v>9128119</v>
      </c>
      <c r="B2275" s="1">
        <v>0.2589544557668737</v>
      </c>
      <c r="C2275" s="1">
        <v>5</v>
      </c>
      <c r="D2275" s="1">
        <v>343</v>
      </c>
      <c r="E2275" s="2">
        <v>43116</v>
      </c>
      <c r="F2275" s="6">
        <v>3.9447235709841157</v>
      </c>
    </row>
    <row r="2276" spans="1:6">
      <c r="A2276" s="1">
        <v>9128122</v>
      </c>
      <c r="B2276" s="1">
        <v>0.22008772723607783</v>
      </c>
      <c r="C2276" s="1">
        <v>91</v>
      </c>
      <c r="D2276" s="1">
        <v>358</v>
      </c>
      <c r="E2276" s="2">
        <v>43326</v>
      </c>
      <c r="F2276" s="6">
        <v>38.0194911928753</v>
      </c>
    </row>
    <row r="2277" spans="1:6">
      <c r="A2277" s="1">
        <v>9128125</v>
      </c>
      <c r="B2277" s="1">
        <v>0.30660599863667781</v>
      </c>
      <c r="C2277" s="1">
        <v>7</v>
      </c>
      <c r="D2277" s="1">
        <v>129</v>
      </c>
      <c r="E2277" s="2">
        <v>43196</v>
      </c>
      <c r="F2277" s="6">
        <v>27.77879793457215</v>
      </c>
    </row>
    <row r="2278" spans="1:6">
      <c r="A2278" s="1">
        <v>9128128</v>
      </c>
      <c r="B2278" s="1">
        <v>0.10189543699075998</v>
      </c>
      <c r="C2278" s="1">
        <v>28</v>
      </c>
      <c r="D2278" s="1">
        <v>182</v>
      </c>
      <c r="E2278" s="2">
        <v>43182</v>
      </c>
      <c r="F2278" s="6">
        <v>18.505139717707948</v>
      </c>
    </row>
    <row r="2279" spans="1:6">
      <c r="A2279" s="1">
        <v>9128131</v>
      </c>
      <c r="B2279" s="1">
        <v>0.94456638147451555</v>
      </c>
      <c r="C2279" s="1">
        <v>79</v>
      </c>
      <c r="D2279" s="1">
        <v>510</v>
      </c>
      <c r="E2279" s="2">
        <v>43458</v>
      </c>
      <c r="F2279" s="6">
        <v>49.862978416521898</v>
      </c>
    </row>
    <row r="2280" spans="1:6">
      <c r="A2280" s="1">
        <v>9128134</v>
      </c>
      <c r="B2280" s="1">
        <v>0.43816895615106077</v>
      </c>
      <c r="C2280" s="1">
        <v>1</v>
      </c>
      <c r="D2280" s="1">
        <v>471</v>
      </c>
      <c r="E2280" s="2">
        <v>43221</v>
      </c>
      <c r="F2280" s="6">
        <v>10.132060647637413</v>
      </c>
    </row>
    <row r="2281" spans="1:6">
      <c r="A2281" s="1">
        <v>9128137</v>
      </c>
      <c r="B2281" s="1">
        <v>0.42863753218743228</v>
      </c>
      <c r="C2281" s="1">
        <v>2</v>
      </c>
      <c r="D2281" s="1">
        <v>592</v>
      </c>
      <c r="E2281" s="2">
        <v>42878</v>
      </c>
      <c r="F2281" s="6">
        <v>17.643248908021192</v>
      </c>
    </row>
    <row r="2282" spans="1:6">
      <c r="A2282" s="1">
        <v>9128140</v>
      </c>
      <c r="B2282" s="1">
        <v>0.1278795443487819</v>
      </c>
      <c r="C2282" s="1">
        <v>29</v>
      </c>
      <c r="D2282" s="1">
        <v>169</v>
      </c>
      <c r="E2282" s="2">
        <v>42779</v>
      </c>
      <c r="F2282" s="6">
        <v>166.8952120673373</v>
      </c>
    </row>
    <row r="2283" spans="1:6">
      <c r="A2283" s="1">
        <v>9128143</v>
      </c>
      <c r="B2283" s="1">
        <v>0.26082275656672915</v>
      </c>
      <c r="C2283" s="1">
        <v>5</v>
      </c>
      <c r="D2283" s="1">
        <v>420</v>
      </c>
      <c r="E2283" s="2">
        <v>43278</v>
      </c>
      <c r="F2283" s="6">
        <v>238.40146183514921</v>
      </c>
    </row>
    <row r="2284" spans="1:6">
      <c r="A2284" s="1">
        <v>9128146</v>
      </c>
      <c r="B2284" s="1">
        <v>0.92970798475091398</v>
      </c>
      <c r="C2284" s="1">
        <v>22</v>
      </c>
      <c r="D2284" s="1">
        <v>494</v>
      </c>
      <c r="E2284" s="2">
        <v>43021</v>
      </c>
      <c r="F2284" s="6">
        <v>58.39147752913204</v>
      </c>
    </row>
    <row r="2285" spans="1:6">
      <c r="A2285" s="1">
        <v>9128149</v>
      </c>
      <c r="B2285" s="1">
        <v>0.28454659382805469</v>
      </c>
      <c r="C2285" s="1">
        <v>21</v>
      </c>
      <c r="D2285" s="1">
        <v>548</v>
      </c>
      <c r="E2285" s="2">
        <v>43339</v>
      </c>
      <c r="F2285" s="6">
        <v>34.638841773000365</v>
      </c>
    </row>
    <row r="2286" spans="1:6">
      <c r="A2286" s="1">
        <v>9128152</v>
      </c>
      <c r="B2286" s="1">
        <v>0.6690505384906138</v>
      </c>
      <c r="C2286" s="1">
        <v>20</v>
      </c>
      <c r="D2286" s="1">
        <v>47</v>
      </c>
      <c r="E2286" s="2">
        <v>43270</v>
      </c>
      <c r="F2286" s="6">
        <v>4.9000478729611761</v>
      </c>
    </row>
    <row r="2287" spans="1:6">
      <c r="A2287" s="1">
        <v>9128155</v>
      </c>
      <c r="B2287" s="1">
        <v>0.89242141299070277</v>
      </c>
      <c r="C2287" s="1">
        <v>237</v>
      </c>
      <c r="D2287" s="1">
        <v>197</v>
      </c>
      <c r="E2287" s="2">
        <v>43126</v>
      </c>
      <c r="F2287" s="6">
        <v>90.237663130477202</v>
      </c>
    </row>
    <row r="2288" spans="1:6">
      <c r="A2288" s="1">
        <v>9128158</v>
      </c>
      <c r="B2288" s="1">
        <v>0.97504273513977491</v>
      </c>
      <c r="C2288" s="1">
        <v>6</v>
      </c>
      <c r="D2288" s="1">
        <v>149</v>
      </c>
      <c r="E2288" s="2">
        <v>42905</v>
      </c>
      <c r="F2288" s="6">
        <v>51.386643619162214</v>
      </c>
    </row>
    <row r="2289" spans="1:6">
      <c r="A2289" s="1">
        <v>9128161</v>
      </c>
      <c r="B2289" s="1">
        <v>0.37277113056929545</v>
      </c>
      <c r="C2289" s="1">
        <v>83</v>
      </c>
      <c r="D2289" s="1">
        <v>495</v>
      </c>
      <c r="E2289" s="2">
        <v>42920</v>
      </c>
      <c r="F2289" s="6">
        <v>82.717845994723746</v>
      </c>
    </row>
    <row r="2290" spans="1:6">
      <c r="A2290" s="1">
        <v>9128164</v>
      </c>
      <c r="B2290" s="1">
        <v>0.29093839343887984</v>
      </c>
      <c r="C2290" s="1">
        <v>2</v>
      </c>
      <c r="D2290" s="1">
        <v>495</v>
      </c>
      <c r="E2290" s="2">
        <v>43194</v>
      </c>
      <c r="F2290" s="6">
        <v>102.16918879648884</v>
      </c>
    </row>
    <row r="2291" spans="1:6">
      <c r="A2291" s="1">
        <v>9128167</v>
      </c>
      <c r="B2291" s="1">
        <v>0.39805244394450401</v>
      </c>
      <c r="C2291" s="1">
        <v>162</v>
      </c>
      <c r="D2291" s="1">
        <v>258</v>
      </c>
      <c r="E2291" s="2">
        <v>43377</v>
      </c>
      <c r="F2291" s="6">
        <v>21.530196635134555</v>
      </c>
    </row>
    <row r="2292" spans="1:6">
      <c r="A2292" s="1">
        <v>9128170</v>
      </c>
      <c r="B2292" s="1">
        <v>1.5008120008693893E-2</v>
      </c>
      <c r="C2292" s="1">
        <v>4</v>
      </c>
      <c r="D2292" s="1">
        <v>102</v>
      </c>
      <c r="E2292" s="2">
        <v>43416</v>
      </c>
      <c r="F2292" s="6">
        <v>17.574941909197253</v>
      </c>
    </row>
    <row r="2293" spans="1:6">
      <c r="A2293" s="1">
        <v>9128173</v>
      </c>
      <c r="B2293" s="1">
        <v>0.96013148413965721</v>
      </c>
      <c r="C2293" s="1">
        <v>3</v>
      </c>
      <c r="D2293" s="1">
        <v>103</v>
      </c>
      <c r="E2293" s="2">
        <v>43036</v>
      </c>
      <c r="F2293" s="6">
        <v>5.4357289442311929</v>
      </c>
    </row>
    <row r="2294" spans="1:6">
      <c r="A2294" s="1">
        <v>9128176</v>
      </c>
      <c r="B2294" s="1">
        <v>0.40836609971086479</v>
      </c>
      <c r="C2294" s="1">
        <v>70</v>
      </c>
      <c r="D2294" s="1">
        <v>186</v>
      </c>
      <c r="E2294" s="2">
        <v>43293</v>
      </c>
      <c r="F2294" s="6">
        <v>47.472051460591224</v>
      </c>
    </row>
    <row r="2295" spans="1:6">
      <c r="A2295" s="1">
        <v>9128179</v>
      </c>
      <c r="B2295" s="1">
        <v>0.69997837743362123</v>
      </c>
      <c r="C2295" s="1">
        <v>375</v>
      </c>
      <c r="D2295" s="1">
        <v>326</v>
      </c>
      <c r="E2295" s="2">
        <v>42859</v>
      </c>
      <c r="F2295" s="6">
        <v>41.263187061151719</v>
      </c>
    </row>
    <row r="2296" spans="1:6">
      <c r="A2296" s="1">
        <v>9128182</v>
      </c>
      <c r="B2296" s="1">
        <v>0.40133222590866557</v>
      </c>
      <c r="C2296" s="1">
        <v>99</v>
      </c>
      <c r="D2296" s="1">
        <v>462</v>
      </c>
      <c r="E2296" s="2">
        <v>43384</v>
      </c>
      <c r="F2296" s="6">
        <v>4.3651616790258831</v>
      </c>
    </row>
    <row r="2297" spans="1:6">
      <c r="A2297" s="1">
        <v>9128185</v>
      </c>
      <c r="B2297" s="1">
        <v>0.52169724340362889</v>
      </c>
      <c r="C2297" s="1">
        <v>45</v>
      </c>
      <c r="D2297" s="1">
        <v>356</v>
      </c>
      <c r="E2297" s="2">
        <v>43314</v>
      </c>
      <c r="F2297" s="6">
        <v>60.414063038256138</v>
      </c>
    </row>
    <row r="2298" spans="1:6">
      <c r="A2298" s="1">
        <v>9128188</v>
      </c>
      <c r="B2298" s="1">
        <v>0.21389811817182336</v>
      </c>
      <c r="C2298" s="1">
        <v>111</v>
      </c>
      <c r="D2298" s="1">
        <v>548</v>
      </c>
      <c r="E2298" s="2">
        <v>43463</v>
      </c>
      <c r="F2298" s="6">
        <v>18.540270820437321</v>
      </c>
    </row>
    <row r="2299" spans="1:6">
      <c r="A2299" s="1">
        <v>9128191</v>
      </c>
      <c r="B2299" s="1">
        <v>0.81167638759869853</v>
      </c>
      <c r="C2299" s="1">
        <v>17</v>
      </c>
      <c r="D2299" s="1">
        <v>79</v>
      </c>
      <c r="E2299" s="2">
        <v>42972</v>
      </c>
      <c r="F2299" s="6">
        <v>448.02216076422417</v>
      </c>
    </row>
    <row r="2300" spans="1:6">
      <c r="A2300" s="1">
        <v>9128194</v>
      </c>
      <c r="B2300" s="1">
        <v>0.37222352794973557</v>
      </c>
      <c r="C2300" s="1">
        <v>16</v>
      </c>
      <c r="D2300" s="1">
        <v>359</v>
      </c>
      <c r="E2300" s="2">
        <v>42929</v>
      </c>
      <c r="F2300" s="6">
        <v>41.757544468475487</v>
      </c>
    </row>
    <row r="2301" spans="1:6">
      <c r="A2301" s="1">
        <v>9128197</v>
      </c>
      <c r="B2301" s="1">
        <v>0.80861442639317549</v>
      </c>
      <c r="C2301" s="1">
        <v>126</v>
      </c>
      <c r="D2301" s="1">
        <v>493</v>
      </c>
      <c r="E2301" s="2">
        <v>42926</v>
      </c>
      <c r="F2301" s="6">
        <v>8.2534983084508937</v>
      </c>
    </row>
    <row r="2302" spans="1:6">
      <c r="A2302" s="1">
        <v>9128200</v>
      </c>
      <c r="B2302" s="1">
        <v>0.60366939843350242</v>
      </c>
      <c r="C2302" s="1">
        <v>43</v>
      </c>
      <c r="D2302" s="1">
        <v>510</v>
      </c>
      <c r="E2302" s="2">
        <v>42864</v>
      </c>
      <c r="F2302" s="6">
        <v>66.393168936298494</v>
      </c>
    </row>
    <row r="2303" spans="1:6">
      <c r="A2303" s="1">
        <v>9128203</v>
      </c>
      <c r="B2303" s="1">
        <v>0.20865250094170706</v>
      </c>
      <c r="C2303" s="1">
        <v>41</v>
      </c>
      <c r="D2303" s="1">
        <v>377</v>
      </c>
      <c r="E2303" s="2">
        <v>43148</v>
      </c>
      <c r="F2303" s="6">
        <v>27.432733414006361</v>
      </c>
    </row>
    <row r="2304" spans="1:6">
      <c r="A2304" s="1">
        <v>9128206</v>
      </c>
      <c r="B2304" s="1">
        <v>0.46923127789995178</v>
      </c>
      <c r="C2304" s="1">
        <v>4</v>
      </c>
      <c r="D2304" s="1">
        <v>573</v>
      </c>
      <c r="E2304" s="2">
        <v>43135</v>
      </c>
      <c r="F2304" s="6">
        <v>7.2546384643428983</v>
      </c>
    </row>
    <row r="2305" spans="1:6">
      <c r="A2305" s="1">
        <v>9128209</v>
      </c>
      <c r="B2305" s="1">
        <v>0.43626645062240554</v>
      </c>
      <c r="C2305" s="1">
        <v>71</v>
      </c>
      <c r="D2305" s="1">
        <v>182</v>
      </c>
      <c r="E2305" s="2">
        <v>42870</v>
      </c>
      <c r="F2305" s="6">
        <v>372.15817775592745</v>
      </c>
    </row>
    <row r="2306" spans="1:6">
      <c r="A2306" s="1">
        <v>9128212</v>
      </c>
      <c r="B2306" s="1">
        <v>0.24256603162155665</v>
      </c>
      <c r="C2306" s="1">
        <v>109</v>
      </c>
      <c r="D2306" s="1">
        <v>90</v>
      </c>
      <c r="E2306" s="2">
        <v>43216</v>
      </c>
      <c r="F2306" s="6">
        <v>63.651003857590013</v>
      </c>
    </row>
    <row r="2307" spans="1:6">
      <c r="A2307" s="1">
        <v>9128215</v>
      </c>
      <c r="B2307" s="1">
        <v>1.4938162424080859E-2</v>
      </c>
      <c r="C2307" s="1">
        <v>165</v>
      </c>
      <c r="D2307" s="1">
        <v>512</v>
      </c>
      <c r="E2307" s="2">
        <v>43123</v>
      </c>
      <c r="F2307" s="6">
        <v>212.37377421138029</v>
      </c>
    </row>
    <row r="2308" spans="1:6">
      <c r="A2308" s="1">
        <v>9128218</v>
      </c>
      <c r="B2308" s="1">
        <v>0.35061347905206497</v>
      </c>
      <c r="C2308" s="1">
        <v>9</v>
      </c>
      <c r="D2308" s="1">
        <v>597</v>
      </c>
      <c r="E2308" s="2">
        <v>42768</v>
      </c>
      <c r="F2308" s="6">
        <v>231.90882163920497</v>
      </c>
    </row>
    <row r="2309" spans="1:6">
      <c r="A2309" s="1">
        <v>9128221</v>
      </c>
      <c r="B2309" s="1">
        <v>0.26444531982727582</v>
      </c>
      <c r="C2309" s="1">
        <v>28</v>
      </c>
      <c r="D2309" s="1">
        <v>334</v>
      </c>
      <c r="E2309" s="2">
        <v>43025</v>
      </c>
      <c r="F2309" s="6">
        <v>402.54496883583829</v>
      </c>
    </row>
    <row r="2310" spans="1:6">
      <c r="A2310" s="1">
        <v>9128224</v>
      </c>
      <c r="B2310" s="1">
        <v>8.5085430995705202E-2</v>
      </c>
      <c r="C2310" s="1">
        <v>28</v>
      </c>
      <c r="D2310" s="1">
        <v>438</v>
      </c>
      <c r="E2310" s="2">
        <v>42736</v>
      </c>
      <c r="F2310" s="6">
        <v>227.29600867989069</v>
      </c>
    </row>
    <row r="2311" spans="1:6">
      <c r="A2311" s="1">
        <v>9128227</v>
      </c>
      <c r="B2311" s="1">
        <v>2.1013251981635728E-2</v>
      </c>
      <c r="C2311" s="1">
        <v>53</v>
      </c>
      <c r="D2311" s="1">
        <v>495</v>
      </c>
      <c r="E2311" s="2">
        <v>43246</v>
      </c>
      <c r="F2311" s="6">
        <v>45.177315649023697</v>
      </c>
    </row>
    <row r="2312" spans="1:6">
      <c r="A2312" s="1">
        <v>9128230</v>
      </c>
      <c r="B2312" s="1">
        <v>0.89999102117365615</v>
      </c>
      <c r="C2312" s="1">
        <v>97</v>
      </c>
      <c r="D2312" s="1">
        <v>22</v>
      </c>
      <c r="E2312" s="2">
        <v>43489</v>
      </c>
      <c r="F2312" s="6">
        <v>4.2499436180714394</v>
      </c>
    </row>
    <row r="2313" spans="1:6">
      <c r="A2313" s="1">
        <v>9128233</v>
      </c>
      <c r="B2313" s="1">
        <v>0.67931200632534483</v>
      </c>
      <c r="C2313" s="1">
        <v>11</v>
      </c>
      <c r="D2313" s="1">
        <v>176</v>
      </c>
      <c r="E2313" s="2">
        <v>42852</v>
      </c>
      <c r="F2313" s="6">
        <v>92.340163660285754</v>
      </c>
    </row>
    <row r="2314" spans="1:6">
      <c r="A2314" s="1">
        <v>9128236</v>
      </c>
      <c r="B2314" s="1">
        <v>0.94927621466206957</v>
      </c>
      <c r="C2314" s="1">
        <v>39</v>
      </c>
      <c r="D2314" s="1">
        <v>431</v>
      </c>
      <c r="E2314" s="2">
        <v>43415</v>
      </c>
      <c r="F2314" s="6">
        <v>5.7677501953219963</v>
      </c>
    </row>
    <row r="2315" spans="1:6">
      <c r="A2315" s="1">
        <v>9128239</v>
      </c>
      <c r="B2315" s="1">
        <v>0.53587057387248127</v>
      </c>
      <c r="C2315" s="1">
        <v>13</v>
      </c>
      <c r="D2315" s="1">
        <v>495</v>
      </c>
      <c r="E2315" s="2">
        <v>42887</v>
      </c>
      <c r="F2315" s="6">
        <v>76.710525097277497</v>
      </c>
    </row>
    <row r="2316" spans="1:6">
      <c r="A2316" s="1">
        <v>9128242</v>
      </c>
      <c r="B2316" s="1">
        <v>0.61158751297743763</v>
      </c>
      <c r="C2316" s="1">
        <v>3</v>
      </c>
      <c r="D2316" s="1">
        <v>176</v>
      </c>
      <c r="E2316" s="2">
        <v>43177</v>
      </c>
      <c r="F2316" s="6">
        <v>8.5158678436463688</v>
      </c>
    </row>
    <row r="2317" spans="1:6">
      <c r="A2317" s="1">
        <v>9128245</v>
      </c>
      <c r="B2317" s="1">
        <v>0.60233168222601918</v>
      </c>
      <c r="C2317" s="1">
        <v>39</v>
      </c>
      <c r="D2317" s="1">
        <v>510</v>
      </c>
      <c r="E2317" s="2">
        <v>42817</v>
      </c>
      <c r="F2317" s="6">
        <v>28.696703887814532</v>
      </c>
    </row>
    <row r="2318" spans="1:6">
      <c r="A2318" s="1">
        <v>9128248</v>
      </c>
      <c r="B2318" s="1">
        <v>0.56573010400963675</v>
      </c>
      <c r="C2318" s="1">
        <v>16</v>
      </c>
      <c r="D2318" s="1">
        <v>404</v>
      </c>
      <c r="E2318" s="2">
        <v>42780</v>
      </c>
      <c r="F2318" s="6">
        <v>20.423559148482411</v>
      </c>
    </row>
    <row r="2319" spans="1:6">
      <c r="A2319" s="1">
        <v>9128251</v>
      </c>
      <c r="B2319" s="1">
        <v>0.32594928303461967</v>
      </c>
      <c r="C2319" s="1">
        <v>27</v>
      </c>
      <c r="D2319" s="1">
        <v>510</v>
      </c>
      <c r="E2319" s="2">
        <v>43128</v>
      </c>
      <c r="F2319" s="6">
        <v>64.525520173808246</v>
      </c>
    </row>
    <row r="2320" spans="1:6">
      <c r="A2320" s="1">
        <v>9128254</v>
      </c>
      <c r="B2320" s="1">
        <v>0.98233873796565707</v>
      </c>
      <c r="C2320" s="1">
        <v>13</v>
      </c>
      <c r="D2320" s="1">
        <v>149</v>
      </c>
      <c r="E2320" s="2">
        <v>43217</v>
      </c>
      <c r="F2320" s="6">
        <v>149.14698195141065</v>
      </c>
    </row>
    <row r="2321" spans="1:6">
      <c r="A2321" s="1">
        <v>9128257</v>
      </c>
      <c r="B2321" s="1">
        <v>8.2505847565764401E-2</v>
      </c>
      <c r="C2321" s="1">
        <v>12</v>
      </c>
      <c r="D2321" s="1">
        <v>356</v>
      </c>
      <c r="E2321" s="2">
        <v>43293</v>
      </c>
      <c r="F2321" s="6">
        <v>6.5017499300854684</v>
      </c>
    </row>
    <row r="2322" spans="1:6">
      <c r="A2322" s="1">
        <v>9128260</v>
      </c>
      <c r="B2322" s="1">
        <v>0.72039587563549889</v>
      </c>
      <c r="C2322" s="1">
        <v>58</v>
      </c>
      <c r="D2322" s="1">
        <v>258</v>
      </c>
      <c r="E2322" s="2">
        <v>43182</v>
      </c>
      <c r="F2322" s="6">
        <v>57.464209203205428</v>
      </c>
    </row>
    <row r="2323" spans="1:6">
      <c r="A2323" s="1">
        <v>9128263</v>
      </c>
      <c r="B2323" s="1">
        <v>0.83814831056269534</v>
      </c>
      <c r="C2323" s="1">
        <v>29</v>
      </c>
      <c r="D2323" s="1">
        <v>526</v>
      </c>
      <c r="E2323" s="2">
        <v>43292</v>
      </c>
      <c r="F2323" s="6">
        <v>57.391667709970847</v>
      </c>
    </row>
    <row r="2324" spans="1:6">
      <c r="A2324" s="1">
        <v>9128266</v>
      </c>
      <c r="B2324" s="1">
        <v>0.24229161918707987</v>
      </c>
      <c r="C2324" s="1">
        <v>4</v>
      </c>
      <c r="D2324" s="1">
        <v>197</v>
      </c>
      <c r="E2324" s="2">
        <v>43025</v>
      </c>
      <c r="F2324" s="6">
        <v>106.56423152420042</v>
      </c>
    </row>
    <row r="2325" spans="1:6">
      <c r="A2325" s="1">
        <v>9128269</v>
      </c>
      <c r="B2325" s="1">
        <v>0.83061407687907751</v>
      </c>
      <c r="C2325" s="1">
        <v>15</v>
      </c>
      <c r="D2325" s="1">
        <v>541</v>
      </c>
      <c r="E2325" s="2">
        <v>43291</v>
      </c>
      <c r="F2325" s="6">
        <v>70.549909844566585</v>
      </c>
    </row>
    <row r="2326" spans="1:6">
      <c r="A2326" s="1">
        <v>9128272</v>
      </c>
      <c r="B2326" s="1">
        <v>0.98606783601642822</v>
      </c>
      <c r="C2326" s="1">
        <v>13</v>
      </c>
      <c r="D2326" s="1">
        <v>176</v>
      </c>
      <c r="E2326" s="2">
        <v>43383</v>
      </c>
      <c r="F2326" s="6">
        <v>34.566592277249413</v>
      </c>
    </row>
    <row r="2327" spans="1:6">
      <c r="A2327" s="1">
        <v>9128275</v>
      </c>
      <c r="B2327" s="1">
        <v>4.3383626910627138E-2</v>
      </c>
      <c r="C2327" s="1">
        <v>28</v>
      </c>
      <c r="D2327" s="1">
        <v>551</v>
      </c>
      <c r="E2327" s="2">
        <v>43153</v>
      </c>
      <c r="F2327" s="6">
        <v>16.590057676120299</v>
      </c>
    </row>
    <row r="2328" spans="1:6">
      <c r="A2328" s="1">
        <v>9128278</v>
      </c>
      <c r="B2328" s="1">
        <v>0.33347693515211274</v>
      </c>
      <c r="C2328" s="1">
        <v>1</v>
      </c>
      <c r="D2328" s="1">
        <v>509</v>
      </c>
      <c r="E2328" s="2">
        <v>42994</v>
      </c>
      <c r="F2328" s="6">
        <v>3.3955002742304647</v>
      </c>
    </row>
    <row r="2329" spans="1:6">
      <c r="A2329" s="1">
        <v>9128281</v>
      </c>
      <c r="B2329" s="1">
        <v>0.16694545225488622</v>
      </c>
      <c r="C2329" s="1">
        <v>8</v>
      </c>
      <c r="D2329" s="1">
        <v>509</v>
      </c>
      <c r="E2329" s="2">
        <v>43445</v>
      </c>
      <c r="F2329" s="6">
        <v>44.429169622308329</v>
      </c>
    </row>
    <row r="2330" spans="1:6">
      <c r="A2330" s="1">
        <v>9128284</v>
      </c>
      <c r="B2330" s="1">
        <v>6.3676976219486647E-2</v>
      </c>
      <c r="C2330" s="1">
        <v>4</v>
      </c>
      <c r="D2330" s="1">
        <v>22</v>
      </c>
      <c r="E2330" s="2">
        <v>43362</v>
      </c>
      <c r="F2330" s="6">
        <v>294.09042243101129</v>
      </c>
    </row>
    <row r="2331" spans="1:6">
      <c r="A2331" s="1">
        <v>9128287</v>
      </c>
      <c r="B2331" s="1">
        <v>0.93239298278640226</v>
      </c>
      <c r="C2331" s="1">
        <v>76</v>
      </c>
      <c r="D2331" s="1">
        <v>197</v>
      </c>
      <c r="E2331" s="2">
        <v>42776</v>
      </c>
      <c r="F2331" s="6">
        <v>3.2220079720008381</v>
      </c>
    </row>
    <row r="2332" spans="1:6">
      <c r="A2332" s="1">
        <v>9128290</v>
      </c>
      <c r="B2332" s="1">
        <v>0.90170109769971529</v>
      </c>
      <c r="C2332" s="1">
        <v>205</v>
      </c>
      <c r="D2332" s="1">
        <v>597</v>
      </c>
      <c r="E2332" s="2">
        <v>42888</v>
      </c>
      <c r="F2332" s="6">
        <v>3.1294166831538899</v>
      </c>
    </row>
    <row r="2333" spans="1:6">
      <c r="A2333" s="1">
        <v>9128293</v>
      </c>
      <c r="B2333" s="1">
        <v>6.2708640847038755E-2</v>
      </c>
      <c r="C2333" s="1">
        <v>32</v>
      </c>
      <c r="D2333" s="1">
        <v>167</v>
      </c>
      <c r="E2333" s="2">
        <v>42843</v>
      </c>
      <c r="F2333" s="6">
        <v>5.4152201416450811</v>
      </c>
    </row>
    <row r="2334" spans="1:6">
      <c r="A2334" s="1">
        <v>9128296</v>
      </c>
      <c r="B2334" s="1">
        <v>0.14197531798322072</v>
      </c>
      <c r="C2334" s="1">
        <v>37</v>
      </c>
      <c r="D2334" s="1">
        <v>451</v>
      </c>
      <c r="E2334" s="2">
        <v>42748</v>
      </c>
      <c r="F2334" s="6">
        <v>4.7504853427292648</v>
      </c>
    </row>
    <row r="2335" spans="1:6">
      <c r="A2335" s="1">
        <v>9128299</v>
      </c>
      <c r="B2335" s="1">
        <v>0.14564193712772999</v>
      </c>
      <c r="C2335" s="1">
        <v>6</v>
      </c>
      <c r="D2335" s="1">
        <v>365</v>
      </c>
      <c r="E2335" s="2">
        <v>43461</v>
      </c>
      <c r="F2335" s="6">
        <v>99.090450261521426</v>
      </c>
    </row>
    <row r="2336" spans="1:6">
      <c r="A2336" s="1">
        <v>9128302</v>
      </c>
      <c r="B2336" s="1">
        <v>0.33873410402385018</v>
      </c>
      <c r="C2336" s="1">
        <v>4</v>
      </c>
      <c r="D2336" s="1">
        <v>38</v>
      </c>
      <c r="E2336" s="2">
        <v>42886</v>
      </c>
      <c r="F2336" s="6">
        <v>78.927465889126282</v>
      </c>
    </row>
    <row r="2337" spans="1:6">
      <c r="A2337" s="1">
        <v>9128305</v>
      </c>
      <c r="B2337" s="1">
        <v>0.17780622029713011</v>
      </c>
      <c r="C2337" s="1">
        <v>70</v>
      </c>
      <c r="D2337" s="1">
        <v>544</v>
      </c>
      <c r="E2337" s="2">
        <v>42828</v>
      </c>
      <c r="F2337" s="6">
        <v>35.345203558228981</v>
      </c>
    </row>
    <row r="2338" spans="1:6">
      <c r="A2338" s="1">
        <v>9128308</v>
      </c>
      <c r="B2338" s="1">
        <v>0.28886467907891322</v>
      </c>
      <c r="C2338" s="1">
        <v>120</v>
      </c>
      <c r="D2338" s="1">
        <v>420</v>
      </c>
      <c r="E2338" s="2">
        <v>43177</v>
      </c>
      <c r="F2338" s="6">
        <v>223.81774254498745</v>
      </c>
    </row>
    <row r="2339" spans="1:6">
      <c r="A2339" s="1">
        <v>9128311</v>
      </c>
      <c r="B2339" s="1">
        <v>0.94421576007674513</v>
      </c>
      <c r="C2339" s="1">
        <v>15</v>
      </c>
      <c r="D2339" s="1">
        <v>176</v>
      </c>
      <c r="E2339" s="2">
        <v>42853</v>
      </c>
      <c r="F2339" s="6">
        <v>563.63610840710055</v>
      </c>
    </row>
    <row r="2340" spans="1:6">
      <c r="A2340" s="1">
        <v>9128314</v>
      </c>
      <c r="B2340" s="1">
        <v>0.38806982104165832</v>
      </c>
      <c r="C2340" s="1">
        <v>18</v>
      </c>
      <c r="D2340" s="1">
        <v>176</v>
      </c>
      <c r="E2340" s="2">
        <v>43358</v>
      </c>
      <c r="F2340" s="6">
        <v>10.179528616274172</v>
      </c>
    </row>
    <row r="2341" spans="1:6">
      <c r="A2341" s="1">
        <v>9128317</v>
      </c>
      <c r="B2341" s="1">
        <v>0.75780577839702912</v>
      </c>
      <c r="C2341" s="1">
        <v>1</v>
      </c>
      <c r="D2341" s="1">
        <v>228</v>
      </c>
      <c r="E2341" s="2">
        <v>42880</v>
      </c>
      <c r="F2341" s="6">
        <v>24.782927685067083</v>
      </c>
    </row>
    <row r="2342" spans="1:6">
      <c r="A2342" s="1">
        <v>9128320</v>
      </c>
      <c r="B2342" s="1">
        <v>0.11650184756375204</v>
      </c>
      <c r="C2342" s="1">
        <v>75</v>
      </c>
      <c r="D2342" s="1">
        <v>592</v>
      </c>
      <c r="E2342" s="2">
        <v>43236</v>
      </c>
      <c r="F2342" s="6">
        <v>113.64273276796483</v>
      </c>
    </row>
    <row r="2343" spans="1:6">
      <c r="A2343" s="1">
        <v>9128323</v>
      </c>
      <c r="B2343" s="1">
        <v>0.83981094734109296</v>
      </c>
      <c r="C2343" s="1">
        <v>56</v>
      </c>
      <c r="D2343" s="1">
        <v>359</v>
      </c>
      <c r="E2343" s="2">
        <v>43457</v>
      </c>
      <c r="F2343" s="6">
        <v>7.814301821320079</v>
      </c>
    </row>
    <row r="2344" spans="1:6">
      <c r="A2344" s="1">
        <v>9128326</v>
      </c>
      <c r="B2344" s="1">
        <v>0.38503917319310366</v>
      </c>
      <c r="C2344" s="1">
        <v>12</v>
      </c>
      <c r="D2344" s="1">
        <v>510</v>
      </c>
      <c r="E2344" s="2">
        <v>42887</v>
      </c>
      <c r="F2344" s="6">
        <v>21.82681294345058</v>
      </c>
    </row>
    <row r="2345" spans="1:6">
      <c r="A2345" s="1">
        <v>9128329</v>
      </c>
      <c r="B2345" s="1">
        <v>0.30764658094509634</v>
      </c>
      <c r="C2345" s="1">
        <v>5</v>
      </c>
      <c r="D2345" s="1">
        <v>211</v>
      </c>
      <c r="E2345" s="2">
        <v>42818</v>
      </c>
      <c r="F2345" s="6">
        <v>582.81880771632643</v>
      </c>
    </row>
    <row r="2346" spans="1:6">
      <c r="A2346" s="1">
        <v>9128332</v>
      </c>
      <c r="B2346" s="1">
        <v>0.73074808967320637</v>
      </c>
      <c r="C2346" s="1">
        <v>28</v>
      </c>
      <c r="D2346" s="1">
        <v>485</v>
      </c>
      <c r="E2346" s="2">
        <v>43019</v>
      </c>
      <c r="F2346" s="6">
        <v>78.825408396992856</v>
      </c>
    </row>
    <row r="2347" spans="1:6">
      <c r="A2347" s="1">
        <v>9128335</v>
      </c>
      <c r="B2347" s="1">
        <v>0.63203191781280121</v>
      </c>
      <c r="C2347" s="1">
        <v>23</v>
      </c>
      <c r="D2347" s="1">
        <v>487</v>
      </c>
      <c r="E2347" s="2">
        <v>43141</v>
      </c>
      <c r="F2347" s="6">
        <v>33.750583754398903</v>
      </c>
    </row>
    <row r="2348" spans="1:6">
      <c r="A2348" s="1">
        <v>9128338</v>
      </c>
      <c r="B2348" s="1">
        <v>0.52101603711479183</v>
      </c>
      <c r="C2348" s="1">
        <v>50</v>
      </c>
      <c r="D2348" s="1">
        <v>570</v>
      </c>
      <c r="E2348" s="2">
        <v>43479</v>
      </c>
      <c r="F2348" s="6">
        <v>21.620371451794181</v>
      </c>
    </row>
    <row r="2349" spans="1:6">
      <c r="A2349" s="1">
        <v>9128341</v>
      </c>
      <c r="B2349" s="1">
        <v>0.18002956053952668</v>
      </c>
      <c r="C2349" s="1">
        <v>3</v>
      </c>
      <c r="D2349" s="1">
        <v>510</v>
      </c>
      <c r="E2349" s="2">
        <v>43412</v>
      </c>
      <c r="F2349" s="6">
        <v>85.343696681044221</v>
      </c>
    </row>
    <row r="2350" spans="1:6">
      <c r="A2350" s="1">
        <v>9128344</v>
      </c>
      <c r="B2350" s="1">
        <v>0.76696347082309269</v>
      </c>
      <c r="C2350" s="1">
        <v>94</v>
      </c>
      <c r="D2350" s="1">
        <v>126</v>
      </c>
      <c r="E2350" s="2">
        <v>43245</v>
      </c>
      <c r="F2350" s="6">
        <v>176.66788889664033</v>
      </c>
    </row>
    <row r="2351" spans="1:6">
      <c r="A2351" s="1">
        <v>9128347</v>
      </c>
      <c r="B2351" s="1">
        <v>0.93267464073825546</v>
      </c>
      <c r="C2351" s="1">
        <v>31</v>
      </c>
      <c r="D2351" s="1">
        <v>495</v>
      </c>
      <c r="E2351" s="2">
        <v>43017</v>
      </c>
      <c r="F2351" s="6">
        <v>42.82586364903122</v>
      </c>
    </row>
    <row r="2352" spans="1:6">
      <c r="A2352" s="1">
        <v>9128350</v>
      </c>
      <c r="B2352" s="1">
        <v>0.10725836683127632</v>
      </c>
      <c r="C2352" s="1">
        <v>185</v>
      </c>
      <c r="D2352" s="1">
        <v>176</v>
      </c>
      <c r="E2352" s="2">
        <v>43027</v>
      </c>
      <c r="F2352" s="6">
        <v>6.6651134818525257</v>
      </c>
    </row>
    <row r="2353" spans="1:6">
      <c r="A2353" s="1">
        <v>9128353</v>
      </c>
      <c r="B2353" s="1">
        <v>0.2908978301780224</v>
      </c>
      <c r="C2353" s="1">
        <v>6</v>
      </c>
      <c r="D2353" s="1">
        <v>510</v>
      </c>
      <c r="E2353" s="2">
        <v>43201</v>
      </c>
      <c r="F2353" s="6">
        <v>24.325802302443385</v>
      </c>
    </row>
    <row r="2354" spans="1:6">
      <c r="A2354" s="1">
        <v>9128356</v>
      </c>
      <c r="B2354" s="1">
        <v>0.50197167464340964</v>
      </c>
      <c r="C2354" s="1">
        <v>1</v>
      </c>
      <c r="D2354" s="1">
        <v>258</v>
      </c>
      <c r="E2354" s="2">
        <v>42878</v>
      </c>
      <c r="F2354" s="6">
        <v>10.568225598840737</v>
      </c>
    </row>
    <row r="2355" spans="1:6">
      <c r="A2355" s="1">
        <v>9128359</v>
      </c>
      <c r="B2355" s="1">
        <v>0.70461938415910685</v>
      </c>
      <c r="C2355" s="1">
        <v>9</v>
      </c>
      <c r="D2355" s="1">
        <v>546</v>
      </c>
      <c r="E2355" s="2">
        <v>43110</v>
      </c>
      <c r="F2355" s="6">
        <v>78.488952091355927</v>
      </c>
    </row>
    <row r="2356" spans="1:6">
      <c r="A2356" s="1">
        <v>9128362</v>
      </c>
      <c r="B2356" s="1">
        <v>0.20365251551205177</v>
      </c>
      <c r="C2356" s="1">
        <v>9</v>
      </c>
      <c r="D2356" s="1">
        <v>231</v>
      </c>
      <c r="E2356" s="2">
        <v>43329</v>
      </c>
      <c r="F2356" s="6">
        <v>19.207722430545175</v>
      </c>
    </row>
    <row r="2357" spans="1:6">
      <c r="A2357" s="1">
        <v>9128365</v>
      </c>
      <c r="B2357" s="1">
        <v>0.81877730523151881</v>
      </c>
      <c r="C2357" s="1">
        <v>53</v>
      </c>
      <c r="D2357" s="1">
        <v>510</v>
      </c>
      <c r="E2357" s="2">
        <v>43393</v>
      </c>
      <c r="F2357" s="6">
        <v>50.681243996574416</v>
      </c>
    </row>
    <row r="2358" spans="1:6">
      <c r="A2358" s="1">
        <v>9128368</v>
      </c>
      <c r="B2358" s="1">
        <v>0.42220099471754646</v>
      </c>
      <c r="C2358" s="1">
        <v>3</v>
      </c>
      <c r="D2358" s="1">
        <v>139</v>
      </c>
      <c r="E2358" s="2">
        <v>43311</v>
      </c>
      <c r="F2358" s="6">
        <v>126.68830866864285</v>
      </c>
    </row>
    <row r="2359" spans="1:6">
      <c r="A2359" s="1">
        <v>9128371</v>
      </c>
      <c r="B2359" s="1">
        <v>0.48616883291907642</v>
      </c>
      <c r="C2359" s="1">
        <v>41</v>
      </c>
      <c r="D2359" s="1">
        <v>216</v>
      </c>
      <c r="E2359" s="2">
        <v>43434</v>
      </c>
      <c r="F2359" s="6">
        <v>18.638567243798775</v>
      </c>
    </row>
    <row r="2360" spans="1:6">
      <c r="A2360" s="1">
        <v>9128374</v>
      </c>
      <c r="B2360" s="1">
        <v>0.26133877109651438</v>
      </c>
      <c r="C2360" s="1">
        <v>6</v>
      </c>
      <c r="D2360" s="1">
        <v>510</v>
      </c>
      <c r="E2360" s="2">
        <v>43018</v>
      </c>
      <c r="F2360" s="6">
        <v>179.03247409278706</v>
      </c>
    </row>
    <row r="2361" spans="1:6">
      <c r="A2361" s="1">
        <v>9128377</v>
      </c>
      <c r="B2361" s="1">
        <v>6.6912592875609023E-2</v>
      </c>
      <c r="C2361" s="1">
        <v>20</v>
      </c>
      <c r="D2361" s="1">
        <v>393</v>
      </c>
      <c r="E2361" s="2">
        <v>43389</v>
      </c>
      <c r="F2361" s="6">
        <v>10.214032105443495</v>
      </c>
    </row>
    <row r="2362" spans="1:6">
      <c r="A2362" s="1">
        <v>9128380</v>
      </c>
      <c r="B2362" s="1">
        <v>2.1049376916335572E-3</v>
      </c>
      <c r="C2362" s="1">
        <v>12</v>
      </c>
      <c r="D2362" s="1">
        <v>510</v>
      </c>
      <c r="E2362" s="2">
        <v>43437</v>
      </c>
      <c r="F2362" s="6">
        <v>87.678959743123883</v>
      </c>
    </row>
    <row r="2363" spans="1:6">
      <c r="A2363" s="1">
        <v>9128383</v>
      </c>
      <c r="B2363" s="1">
        <v>0.64109475671989946</v>
      </c>
      <c r="C2363" s="1">
        <v>6</v>
      </c>
      <c r="D2363" s="1">
        <v>175</v>
      </c>
      <c r="E2363" s="2">
        <v>43212</v>
      </c>
      <c r="F2363" s="6">
        <v>162.41365955518475</v>
      </c>
    </row>
    <row r="2364" spans="1:6">
      <c r="A2364" s="1">
        <v>9128386</v>
      </c>
      <c r="B2364" s="1">
        <v>0.1751788201293959</v>
      </c>
      <c r="C2364" s="1">
        <v>152</v>
      </c>
      <c r="D2364" s="1">
        <v>178</v>
      </c>
      <c r="E2364" s="2">
        <v>42908</v>
      </c>
      <c r="F2364" s="6">
        <v>48.036509461756594</v>
      </c>
    </row>
    <row r="2365" spans="1:6">
      <c r="A2365" s="1">
        <v>9128389</v>
      </c>
      <c r="B2365" s="1">
        <v>0.2006569785690504</v>
      </c>
      <c r="C2365" s="1">
        <v>76</v>
      </c>
      <c r="D2365" s="1">
        <v>581</v>
      </c>
      <c r="E2365" s="2">
        <v>43405</v>
      </c>
      <c r="F2365" s="6">
        <v>13.639727760840895</v>
      </c>
    </row>
    <row r="2366" spans="1:6">
      <c r="A2366" s="1">
        <v>9128392</v>
      </c>
      <c r="B2366" s="1">
        <v>0.42777345293623692</v>
      </c>
      <c r="C2366" s="1">
        <v>63</v>
      </c>
      <c r="D2366" s="1">
        <v>176</v>
      </c>
      <c r="E2366" s="2">
        <v>43351</v>
      </c>
      <c r="F2366" s="6">
        <v>52.367829147979911</v>
      </c>
    </row>
    <row r="2367" spans="1:6">
      <c r="A2367" s="1">
        <v>9128395</v>
      </c>
      <c r="B2367" s="1">
        <v>0.73375356454265583</v>
      </c>
      <c r="C2367" s="1">
        <v>55</v>
      </c>
      <c r="D2367" s="1">
        <v>220</v>
      </c>
      <c r="E2367" s="2">
        <v>43005</v>
      </c>
      <c r="F2367" s="6">
        <v>13.40101217694216</v>
      </c>
    </row>
    <row r="2368" spans="1:6">
      <c r="A2368" s="1">
        <v>9128398</v>
      </c>
      <c r="B2368" s="1">
        <v>0.39828876725612694</v>
      </c>
      <c r="C2368" s="1">
        <v>1</v>
      </c>
      <c r="D2368" s="1">
        <v>509</v>
      </c>
      <c r="E2368" s="2">
        <v>42797</v>
      </c>
      <c r="F2368" s="6">
        <v>106.92950776775727</v>
      </c>
    </row>
    <row r="2369" spans="1:6">
      <c r="A2369" s="1">
        <v>9128401</v>
      </c>
      <c r="B2369" s="1">
        <v>0.57506186342821508</v>
      </c>
      <c r="C2369" s="1">
        <v>109</v>
      </c>
      <c r="D2369" s="1">
        <v>510</v>
      </c>
      <c r="E2369" s="2">
        <v>43035</v>
      </c>
      <c r="F2369" s="6">
        <v>52.45073789448535</v>
      </c>
    </row>
    <row r="2370" spans="1:6">
      <c r="A2370" s="1">
        <v>9128404</v>
      </c>
      <c r="B2370" s="1">
        <v>2.4957355971462314E-2</v>
      </c>
      <c r="C2370" s="1">
        <v>45</v>
      </c>
      <c r="D2370" s="1">
        <v>326</v>
      </c>
      <c r="E2370" s="2">
        <v>43329</v>
      </c>
      <c r="F2370" s="6">
        <v>43.250147716070671</v>
      </c>
    </row>
    <row r="2371" spans="1:6">
      <c r="A2371" s="1">
        <v>9128407</v>
      </c>
      <c r="B2371" s="1">
        <v>0.64473425739781154</v>
      </c>
      <c r="C2371" s="1">
        <v>6</v>
      </c>
      <c r="D2371" s="1">
        <v>599</v>
      </c>
      <c r="E2371" s="2">
        <v>42744</v>
      </c>
      <c r="F2371" s="6">
        <v>151.98063836849943</v>
      </c>
    </row>
    <row r="2372" spans="1:6">
      <c r="A2372" s="1">
        <v>9128410</v>
      </c>
      <c r="B2372" s="1">
        <v>0.40865731114645532</v>
      </c>
      <c r="C2372" s="1">
        <v>187</v>
      </c>
      <c r="D2372" s="1">
        <v>548</v>
      </c>
      <c r="E2372" s="2">
        <v>42818</v>
      </c>
      <c r="F2372" s="6">
        <v>31.459396928385551</v>
      </c>
    </row>
    <row r="2373" spans="1:6">
      <c r="A2373" s="1">
        <v>9128413</v>
      </c>
      <c r="B2373" s="1">
        <v>0.82391238886177554</v>
      </c>
      <c r="C2373" s="1">
        <v>42</v>
      </c>
      <c r="D2373" s="1">
        <v>22</v>
      </c>
      <c r="E2373" s="2">
        <v>42836</v>
      </c>
      <c r="F2373" s="6">
        <v>74.603479380469778</v>
      </c>
    </row>
    <row r="2374" spans="1:6">
      <c r="A2374" s="1">
        <v>9128416</v>
      </c>
      <c r="B2374" s="1">
        <v>0.38563217117623683</v>
      </c>
      <c r="C2374" s="1">
        <v>4</v>
      </c>
      <c r="D2374" s="1">
        <v>176</v>
      </c>
      <c r="E2374" s="2">
        <v>42760</v>
      </c>
      <c r="F2374" s="6">
        <v>165.15792205549639</v>
      </c>
    </row>
    <row r="2375" spans="1:6">
      <c r="A2375" s="1">
        <v>9128419</v>
      </c>
      <c r="B2375" s="1">
        <v>0.61441879547195033</v>
      </c>
      <c r="C2375" s="1">
        <v>11</v>
      </c>
      <c r="D2375" s="1">
        <v>564</v>
      </c>
      <c r="E2375" s="2">
        <v>42821</v>
      </c>
      <c r="F2375" s="6">
        <v>138.35540749227891</v>
      </c>
    </row>
    <row r="2376" spans="1:6">
      <c r="A2376" s="1">
        <v>9128422</v>
      </c>
      <c r="B2376" s="1">
        <v>0.94699141997542668</v>
      </c>
      <c r="C2376" s="1">
        <v>59</v>
      </c>
      <c r="D2376" s="1">
        <v>597</v>
      </c>
      <c r="E2376" s="2">
        <v>43293</v>
      </c>
      <c r="F2376" s="6">
        <v>44.261960818652206</v>
      </c>
    </row>
    <row r="2377" spans="1:6">
      <c r="A2377" s="1">
        <v>9128425</v>
      </c>
      <c r="B2377" s="1">
        <v>0.12028441943855561</v>
      </c>
      <c r="C2377" s="1">
        <v>7</v>
      </c>
      <c r="D2377" s="1">
        <v>427</v>
      </c>
      <c r="E2377" s="2">
        <v>43227</v>
      </c>
      <c r="F2377" s="6">
        <v>37.326371035751521</v>
      </c>
    </row>
    <row r="2378" spans="1:6">
      <c r="A2378" s="1">
        <v>9128428</v>
      </c>
      <c r="B2378" s="1">
        <v>0.14872146799424923</v>
      </c>
      <c r="C2378" s="1">
        <v>19</v>
      </c>
      <c r="D2378" s="1">
        <v>145</v>
      </c>
      <c r="E2378" s="2">
        <v>43424</v>
      </c>
      <c r="F2378" s="6">
        <v>96.581042860611433</v>
      </c>
    </row>
    <row r="2379" spans="1:6">
      <c r="A2379" s="1">
        <v>9128431</v>
      </c>
      <c r="B2379" s="1">
        <v>0.45437969392573863</v>
      </c>
      <c r="C2379" s="1">
        <v>127</v>
      </c>
      <c r="D2379" s="1">
        <v>343</v>
      </c>
      <c r="E2379" s="2">
        <v>43344</v>
      </c>
      <c r="F2379" s="6">
        <v>38.504113044019526</v>
      </c>
    </row>
    <row r="2380" spans="1:6">
      <c r="A2380" s="1">
        <v>9128434</v>
      </c>
      <c r="B2380" s="1">
        <v>0.48578777843188892</v>
      </c>
      <c r="C2380" s="1">
        <v>156</v>
      </c>
      <c r="D2380" s="1">
        <v>176</v>
      </c>
      <c r="E2380" s="2">
        <v>43112</v>
      </c>
      <c r="F2380" s="6">
        <v>70.945527015694097</v>
      </c>
    </row>
    <row r="2381" spans="1:6">
      <c r="A2381" s="1">
        <v>9128437</v>
      </c>
      <c r="B2381" s="1">
        <v>0.2120812076180455</v>
      </c>
      <c r="C2381" s="1">
        <v>57</v>
      </c>
      <c r="D2381" s="1">
        <v>510</v>
      </c>
      <c r="E2381" s="2">
        <v>42972</v>
      </c>
      <c r="F2381" s="6">
        <v>3.4947572315351398</v>
      </c>
    </row>
    <row r="2382" spans="1:6">
      <c r="A2382" s="1">
        <v>9128440</v>
      </c>
      <c r="B2382" s="1">
        <v>6.4301030765512524E-2</v>
      </c>
      <c r="C2382" s="1">
        <v>3</v>
      </c>
      <c r="D2382" s="1">
        <v>510</v>
      </c>
      <c r="E2382" s="2">
        <v>43038</v>
      </c>
      <c r="F2382" s="6">
        <v>9.2043378194571517</v>
      </c>
    </row>
    <row r="2383" spans="1:6">
      <c r="A2383" s="1">
        <v>9128443</v>
      </c>
      <c r="B2383" s="1">
        <v>9.4048960404125581E-2</v>
      </c>
      <c r="C2383" s="1">
        <v>34</v>
      </c>
      <c r="D2383" s="1">
        <v>510</v>
      </c>
      <c r="E2383" s="2">
        <v>42750</v>
      </c>
      <c r="F2383" s="6">
        <v>6.3772328034475301</v>
      </c>
    </row>
    <row r="2384" spans="1:6">
      <c r="A2384" s="1">
        <v>9128446</v>
      </c>
      <c r="B2384" s="1">
        <v>0.74009292960056428</v>
      </c>
      <c r="C2384" s="1">
        <v>76</v>
      </c>
      <c r="D2384" s="1">
        <v>573</v>
      </c>
      <c r="E2384" s="2">
        <v>42742</v>
      </c>
      <c r="F2384" s="6">
        <v>87.835023828484125</v>
      </c>
    </row>
    <row r="2385" spans="1:6">
      <c r="A2385" s="1">
        <v>9128449</v>
      </c>
      <c r="B2385" s="1">
        <v>0.61080737069644697</v>
      </c>
      <c r="C2385" s="1">
        <v>59</v>
      </c>
      <c r="D2385" s="1">
        <v>592</v>
      </c>
      <c r="E2385" s="2">
        <v>43450</v>
      </c>
      <c r="F2385" s="6">
        <v>10.043099641874125</v>
      </c>
    </row>
    <row r="2386" spans="1:6">
      <c r="A2386" s="1">
        <v>9128452</v>
      </c>
      <c r="B2386" s="1">
        <v>0.38058521581977189</v>
      </c>
      <c r="C2386" s="1">
        <v>22</v>
      </c>
      <c r="D2386" s="1">
        <v>597</v>
      </c>
      <c r="E2386" s="2">
        <v>42904</v>
      </c>
      <c r="F2386" s="6">
        <v>214.25259673247285</v>
      </c>
    </row>
    <row r="2387" spans="1:6">
      <c r="A2387" s="1">
        <v>9128455</v>
      </c>
      <c r="B2387" s="1">
        <v>0.85353458284178119</v>
      </c>
      <c r="C2387" s="1">
        <v>25</v>
      </c>
      <c r="D2387" s="1">
        <v>176</v>
      </c>
      <c r="E2387" s="2">
        <v>43420</v>
      </c>
      <c r="F2387" s="6">
        <v>43.127237155423366</v>
      </c>
    </row>
    <row r="2388" spans="1:6">
      <c r="A2388" s="1">
        <v>9128458</v>
      </c>
      <c r="B2388" s="1">
        <v>0.96051356033814872</v>
      </c>
      <c r="C2388" s="1">
        <v>23</v>
      </c>
      <c r="D2388" s="1">
        <v>326</v>
      </c>
      <c r="E2388" s="2">
        <v>43204</v>
      </c>
      <c r="F2388" s="6">
        <v>63.130281029808373</v>
      </c>
    </row>
    <row r="2389" spans="1:6">
      <c r="A2389" s="1">
        <v>9128461</v>
      </c>
      <c r="B2389" s="1">
        <v>0.56635620268401932</v>
      </c>
      <c r="C2389" s="1">
        <v>44</v>
      </c>
      <c r="D2389" s="1">
        <v>510</v>
      </c>
      <c r="E2389" s="2">
        <v>42905</v>
      </c>
      <c r="F2389" s="6">
        <v>10.346854576183016</v>
      </c>
    </row>
    <row r="2390" spans="1:6">
      <c r="A2390" s="1">
        <v>9128464</v>
      </c>
      <c r="B2390" s="1">
        <v>0.25432245952144006</v>
      </c>
      <c r="C2390" s="1">
        <v>46</v>
      </c>
      <c r="D2390" s="1">
        <v>176</v>
      </c>
      <c r="E2390" s="2">
        <v>43312</v>
      </c>
      <c r="F2390" s="6">
        <v>111.03376818041892</v>
      </c>
    </row>
    <row r="2391" spans="1:6">
      <c r="A2391" s="1">
        <v>9128467</v>
      </c>
      <c r="B2391" s="1">
        <v>0.74347804783456506</v>
      </c>
      <c r="C2391" s="1">
        <v>39</v>
      </c>
      <c r="D2391" s="1">
        <v>575</v>
      </c>
      <c r="E2391" s="2">
        <v>43303</v>
      </c>
      <c r="F2391" s="6">
        <v>70.473701047131669</v>
      </c>
    </row>
    <row r="2392" spans="1:6">
      <c r="A2392" s="1">
        <v>9128470</v>
      </c>
      <c r="B2392" s="1">
        <v>0.73596685922654603</v>
      </c>
      <c r="C2392" s="1">
        <v>314</v>
      </c>
      <c r="D2392" s="1">
        <v>348</v>
      </c>
      <c r="E2392" s="2">
        <v>42971</v>
      </c>
      <c r="F2392" s="6">
        <v>53.503197667750264</v>
      </c>
    </row>
    <row r="2393" spans="1:6">
      <c r="A2393" s="1">
        <v>9128473</v>
      </c>
      <c r="B2393" s="1">
        <v>0.23335884387430406</v>
      </c>
      <c r="C2393" s="1">
        <v>369</v>
      </c>
      <c r="D2393" s="1">
        <v>22</v>
      </c>
      <c r="E2393" s="2">
        <v>42909</v>
      </c>
      <c r="F2393" s="6">
        <v>7.7544752738647871</v>
      </c>
    </row>
    <row r="2394" spans="1:6">
      <c r="A2394" s="1">
        <v>9128476</v>
      </c>
      <c r="B2394" s="1">
        <v>0.96541093128748334</v>
      </c>
      <c r="C2394" s="1">
        <v>3</v>
      </c>
      <c r="D2394" s="1">
        <v>589</v>
      </c>
      <c r="E2394" s="2">
        <v>43137</v>
      </c>
      <c r="F2394" s="6">
        <v>21.637145992701232</v>
      </c>
    </row>
    <row r="2395" spans="1:6">
      <c r="A2395" s="1">
        <v>9128479</v>
      </c>
      <c r="B2395" s="1">
        <v>0.87404392541411846</v>
      </c>
      <c r="C2395" s="1">
        <v>187</v>
      </c>
      <c r="D2395" s="1">
        <v>67</v>
      </c>
      <c r="E2395" s="2">
        <v>43267</v>
      </c>
      <c r="F2395" s="6">
        <v>10.342163176416529</v>
      </c>
    </row>
    <row r="2396" spans="1:6">
      <c r="A2396" s="1">
        <v>9128482</v>
      </c>
      <c r="B2396" s="1">
        <v>0.18355554614212666</v>
      </c>
      <c r="C2396" s="1">
        <v>74</v>
      </c>
      <c r="D2396" s="1">
        <v>273</v>
      </c>
      <c r="E2396" s="2">
        <v>43040</v>
      </c>
      <c r="F2396" s="6">
        <v>50.054336334016561</v>
      </c>
    </row>
    <row r="2397" spans="1:6">
      <c r="A2397" s="1">
        <v>9128485</v>
      </c>
      <c r="B2397" s="1">
        <v>0.4137518031092281</v>
      </c>
      <c r="C2397" s="1">
        <v>4</v>
      </c>
      <c r="D2397" s="1">
        <v>176</v>
      </c>
      <c r="E2397" s="2">
        <v>43129</v>
      </c>
      <c r="F2397" s="6">
        <v>6.6341755210379763</v>
      </c>
    </row>
    <row r="2398" spans="1:6">
      <c r="A2398" s="1">
        <v>9128488</v>
      </c>
      <c r="B2398" s="1">
        <v>0.8037193978486199</v>
      </c>
      <c r="C2398" s="1">
        <v>1</v>
      </c>
      <c r="D2398" s="1">
        <v>510</v>
      </c>
      <c r="E2398" s="2">
        <v>43323</v>
      </c>
      <c r="F2398" s="6">
        <v>12.433332650281026</v>
      </c>
    </row>
    <row r="2399" spans="1:6">
      <c r="A2399" s="1">
        <v>9128491</v>
      </c>
      <c r="B2399" s="1">
        <v>8.343612875555384E-2</v>
      </c>
      <c r="C2399" s="1">
        <v>50</v>
      </c>
      <c r="D2399" s="1">
        <v>321</v>
      </c>
      <c r="E2399" s="2">
        <v>43006</v>
      </c>
      <c r="F2399" s="6">
        <v>73.450623509619348</v>
      </c>
    </row>
    <row r="2400" spans="1:6">
      <c r="A2400" s="1">
        <v>9128494</v>
      </c>
      <c r="B2400" s="1">
        <v>0.80442628903097901</v>
      </c>
      <c r="C2400" s="1">
        <v>9</v>
      </c>
      <c r="D2400" s="1">
        <v>182</v>
      </c>
      <c r="E2400" s="2">
        <v>42822</v>
      </c>
      <c r="F2400" s="6">
        <v>113.23069827421672</v>
      </c>
    </row>
    <row r="2401" spans="1:6">
      <c r="A2401" s="1">
        <v>9128497</v>
      </c>
      <c r="B2401" s="1">
        <v>0.71236571370056623</v>
      </c>
      <c r="C2401" s="1">
        <v>12</v>
      </c>
      <c r="D2401" s="1">
        <v>145</v>
      </c>
      <c r="E2401" s="2">
        <v>43193</v>
      </c>
      <c r="F2401" s="6">
        <v>104.37384315573411</v>
      </c>
    </row>
    <row r="2402" spans="1:6">
      <c r="A2402" s="1">
        <v>9128500</v>
      </c>
      <c r="B2402" s="1">
        <v>0.19396603172129312</v>
      </c>
      <c r="C2402" s="1">
        <v>84</v>
      </c>
      <c r="D2402" s="1">
        <v>390</v>
      </c>
      <c r="E2402" s="2">
        <v>43067</v>
      </c>
      <c r="F2402" s="6">
        <v>6.3780237108561462</v>
      </c>
    </row>
    <row r="2403" spans="1:6">
      <c r="A2403" s="1">
        <v>9128503</v>
      </c>
      <c r="B2403" s="1">
        <v>0.85740128889023837</v>
      </c>
      <c r="C2403" s="1">
        <v>17</v>
      </c>
      <c r="D2403" s="1">
        <v>258</v>
      </c>
      <c r="E2403" s="2">
        <v>42842</v>
      </c>
      <c r="F2403" s="6">
        <v>254.05639296075503</v>
      </c>
    </row>
    <row r="2404" spans="1:6">
      <c r="A2404" s="1">
        <v>9128506</v>
      </c>
      <c r="B2404" s="1">
        <v>0.97955136393788567</v>
      </c>
      <c r="C2404" s="1">
        <v>4</v>
      </c>
      <c r="D2404" s="1">
        <v>176</v>
      </c>
      <c r="E2404" s="2">
        <v>43279</v>
      </c>
      <c r="F2404" s="6">
        <v>20.680680735063962</v>
      </c>
    </row>
    <row r="2405" spans="1:6">
      <c r="A2405" s="1">
        <v>9128509</v>
      </c>
      <c r="B2405" s="1">
        <v>1.7661061617784801E-2</v>
      </c>
      <c r="C2405" s="1">
        <v>82</v>
      </c>
      <c r="D2405" s="1">
        <v>564</v>
      </c>
      <c r="E2405" s="2">
        <v>43377</v>
      </c>
      <c r="F2405" s="6">
        <v>32.150752985099466</v>
      </c>
    </row>
    <row r="2406" spans="1:6">
      <c r="A2406" s="1">
        <v>9128512</v>
      </c>
      <c r="B2406" s="1">
        <v>0.72159678593195775</v>
      </c>
      <c r="C2406" s="1">
        <v>3</v>
      </c>
      <c r="D2406" s="1">
        <v>492</v>
      </c>
      <c r="E2406" s="2">
        <v>43371</v>
      </c>
      <c r="F2406" s="6">
        <v>9.9678398520616067</v>
      </c>
    </row>
    <row r="2407" spans="1:6">
      <c r="A2407" s="1">
        <v>9128515</v>
      </c>
      <c r="B2407" s="1">
        <v>0.82862364613746187</v>
      </c>
      <c r="C2407" s="1">
        <v>2</v>
      </c>
      <c r="D2407" s="1">
        <v>394</v>
      </c>
      <c r="E2407" s="2">
        <v>42986</v>
      </c>
      <c r="F2407" s="6">
        <v>22.337923918290514</v>
      </c>
    </row>
    <row r="2408" spans="1:6">
      <c r="A2408" s="1">
        <v>9128518</v>
      </c>
      <c r="B2408" s="1">
        <v>0.40391747293826619</v>
      </c>
      <c r="C2408" s="1">
        <v>31</v>
      </c>
      <c r="D2408" s="1">
        <v>541</v>
      </c>
      <c r="E2408" s="2">
        <v>42796</v>
      </c>
      <c r="F2408" s="6">
        <v>104.36858061705065</v>
      </c>
    </row>
    <row r="2409" spans="1:6">
      <c r="A2409" s="1">
        <v>9128521</v>
      </c>
      <c r="B2409" s="1">
        <v>0.11779850477254539</v>
      </c>
      <c r="C2409" s="1">
        <v>7</v>
      </c>
      <c r="D2409" s="1">
        <v>585</v>
      </c>
      <c r="E2409" s="2">
        <v>43371</v>
      </c>
      <c r="F2409" s="6">
        <v>90.293103765568802</v>
      </c>
    </row>
    <row r="2410" spans="1:6">
      <c r="A2410" s="1">
        <v>9128524</v>
      </c>
      <c r="B2410" s="1">
        <v>5.2326286416446544E-2</v>
      </c>
      <c r="C2410" s="1">
        <v>45</v>
      </c>
      <c r="D2410" s="1">
        <v>41</v>
      </c>
      <c r="E2410" s="2">
        <v>43262</v>
      </c>
      <c r="F2410" s="6">
        <v>60.478360146923926</v>
      </c>
    </row>
    <row r="2411" spans="1:6">
      <c r="A2411" s="1">
        <v>9128527</v>
      </c>
      <c r="B2411" s="1">
        <v>0.35526524696531214</v>
      </c>
      <c r="C2411" s="1">
        <v>3</v>
      </c>
      <c r="D2411" s="1">
        <v>487</v>
      </c>
      <c r="E2411" s="2">
        <v>43413</v>
      </c>
      <c r="F2411" s="6">
        <v>26.60878387362105</v>
      </c>
    </row>
    <row r="2412" spans="1:6">
      <c r="A2412" s="1">
        <v>9128530</v>
      </c>
      <c r="B2412" s="1">
        <v>0.54110701557528684</v>
      </c>
      <c r="C2412" s="1">
        <v>2</v>
      </c>
      <c r="D2412" s="1">
        <v>88</v>
      </c>
      <c r="E2412" s="2">
        <v>42900</v>
      </c>
      <c r="F2412" s="6">
        <v>40.319653713996622</v>
      </c>
    </row>
    <row r="2413" spans="1:6">
      <c r="A2413" s="1">
        <v>9128533</v>
      </c>
      <c r="B2413" s="1">
        <v>0.55407465929184596</v>
      </c>
      <c r="C2413" s="1">
        <v>3</v>
      </c>
      <c r="D2413" s="1">
        <v>495</v>
      </c>
      <c r="E2413" s="2">
        <v>42983</v>
      </c>
      <c r="F2413" s="6">
        <v>763.6718454384453</v>
      </c>
    </row>
    <row r="2414" spans="1:6">
      <c r="A2414" s="1">
        <v>9128536</v>
      </c>
      <c r="B2414" s="1">
        <v>0.51245559925491613</v>
      </c>
      <c r="C2414" s="1">
        <v>1</v>
      </c>
      <c r="D2414" s="1">
        <v>438</v>
      </c>
      <c r="E2414" s="2">
        <v>43468</v>
      </c>
      <c r="F2414" s="6">
        <v>45.846865825181631</v>
      </c>
    </row>
    <row r="2415" spans="1:6">
      <c r="A2415" s="1">
        <v>9128539</v>
      </c>
      <c r="B2415" s="1">
        <v>0.52646566788221894</v>
      </c>
      <c r="C2415" s="1">
        <v>17</v>
      </c>
      <c r="D2415" s="1">
        <v>599</v>
      </c>
      <c r="E2415" s="2">
        <v>43147</v>
      </c>
      <c r="F2415" s="6">
        <v>13.218978997172698</v>
      </c>
    </row>
    <row r="2416" spans="1:6">
      <c r="A2416" s="1">
        <v>9128542</v>
      </c>
      <c r="B2416" s="1">
        <v>0.3069112346859828</v>
      </c>
      <c r="C2416" s="1">
        <v>1</v>
      </c>
      <c r="D2416" s="1">
        <v>22</v>
      </c>
      <c r="E2416" s="2">
        <v>43460</v>
      </c>
      <c r="F2416" s="6">
        <v>28.911380369490981</v>
      </c>
    </row>
    <row r="2417" spans="1:6">
      <c r="A2417" s="1">
        <v>9128545</v>
      </c>
      <c r="B2417" s="1">
        <v>0.51157748520380308</v>
      </c>
      <c r="C2417" s="1">
        <v>69</v>
      </c>
      <c r="D2417" s="1">
        <v>471</v>
      </c>
      <c r="E2417" s="2">
        <v>43224</v>
      </c>
      <c r="F2417" s="6">
        <v>18.231954315571443</v>
      </c>
    </row>
    <row r="2418" spans="1:6">
      <c r="A2418" s="1">
        <v>9128548</v>
      </c>
      <c r="B2418" s="1">
        <v>0.20191628548576179</v>
      </c>
      <c r="C2418" s="1">
        <v>144</v>
      </c>
      <c r="D2418" s="1">
        <v>458</v>
      </c>
      <c r="E2418" s="2">
        <v>43024</v>
      </c>
      <c r="F2418" s="6">
        <v>85.731041889178144</v>
      </c>
    </row>
    <row r="2419" spans="1:6">
      <c r="A2419" s="1">
        <v>9128551</v>
      </c>
      <c r="B2419" s="1">
        <v>0.89723178149427785</v>
      </c>
      <c r="C2419" s="1">
        <v>27</v>
      </c>
      <c r="D2419" s="1">
        <v>38</v>
      </c>
      <c r="E2419" s="2">
        <v>42773</v>
      </c>
      <c r="F2419" s="6">
        <v>19.055360847605314</v>
      </c>
    </row>
    <row r="2420" spans="1:6">
      <c r="A2420" s="1">
        <v>9128554</v>
      </c>
      <c r="B2420" s="1">
        <v>0.72881677536387224</v>
      </c>
      <c r="C2420" s="1">
        <v>227</v>
      </c>
      <c r="D2420" s="1">
        <v>155</v>
      </c>
      <c r="E2420" s="2">
        <v>42996</v>
      </c>
      <c r="F2420" s="6">
        <v>30.096298071766096</v>
      </c>
    </row>
    <row r="2421" spans="1:6">
      <c r="A2421" s="1">
        <v>9128557</v>
      </c>
      <c r="B2421" s="1">
        <v>0.15468842528277715</v>
      </c>
      <c r="C2421" s="1">
        <v>2</v>
      </c>
      <c r="D2421" s="1">
        <v>514</v>
      </c>
      <c r="E2421" s="2">
        <v>42993</v>
      </c>
      <c r="F2421" s="6">
        <v>17.502043541214366</v>
      </c>
    </row>
    <row r="2422" spans="1:6">
      <c r="A2422" s="1">
        <v>9128560</v>
      </c>
      <c r="B2422" s="1">
        <v>0.99352370491762199</v>
      </c>
      <c r="C2422" s="1">
        <v>1</v>
      </c>
      <c r="D2422" s="1">
        <v>156</v>
      </c>
      <c r="E2422" s="2">
        <v>42912</v>
      </c>
      <c r="F2422" s="6">
        <v>26.715322285698448</v>
      </c>
    </row>
    <row r="2423" spans="1:6">
      <c r="A2423" s="1">
        <v>9128563</v>
      </c>
      <c r="B2423" s="1">
        <v>0.12321324152017199</v>
      </c>
      <c r="C2423" s="1">
        <v>104</v>
      </c>
      <c r="D2423" s="1">
        <v>182</v>
      </c>
      <c r="E2423" s="2">
        <v>43120</v>
      </c>
      <c r="F2423" s="6">
        <v>14.412126820649524</v>
      </c>
    </row>
    <row r="2424" spans="1:6">
      <c r="A2424" s="1">
        <v>9128566</v>
      </c>
      <c r="B2424" s="1">
        <v>0.84782456282498708</v>
      </c>
      <c r="C2424" s="1">
        <v>2</v>
      </c>
      <c r="D2424" s="1">
        <v>176</v>
      </c>
      <c r="E2424" s="2">
        <v>43004</v>
      </c>
      <c r="F2424" s="6">
        <v>31.038129584700084</v>
      </c>
    </row>
    <row r="2425" spans="1:6">
      <c r="A2425" s="1">
        <v>9128569</v>
      </c>
      <c r="B2425" s="1">
        <v>0.29187520329517491</v>
      </c>
      <c r="C2425" s="1">
        <v>69</v>
      </c>
      <c r="D2425" s="1">
        <v>182</v>
      </c>
      <c r="E2425" s="2">
        <v>42885</v>
      </c>
      <c r="F2425" s="6">
        <v>19.715297128835985</v>
      </c>
    </row>
    <row r="2426" spans="1:6">
      <c r="A2426" s="1">
        <v>9128572</v>
      </c>
      <c r="B2426" s="1">
        <v>0.90833203596325651</v>
      </c>
      <c r="C2426" s="1">
        <v>48</v>
      </c>
      <c r="D2426" s="1">
        <v>90</v>
      </c>
      <c r="E2426" s="2">
        <v>43497</v>
      </c>
      <c r="F2426" s="6">
        <v>46.663058806204049</v>
      </c>
    </row>
    <row r="2427" spans="1:6">
      <c r="A2427" s="1">
        <v>9128575</v>
      </c>
      <c r="B2427" s="1">
        <v>6.4578038676621929E-2</v>
      </c>
      <c r="C2427" s="1">
        <v>49</v>
      </c>
      <c r="D2427" s="1">
        <v>487</v>
      </c>
      <c r="E2427" s="2">
        <v>43128</v>
      </c>
      <c r="F2427" s="6">
        <v>11.878822190349078</v>
      </c>
    </row>
    <row r="2428" spans="1:6">
      <c r="A2428" s="1">
        <v>9128578</v>
      </c>
      <c r="B2428" s="1">
        <v>0.73737243126030916</v>
      </c>
      <c r="C2428" s="1">
        <v>23</v>
      </c>
      <c r="D2428" s="1">
        <v>592</v>
      </c>
      <c r="E2428" s="2">
        <v>43156</v>
      </c>
      <c r="F2428" s="6">
        <v>9.290976107065088</v>
      </c>
    </row>
    <row r="2429" spans="1:6">
      <c r="A2429" s="1">
        <v>9128581</v>
      </c>
      <c r="B2429" s="1">
        <v>0.11153079053041026</v>
      </c>
      <c r="C2429" s="1">
        <v>150</v>
      </c>
      <c r="D2429" s="1">
        <v>366</v>
      </c>
      <c r="E2429" s="2">
        <v>43494</v>
      </c>
      <c r="F2429" s="6">
        <v>59.947412604977508</v>
      </c>
    </row>
    <row r="2430" spans="1:6">
      <c r="A2430" s="1">
        <v>9128584</v>
      </c>
      <c r="B2430" s="1">
        <v>0.19282582859367547</v>
      </c>
      <c r="C2430" s="1">
        <v>145</v>
      </c>
      <c r="D2430" s="1">
        <v>115</v>
      </c>
      <c r="E2430" s="2">
        <v>42839</v>
      </c>
      <c r="F2430" s="6">
        <v>29.102541033751852</v>
      </c>
    </row>
    <row r="2431" spans="1:6">
      <c r="A2431" s="1">
        <v>9128587</v>
      </c>
      <c r="B2431" s="1">
        <v>0.41210247596138061</v>
      </c>
      <c r="C2431" s="1">
        <v>13</v>
      </c>
      <c r="D2431" s="1">
        <v>40</v>
      </c>
      <c r="E2431" s="2">
        <v>42842</v>
      </c>
      <c r="F2431" s="6">
        <v>7.1415213392181389</v>
      </c>
    </row>
    <row r="2432" spans="1:6">
      <c r="A2432" s="1">
        <v>9128590</v>
      </c>
      <c r="B2432" s="1">
        <v>0.75652756759080331</v>
      </c>
      <c r="C2432" s="1">
        <v>13</v>
      </c>
      <c r="D2432" s="1">
        <v>599</v>
      </c>
      <c r="E2432" s="2">
        <v>42870</v>
      </c>
      <c r="F2432" s="6">
        <v>183.08416294760664</v>
      </c>
    </row>
    <row r="2433" spans="1:6">
      <c r="A2433" s="1">
        <v>9128593</v>
      </c>
      <c r="B2433" s="1">
        <v>0.34094885297853128</v>
      </c>
      <c r="C2433" s="1">
        <v>5</v>
      </c>
      <c r="D2433" s="1">
        <v>417</v>
      </c>
      <c r="E2433" s="2">
        <v>42984</v>
      </c>
      <c r="F2433" s="6">
        <v>11.322346110960135</v>
      </c>
    </row>
    <row r="2434" spans="1:6">
      <c r="A2434" s="1">
        <v>9128596</v>
      </c>
      <c r="B2434" s="1">
        <v>0.93374649040882962</v>
      </c>
      <c r="C2434" s="1">
        <v>21</v>
      </c>
      <c r="D2434" s="1">
        <v>417</v>
      </c>
      <c r="E2434" s="2">
        <v>43232</v>
      </c>
      <c r="F2434" s="6">
        <v>10.828779264952345</v>
      </c>
    </row>
    <row r="2435" spans="1:6">
      <c r="A2435" s="1">
        <v>9128599</v>
      </c>
      <c r="B2435" s="1">
        <v>0.85038224957614306</v>
      </c>
      <c r="C2435" s="1">
        <v>150</v>
      </c>
      <c r="D2435" s="1">
        <v>546</v>
      </c>
      <c r="E2435" s="2">
        <v>43484</v>
      </c>
      <c r="F2435" s="6">
        <v>56.463591875728078</v>
      </c>
    </row>
    <row r="2436" spans="1:6">
      <c r="A2436" s="1">
        <v>9128602</v>
      </c>
      <c r="B2436" s="1">
        <v>0.58040532557826208</v>
      </c>
      <c r="C2436" s="1">
        <v>77</v>
      </c>
      <c r="D2436" s="1">
        <v>176</v>
      </c>
      <c r="E2436" s="2">
        <v>43068</v>
      </c>
      <c r="F2436" s="6">
        <v>23.778985047439591</v>
      </c>
    </row>
    <row r="2437" spans="1:6">
      <c r="A2437" s="1">
        <v>9128605</v>
      </c>
      <c r="B2437" s="1">
        <v>0.96690495466024751</v>
      </c>
      <c r="C2437" s="1">
        <v>17</v>
      </c>
      <c r="D2437" s="1">
        <v>176</v>
      </c>
      <c r="E2437" s="2">
        <v>43288</v>
      </c>
      <c r="F2437" s="6">
        <v>46.598603906937271</v>
      </c>
    </row>
    <row r="2438" spans="1:6">
      <c r="A2438" s="1">
        <v>9128608</v>
      </c>
      <c r="B2438" s="1">
        <v>0.54384979552852242</v>
      </c>
      <c r="C2438" s="1">
        <v>6</v>
      </c>
      <c r="D2438" s="1">
        <v>64</v>
      </c>
      <c r="E2438" s="2">
        <v>43230</v>
      </c>
      <c r="F2438" s="6">
        <v>15.831027704855991</v>
      </c>
    </row>
    <row r="2439" spans="1:6">
      <c r="A2439" s="1">
        <v>9128611</v>
      </c>
      <c r="B2439" s="1">
        <v>0.70823383829552988</v>
      </c>
      <c r="C2439" s="1">
        <v>5</v>
      </c>
      <c r="D2439" s="1">
        <v>40</v>
      </c>
      <c r="E2439" s="2">
        <v>42938</v>
      </c>
      <c r="F2439" s="6">
        <v>61.432634429064365</v>
      </c>
    </row>
    <row r="2440" spans="1:6">
      <c r="A2440" s="1">
        <v>9128614</v>
      </c>
      <c r="B2440" s="1">
        <v>0.31857870005170474</v>
      </c>
      <c r="C2440" s="1">
        <v>6</v>
      </c>
      <c r="D2440" s="1">
        <v>368</v>
      </c>
      <c r="E2440" s="2">
        <v>42941</v>
      </c>
      <c r="F2440" s="6">
        <v>11.540537065011113</v>
      </c>
    </row>
    <row r="2441" spans="1:6">
      <c r="A2441" s="1">
        <v>9128617</v>
      </c>
      <c r="B2441" s="1">
        <v>0.41379507565507279</v>
      </c>
      <c r="C2441" s="1">
        <v>64</v>
      </c>
      <c r="D2441" s="1">
        <v>564</v>
      </c>
      <c r="E2441" s="2">
        <v>43150</v>
      </c>
      <c r="F2441" s="6">
        <v>162.89246525363097</v>
      </c>
    </row>
    <row r="2442" spans="1:6">
      <c r="A2442" s="1">
        <v>9128620</v>
      </c>
      <c r="B2442" s="1">
        <v>0.41926442550535992</v>
      </c>
      <c r="C2442" s="1">
        <v>2</v>
      </c>
      <c r="D2442" s="1">
        <v>393</v>
      </c>
      <c r="E2442" s="2">
        <v>43227</v>
      </c>
      <c r="F2442" s="6">
        <v>81.066495237113827</v>
      </c>
    </row>
    <row r="2443" spans="1:6">
      <c r="A2443" s="1">
        <v>9128623</v>
      </c>
      <c r="B2443" s="1">
        <v>0.30737212377745415</v>
      </c>
      <c r="C2443" s="1">
        <v>63</v>
      </c>
      <c r="D2443" s="1">
        <v>368</v>
      </c>
      <c r="E2443" s="2">
        <v>42768</v>
      </c>
      <c r="F2443" s="6">
        <v>37.265280249514589</v>
      </c>
    </row>
    <row r="2444" spans="1:6">
      <c r="A2444" s="1">
        <v>9128626</v>
      </c>
      <c r="B2444" s="1">
        <v>0.81623657626230151</v>
      </c>
      <c r="C2444" s="1">
        <v>43</v>
      </c>
      <c r="D2444" s="1">
        <v>546</v>
      </c>
      <c r="E2444" s="2">
        <v>42881</v>
      </c>
      <c r="F2444" s="6">
        <v>22.042855287021723</v>
      </c>
    </row>
    <row r="2445" spans="1:6">
      <c r="A2445" s="1">
        <v>9128629</v>
      </c>
      <c r="B2445" s="1">
        <v>1.4163486779501633E-2</v>
      </c>
      <c r="C2445" s="1">
        <v>51</v>
      </c>
      <c r="D2445" s="1">
        <v>495</v>
      </c>
      <c r="E2445" s="2">
        <v>42846</v>
      </c>
      <c r="F2445" s="6">
        <v>16.491880478588516</v>
      </c>
    </row>
    <row r="2446" spans="1:6">
      <c r="A2446" s="1">
        <v>9128632</v>
      </c>
      <c r="B2446" s="1">
        <v>0.42805268177233713</v>
      </c>
      <c r="C2446" s="1">
        <v>78</v>
      </c>
      <c r="D2446" s="1">
        <v>90</v>
      </c>
      <c r="E2446" s="2">
        <v>43467</v>
      </c>
      <c r="F2446" s="6">
        <v>5.1519295432079755</v>
      </c>
    </row>
    <row r="2447" spans="1:6">
      <c r="A2447" s="1">
        <v>9128635</v>
      </c>
      <c r="B2447" s="1">
        <v>0.5754593918428732</v>
      </c>
      <c r="C2447" s="1">
        <v>41</v>
      </c>
      <c r="D2447" s="1">
        <v>329</v>
      </c>
      <c r="E2447" s="2">
        <v>43255</v>
      </c>
      <c r="F2447" s="6">
        <v>23.746631647034203</v>
      </c>
    </row>
    <row r="2448" spans="1:6">
      <c r="A2448" s="1">
        <v>9128638</v>
      </c>
      <c r="B2448" s="1">
        <v>0.67743953429751402</v>
      </c>
      <c r="C2448" s="1">
        <v>2</v>
      </c>
      <c r="D2448" s="1">
        <v>149</v>
      </c>
      <c r="E2448" s="2">
        <v>42744</v>
      </c>
      <c r="F2448" s="6">
        <v>174.12452211119208</v>
      </c>
    </row>
    <row r="2449" spans="1:6">
      <c r="A2449" s="1">
        <v>9128641</v>
      </c>
      <c r="B2449" s="1">
        <v>0.60083607454299959</v>
      </c>
      <c r="C2449" s="1">
        <v>33</v>
      </c>
      <c r="D2449" s="1">
        <v>243</v>
      </c>
      <c r="E2449" s="2">
        <v>43037</v>
      </c>
      <c r="F2449" s="6">
        <v>135.63785707631342</v>
      </c>
    </row>
    <row r="2450" spans="1:6">
      <c r="A2450" s="1">
        <v>9128644</v>
      </c>
      <c r="B2450" s="1">
        <v>0.60857510094750433</v>
      </c>
      <c r="C2450" s="1">
        <v>251</v>
      </c>
      <c r="D2450" s="1">
        <v>139</v>
      </c>
      <c r="E2450" s="2">
        <v>42827</v>
      </c>
      <c r="F2450" s="6">
        <v>326.34694773799009</v>
      </c>
    </row>
    <row r="2451" spans="1:6">
      <c r="A2451" s="1">
        <v>9128647</v>
      </c>
      <c r="B2451" s="1">
        <v>0.44357361143861718</v>
      </c>
      <c r="C2451" s="1">
        <v>1</v>
      </c>
      <c r="D2451" s="1">
        <v>319</v>
      </c>
      <c r="E2451" s="2">
        <v>43183</v>
      </c>
      <c r="F2451" s="6">
        <v>10.941923693176658</v>
      </c>
    </row>
    <row r="2452" spans="1:6">
      <c r="A2452" s="1">
        <v>9128650</v>
      </c>
      <c r="B2452" s="1">
        <v>0.17609262072064713</v>
      </c>
      <c r="C2452" s="1">
        <v>5</v>
      </c>
      <c r="D2452" s="1">
        <v>510</v>
      </c>
      <c r="E2452" s="2">
        <v>43224</v>
      </c>
      <c r="F2452" s="6">
        <v>596.72406359541674</v>
      </c>
    </row>
    <row r="2453" spans="1:6">
      <c r="A2453" s="1">
        <v>9128653</v>
      </c>
      <c r="B2453" s="1">
        <v>0.54586695535963004</v>
      </c>
      <c r="C2453" s="1">
        <v>139</v>
      </c>
      <c r="D2453" s="1">
        <v>509</v>
      </c>
      <c r="E2453" s="2">
        <v>43354</v>
      </c>
      <c r="F2453" s="6">
        <v>51.136545913722927</v>
      </c>
    </row>
    <row r="2454" spans="1:6">
      <c r="A2454" s="1">
        <v>9128656</v>
      </c>
      <c r="B2454" s="1">
        <v>0.43559130380879052</v>
      </c>
      <c r="C2454" s="1">
        <v>2</v>
      </c>
      <c r="D2454" s="1">
        <v>67</v>
      </c>
      <c r="E2454" s="2">
        <v>43192</v>
      </c>
      <c r="F2454" s="6">
        <v>14.926289938173156</v>
      </c>
    </row>
    <row r="2455" spans="1:6">
      <c r="A2455" s="1">
        <v>9128659</v>
      </c>
      <c r="B2455" s="1">
        <v>0.7787108321241264</v>
      </c>
      <c r="C2455" s="1">
        <v>45</v>
      </c>
      <c r="D2455" s="1">
        <v>495</v>
      </c>
      <c r="E2455" s="2">
        <v>43349</v>
      </c>
      <c r="F2455" s="6">
        <v>166.28550804912544</v>
      </c>
    </row>
    <row r="2456" spans="1:6">
      <c r="A2456" s="1">
        <v>9128662</v>
      </c>
      <c r="B2456" s="1">
        <v>0.36988489105405664</v>
      </c>
      <c r="C2456" s="1">
        <v>34</v>
      </c>
      <c r="D2456" s="1">
        <v>263</v>
      </c>
      <c r="E2456" s="2">
        <v>42932</v>
      </c>
      <c r="F2456" s="6">
        <v>73.210095576777178</v>
      </c>
    </row>
    <row r="2457" spans="1:6">
      <c r="A2457" s="1">
        <v>9128665</v>
      </c>
      <c r="B2457" s="1">
        <v>3.8051444878475671E-2</v>
      </c>
      <c r="C2457" s="1">
        <v>68</v>
      </c>
      <c r="D2457" s="1">
        <v>541</v>
      </c>
      <c r="E2457" s="2">
        <v>43468</v>
      </c>
      <c r="F2457" s="6">
        <v>46.198270645693249</v>
      </c>
    </row>
    <row r="2458" spans="1:6">
      <c r="A2458" s="1">
        <v>9128668</v>
      </c>
      <c r="B2458" s="1">
        <v>0.6505048494806327</v>
      </c>
      <c r="C2458" s="1">
        <v>78</v>
      </c>
      <c r="D2458" s="1">
        <v>47</v>
      </c>
      <c r="E2458" s="2">
        <v>43014</v>
      </c>
      <c r="F2458" s="6">
        <v>50.089255241458204</v>
      </c>
    </row>
    <row r="2459" spans="1:6">
      <c r="A2459" s="1">
        <v>9128671</v>
      </c>
      <c r="B2459" s="1">
        <v>0.11715781146108861</v>
      </c>
      <c r="C2459" s="1">
        <v>2</v>
      </c>
      <c r="D2459" s="1">
        <v>83</v>
      </c>
      <c r="E2459" s="2">
        <v>43195</v>
      </c>
      <c r="F2459" s="6">
        <v>178.67403633719297</v>
      </c>
    </row>
    <row r="2460" spans="1:6">
      <c r="A2460" s="1">
        <v>9128674</v>
      </c>
      <c r="B2460" s="1">
        <v>0.89506226562589808</v>
      </c>
      <c r="C2460" s="1">
        <v>22</v>
      </c>
      <c r="D2460" s="1">
        <v>492</v>
      </c>
      <c r="E2460" s="2">
        <v>43241</v>
      </c>
      <c r="F2460" s="6">
        <v>20.239772808065521</v>
      </c>
    </row>
    <row r="2461" spans="1:6">
      <c r="A2461" s="1">
        <v>9128677</v>
      </c>
      <c r="B2461" s="1">
        <v>0.89439141116554455</v>
      </c>
      <c r="C2461" s="1">
        <v>3</v>
      </c>
      <c r="D2461" s="1">
        <v>417</v>
      </c>
      <c r="E2461" s="2">
        <v>43074</v>
      </c>
      <c r="F2461" s="6">
        <v>60.176507102763765</v>
      </c>
    </row>
    <row r="2462" spans="1:6">
      <c r="A2462" s="1">
        <v>9128680</v>
      </c>
      <c r="B2462" s="1">
        <v>0.76957576780490355</v>
      </c>
      <c r="C2462" s="1">
        <v>83</v>
      </c>
      <c r="D2462" s="1">
        <v>510</v>
      </c>
      <c r="E2462" s="2">
        <v>43003</v>
      </c>
      <c r="F2462" s="6">
        <v>66.249285884501404</v>
      </c>
    </row>
    <row r="2463" spans="1:6">
      <c r="A2463" s="1">
        <v>9128683</v>
      </c>
      <c r="B2463" s="1">
        <v>0.9371130601280635</v>
      </c>
      <c r="C2463" s="1">
        <v>114</v>
      </c>
      <c r="D2463" s="1">
        <v>458</v>
      </c>
      <c r="E2463" s="2">
        <v>42928</v>
      </c>
      <c r="F2463" s="6">
        <v>270.60724137535595</v>
      </c>
    </row>
    <row r="2464" spans="1:6">
      <c r="A2464" s="1">
        <v>9128686</v>
      </c>
      <c r="B2464" s="1">
        <v>1.9776723399817842E-2</v>
      </c>
      <c r="C2464" s="1">
        <v>104</v>
      </c>
      <c r="D2464" s="1">
        <v>176</v>
      </c>
      <c r="E2464" s="2">
        <v>43396</v>
      </c>
      <c r="F2464" s="6">
        <v>112.88963939258092</v>
      </c>
    </row>
    <row r="2465" spans="1:6">
      <c r="A2465" s="1">
        <v>9128689</v>
      </c>
      <c r="B2465" s="1">
        <v>0.58373304932233194</v>
      </c>
      <c r="C2465" s="1">
        <v>7</v>
      </c>
      <c r="D2465" s="1">
        <v>358</v>
      </c>
      <c r="E2465" s="2">
        <v>42995</v>
      </c>
      <c r="F2465" s="6">
        <v>11.524989147194297</v>
      </c>
    </row>
    <row r="2466" spans="1:6">
      <c r="A2466" s="1">
        <v>9128692</v>
      </c>
      <c r="B2466" s="1">
        <v>0.63748199757142532</v>
      </c>
      <c r="C2466" s="1">
        <v>118</v>
      </c>
      <c r="D2466" s="1">
        <v>326</v>
      </c>
      <c r="E2466" s="2">
        <v>43258</v>
      </c>
      <c r="F2466" s="6">
        <v>43.572544899712057</v>
      </c>
    </row>
    <row r="2467" spans="1:6">
      <c r="A2467" s="1">
        <v>9128695</v>
      </c>
      <c r="B2467" s="1">
        <v>0.53536844222817426</v>
      </c>
      <c r="C2467" s="1">
        <v>46</v>
      </c>
      <c r="D2467" s="1">
        <v>176</v>
      </c>
      <c r="E2467" s="2">
        <v>43246</v>
      </c>
      <c r="F2467" s="6">
        <v>61.304088410479395</v>
      </c>
    </row>
    <row r="2468" spans="1:6">
      <c r="A2468" s="1">
        <v>9128698</v>
      </c>
      <c r="B2468" s="1">
        <v>0.72958704870255675</v>
      </c>
      <c r="C2468" s="1">
        <v>13</v>
      </c>
      <c r="D2468" s="1">
        <v>186</v>
      </c>
      <c r="E2468" s="2">
        <v>43162</v>
      </c>
      <c r="F2468" s="6">
        <v>165.6258307925381</v>
      </c>
    </row>
    <row r="2469" spans="1:6">
      <c r="A2469" s="1">
        <v>9128701</v>
      </c>
      <c r="B2469" s="1">
        <v>0.23660838440283338</v>
      </c>
      <c r="C2469" s="1">
        <v>39</v>
      </c>
      <c r="D2469" s="1">
        <v>139</v>
      </c>
      <c r="E2469" s="2">
        <v>43258</v>
      </c>
      <c r="F2469" s="6">
        <v>37.723382041067708</v>
      </c>
    </row>
    <row r="2470" spans="1:6">
      <c r="A2470" s="1">
        <v>9128704</v>
      </c>
      <c r="B2470" s="1">
        <v>0.96272536833405642</v>
      </c>
      <c r="C2470" s="1">
        <v>1</v>
      </c>
      <c r="D2470" s="1">
        <v>244</v>
      </c>
      <c r="E2470" s="2">
        <v>42744</v>
      </c>
      <c r="F2470" s="6">
        <v>45.525701713473374</v>
      </c>
    </row>
    <row r="2471" spans="1:6">
      <c r="A2471" s="1">
        <v>9128707</v>
      </c>
      <c r="B2471" s="1">
        <v>0.85774514771204935</v>
      </c>
      <c r="C2471" s="1">
        <v>2</v>
      </c>
      <c r="D2471" s="1">
        <v>176</v>
      </c>
      <c r="E2471" s="2">
        <v>43410</v>
      </c>
      <c r="F2471" s="6">
        <v>40.779649169769428</v>
      </c>
    </row>
    <row r="2472" spans="1:6">
      <c r="A2472" s="1">
        <v>9128710</v>
      </c>
      <c r="B2472" s="1">
        <v>0.51072365485412574</v>
      </c>
      <c r="C2472" s="1">
        <v>9</v>
      </c>
      <c r="D2472" s="1">
        <v>420</v>
      </c>
      <c r="E2472" s="2">
        <v>43073</v>
      </c>
      <c r="F2472" s="6">
        <v>81.793151978854198</v>
      </c>
    </row>
    <row r="2473" spans="1:6">
      <c r="A2473" s="1">
        <v>9128713</v>
      </c>
      <c r="B2473" s="1">
        <v>0.90902225274153936</v>
      </c>
      <c r="C2473" s="1">
        <v>148</v>
      </c>
      <c r="D2473" s="1">
        <v>397</v>
      </c>
      <c r="E2473" s="2">
        <v>43464</v>
      </c>
      <c r="F2473" s="6">
        <v>13.83190916116113</v>
      </c>
    </row>
    <row r="2474" spans="1:6">
      <c r="A2474" s="1">
        <v>9128716</v>
      </c>
      <c r="B2474" s="1">
        <v>0.23068731944931942</v>
      </c>
      <c r="C2474" s="1">
        <v>33</v>
      </c>
      <c r="D2474" s="1">
        <v>478</v>
      </c>
      <c r="E2474" s="2">
        <v>42913</v>
      </c>
      <c r="F2474" s="6">
        <v>5.2459240264336495</v>
      </c>
    </row>
    <row r="2475" spans="1:6">
      <c r="A2475" s="1">
        <v>9128719</v>
      </c>
      <c r="B2475" s="1">
        <v>7.0990345972228308E-3</v>
      </c>
      <c r="C2475" s="1">
        <v>12</v>
      </c>
      <c r="D2475" s="1">
        <v>258</v>
      </c>
      <c r="E2475" s="2">
        <v>43223</v>
      </c>
      <c r="F2475" s="6">
        <v>46.355017592486043</v>
      </c>
    </row>
    <row r="2476" spans="1:6">
      <c r="A2476" s="1">
        <v>9128722</v>
      </c>
      <c r="B2476" s="1">
        <v>0.60021535471856224</v>
      </c>
      <c r="C2476" s="1">
        <v>116</v>
      </c>
      <c r="D2476" s="1">
        <v>176</v>
      </c>
      <c r="E2476" s="2">
        <v>42768</v>
      </c>
      <c r="F2476" s="6">
        <v>107.5543487259085</v>
      </c>
    </row>
    <row r="2477" spans="1:6">
      <c r="A2477" s="1">
        <v>9128725</v>
      </c>
      <c r="B2477" s="1">
        <v>0.76925026339424285</v>
      </c>
      <c r="C2477" s="1">
        <v>325</v>
      </c>
      <c r="D2477" s="1">
        <v>474</v>
      </c>
      <c r="E2477" s="2">
        <v>42830</v>
      </c>
      <c r="F2477" s="6">
        <v>62.703378324634848</v>
      </c>
    </row>
    <row r="2478" spans="1:6">
      <c r="A2478" s="1">
        <v>9128728</v>
      </c>
      <c r="B2478" s="1">
        <v>0.94228247783426911</v>
      </c>
      <c r="C2478" s="1">
        <v>18</v>
      </c>
      <c r="D2478" s="1">
        <v>176</v>
      </c>
      <c r="E2478" s="2">
        <v>42774</v>
      </c>
      <c r="F2478" s="6">
        <v>21.580597530382434</v>
      </c>
    </row>
    <row r="2479" spans="1:6">
      <c r="A2479" s="1">
        <v>9128731</v>
      </c>
      <c r="B2479" s="1">
        <v>0.37775680440019277</v>
      </c>
      <c r="C2479" s="1">
        <v>6</v>
      </c>
      <c r="D2479" s="1">
        <v>267</v>
      </c>
      <c r="E2479" s="2">
        <v>43011</v>
      </c>
      <c r="F2479" s="6">
        <v>114.95563195784138</v>
      </c>
    </row>
    <row r="2480" spans="1:6">
      <c r="A2480" s="1">
        <v>9128734</v>
      </c>
      <c r="B2480" s="1">
        <v>0.83968349742684933</v>
      </c>
      <c r="C2480" s="1">
        <v>15</v>
      </c>
      <c r="D2480" s="1">
        <v>599</v>
      </c>
      <c r="E2480" s="2">
        <v>42844</v>
      </c>
      <c r="F2480" s="6">
        <v>43.219882828889823</v>
      </c>
    </row>
    <row r="2481" spans="1:6">
      <c r="A2481" s="1">
        <v>9128737</v>
      </c>
      <c r="B2481" s="1">
        <v>0.68270799189573084</v>
      </c>
      <c r="C2481" s="1">
        <v>224</v>
      </c>
      <c r="D2481" s="1">
        <v>231</v>
      </c>
      <c r="E2481" s="2">
        <v>43326</v>
      </c>
      <c r="F2481" s="6">
        <v>22.053218555563483</v>
      </c>
    </row>
    <row r="2482" spans="1:6">
      <c r="A2482" s="1">
        <v>9128740</v>
      </c>
      <c r="B2482" s="1">
        <v>0.76169398149494538</v>
      </c>
      <c r="C2482" s="1">
        <v>19</v>
      </c>
      <c r="D2482" s="1">
        <v>546</v>
      </c>
      <c r="E2482" s="2">
        <v>43116</v>
      </c>
      <c r="F2482" s="6">
        <v>56.578095025368476</v>
      </c>
    </row>
    <row r="2483" spans="1:6">
      <c r="A2483" s="1">
        <v>9128743</v>
      </c>
      <c r="B2483" s="1">
        <v>0.84443925534126674</v>
      </c>
      <c r="C2483" s="1">
        <v>1</v>
      </c>
      <c r="D2483" s="1">
        <v>591</v>
      </c>
      <c r="E2483" s="2">
        <v>43133</v>
      </c>
      <c r="F2483" s="6">
        <v>6.7665255194363478</v>
      </c>
    </row>
    <row r="2484" spans="1:6">
      <c r="A2484" s="1">
        <v>9128746</v>
      </c>
      <c r="B2484" s="1">
        <v>0.8370267628778707</v>
      </c>
      <c r="C2484" s="1">
        <v>35</v>
      </c>
      <c r="D2484" s="1">
        <v>67</v>
      </c>
      <c r="E2484" s="2">
        <v>42879</v>
      </c>
      <c r="F2484" s="6">
        <v>75.053102834027683</v>
      </c>
    </row>
    <row r="2485" spans="1:6">
      <c r="A2485" s="1">
        <v>9128749</v>
      </c>
      <c r="B2485" s="1">
        <v>0.8299931373794518</v>
      </c>
      <c r="C2485" s="1">
        <v>33</v>
      </c>
      <c r="D2485" s="1">
        <v>451</v>
      </c>
      <c r="E2485" s="2">
        <v>42746</v>
      </c>
      <c r="F2485" s="6">
        <v>24.618405769223607</v>
      </c>
    </row>
    <row r="2486" spans="1:6">
      <c r="A2486" s="1">
        <v>9128752</v>
      </c>
      <c r="B2486" s="1">
        <v>0.28718325684511503</v>
      </c>
      <c r="C2486" s="1">
        <v>6</v>
      </c>
      <c r="D2486" s="1">
        <v>487</v>
      </c>
      <c r="E2486" s="2">
        <v>43177</v>
      </c>
      <c r="F2486" s="6">
        <v>16.137912137336436</v>
      </c>
    </row>
    <row r="2487" spans="1:6">
      <c r="A2487" s="1">
        <v>9128755</v>
      </c>
      <c r="B2487" s="1">
        <v>0.37213251140096237</v>
      </c>
      <c r="C2487" s="1">
        <v>28</v>
      </c>
      <c r="D2487" s="1">
        <v>218</v>
      </c>
      <c r="E2487" s="2">
        <v>42917</v>
      </c>
      <c r="F2487" s="6">
        <v>44.4996572007556</v>
      </c>
    </row>
    <row r="2488" spans="1:6">
      <c r="A2488" s="1">
        <v>9128758</v>
      </c>
      <c r="B2488" s="1">
        <v>5.6071185207073437E-2</v>
      </c>
      <c r="C2488" s="1">
        <v>18</v>
      </c>
      <c r="D2488" s="1">
        <v>266</v>
      </c>
      <c r="E2488" s="2">
        <v>43421</v>
      </c>
      <c r="F2488" s="6">
        <v>68.328077008001031</v>
      </c>
    </row>
    <row r="2489" spans="1:6">
      <c r="A2489" s="1">
        <v>9128761</v>
      </c>
      <c r="B2489" s="1">
        <v>0.4757913371868453</v>
      </c>
      <c r="C2489" s="1">
        <v>43</v>
      </c>
      <c r="D2489" s="1">
        <v>458</v>
      </c>
      <c r="E2489" s="2">
        <v>43289</v>
      </c>
      <c r="F2489" s="6">
        <v>574.36961144550901</v>
      </c>
    </row>
    <row r="2490" spans="1:6">
      <c r="A2490" s="1">
        <v>9128764</v>
      </c>
      <c r="B2490" s="1">
        <v>0.20062133910173663</v>
      </c>
      <c r="C2490" s="1">
        <v>10</v>
      </c>
      <c r="D2490" s="1">
        <v>155</v>
      </c>
      <c r="E2490" s="2">
        <v>43167</v>
      </c>
      <c r="F2490" s="6">
        <v>74.623644747109921</v>
      </c>
    </row>
    <row r="2491" spans="1:6">
      <c r="A2491" s="1">
        <v>9128767</v>
      </c>
      <c r="B2491" s="1">
        <v>0.72835443627814267</v>
      </c>
      <c r="C2491" s="1">
        <v>119</v>
      </c>
      <c r="D2491" s="1">
        <v>361</v>
      </c>
      <c r="E2491" s="2">
        <v>43257</v>
      </c>
      <c r="F2491" s="6">
        <v>26.402033877268074</v>
      </c>
    </row>
    <row r="2492" spans="1:6">
      <c r="A2492" s="1">
        <v>9128770</v>
      </c>
      <c r="B2492" s="1">
        <v>0.98183438885713337</v>
      </c>
      <c r="C2492" s="1">
        <v>10</v>
      </c>
      <c r="D2492" s="1">
        <v>474</v>
      </c>
      <c r="E2492" s="2">
        <v>42915</v>
      </c>
      <c r="F2492" s="6">
        <v>182.39626208879369</v>
      </c>
    </row>
    <row r="2493" spans="1:6">
      <c r="A2493" s="1">
        <v>9128773</v>
      </c>
      <c r="B2493" s="1">
        <v>0.85335010692651614</v>
      </c>
      <c r="C2493" s="1">
        <v>4</v>
      </c>
      <c r="D2493" s="1">
        <v>12</v>
      </c>
      <c r="E2493" s="2">
        <v>42787</v>
      </c>
      <c r="F2493" s="6">
        <v>18.996639655400514</v>
      </c>
    </row>
    <row r="2494" spans="1:6">
      <c r="A2494" s="1">
        <v>9128776</v>
      </c>
      <c r="B2494" s="1">
        <v>0.46649172075413892</v>
      </c>
      <c r="C2494" s="1">
        <v>2</v>
      </c>
      <c r="D2494" s="1">
        <v>526</v>
      </c>
      <c r="E2494" s="2">
        <v>43136</v>
      </c>
      <c r="F2494" s="6">
        <v>5.3060234153131294</v>
      </c>
    </row>
    <row r="2495" spans="1:6">
      <c r="A2495" s="1">
        <v>9128779</v>
      </c>
      <c r="B2495" s="1">
        <v>0.36521615619574932</v>
      </c>
      <c r="C2495" s="1">
        <v>4</v>
      </c>
      <c r="D2495" s="1">
        <v>348</v>
      </c>
      <c r="E2495" s="2">
        <v>43011</v>
      </c>
      <c r="F2495" s="6">
        <v>45.125120095815639</v>
      </c>
    </row>
    <row r="2496" spans="1:6">
      <c r="A2496" s="1">
        <v>9128782</v>
      </c>
      <c r="B2496" s="1">
        <v>3.7765580769466567E-2</v>
      </c>
      <c r="C2496" s="1">
        <v>81</v>
      </c>
      <c r="D2496" s="1">
        <v>551</v>
      </c>
      <c r="E2496" s="2">
        <v>43254</v>
      </c>
      <c r="F2496" s="6">
        <v>26.965545089607893</v>
      </c>
    </row>
    <row r="2497" spans="1:6">
      <c r="A2497" s="1">
        <v>9128785</v>
      </c>
      <c r="B2497" s="1">
        <v>0.85064156800230084</v>
      </c>
      <c r="C2497" s="1">
        <v>181</v>
      </c>
      <c r="D2497" s="1">
        <v>366</v>
      </c>
      <c r="E2497" s="2">
        <v>43245</v>
      </c>
      <c r="F2497" s="6">
        <v>12.112971505261932</v>
      </c>
    </row>
    <row r="2498" spans="1:6">
      <c r="A2498" s="1">
        <v>9128788</v>
      </c>
      <c r="B2498" s="1">
        <v>0.70006990793618729</v>
      </c>
      <c r="C2498" s="1">
        <v>137</v>
      </c>
      <c r="D2498" s="1">
        <v>139</v>
      </c>
      <c r="E2498" s="2">
        <v>42877</v>
      </c>
      <c r="F2498" s="6">
        <v>16.435774544783051</v>
      </c>
    </row>
    <row r="2499" spans="1:6">
      <c r="A2499" s="1">
        <v>9128791</v>
      </c>
      <c r="B2499" s="1">
        <v>0.61430481171892348</v>
      </c>
      <c r="C2499" s="1">
        <v>6</v>
      </c>
      <c r="D2499" s="1">
        <v>296</v>
      </c>
      <c r="E2499" s="2">
        <v>43221</v>
      </c>
      <c r="F2499" s="6">
        <v>17.693907377396837</v>
      </c>
    </row>
    <row r="2500" spans="1:6">
      <c r="A2500" s="1">
        <v>9128794</v>
      </c>
      <c r="B2500" s="1">
        <v>0.14582691528442737</v>
      </c>
      <c r="C2500" s="1">
        <v>14</v>
      </c>
      <c r="D2500" s="1">
        <v>176</v>
      </c>
      <c r="E2500" s="2">
        <v>42820</v>
      </c>
      <c r="F2500" s="6">
        <v>46.528074806407645</v>
      </c>
    </row>
    <row r="2501" spans="1:6">
      <c r="A2501" s="1">
        <v>9128797</v>
      </c>
      <c r="B2501" s="1">
        <v>0.41816067504192411</v>
      </c>
      <c r="C2501" s="1">
        <v>63</v>
      </c>
      <c r="D2501" s="1">
        <v>427</v>
      </c>
      <c r="E2501" s="2">
        <v>43438</v>
      </c>
      <c r="F2501" s="6">
        <v>11.904631976630689</v>
      </c>
    </row>
    <row r="2502" spans="1:6">
      <c r="A2502" s="1">
        <v>9128800</v>
      </c>
      <c r="B2502" s="1">
        <v>0.43857744799770171</v>
      </c>
      <c r="C2502" s="1">
        <v>72</v>
      </c>
      <c r="D2502" s="1">
        <v>597</v>
      </c>
      <c r="E2502" s="2">
        <v>43496</v>
      </c>
      <c r="F2502" s="6">
        <v>3.2403124035751145</v>
      </c>
    </row>
    <row r="2503" spans="1:6">
      <c r="A2503" s="1">
        <v>9128803</v>
      </c>
      <c r="B2503" s="1">
        <v>0.33225485108885611</v>
      </c>
      <c r="C2503" s="1">
        <v>1</v>
      </c>
      <c r="D2503" s="1">
        <v>492</v>
      </c>
      <c r="E2503" s="2">
        <v>42940</v>
      </c>
      <c r="F2503" s="6">
        <v>49.018345590596525</v>
      </c>
    </row>
    <row r="2504" spans="1:6">
      <c r="A2504" s="1">
        <v>9128806</v>
      </c>
      <c r="B2504" s="1">
        <v>0.90601790452030473</v>
      </c>
      <c r="C2504" s="1">
        <v>35</v>
      </c>
      <c r="D2504" s="1">
        <v>263</v>
      </c>
      <c r="E2504" s="2">
        <v>42796</v>
      </c>
      <c r="F2504" s="6">
        <v>185.73662661616831</v>
      </c>
    </row>
    <row r="2505" spans="1:6">
      <c r="A2505" s="1">
        <v>9128809</v>
      </c>
      <c r="B2505" s="1">
        <v>0.27969113850609517</v>
      </c>
      <c r="C2505" s="1">
        <v>206</v>
      </c>
      <c r="D2505" s="1">
        <v>573</v>
      </c>
      <c r="E2505" s="2">
        <v>43140</v>
      </c>
      <c r="F2505" s="6">
        <v>13.599125583193874</v>
      </c>
    </row>
    <row r="2506" spans="1:6">
      <c r="A2506" s="1">
        <v>9128812</v>
      </c>
      <c r="B2506" s="1">
        <v>0.7137073595177178</v>
      </c>
      <c r="C2506" s="1">
        <v>2</v>
      </c>
      <c r="D2506" s="1">
        <v>182</v>
      </c>
      <c r="E2506" s="2">
        <v>43169</v>
      </c>
      <c r="F2506" s="6">
        <v>48.501702976656503</v>
      </c>
    </row>
    <row r="2507" spans="1:6">
      <c r="A2507" s="1">
        <v>9128815</v>
      </c>
      <c r="B2507" s="1">
        <v>0.743818812799796</v>
      </c>
      <c r="C2507" s="1">
        <v>6</v>
      </c>
      <c r="D2507" s="1">
        <v>258</v>
      </c>
      <c r="E2507" s="2">
        <v>43054</v>
      </c>
      <c r="F2507" s="6">
        <v>24.539290658474382</v>
      </c>
    </row>
    <row r="2508" spans="1:6">
      <c r="A2508" s="1">
        <v>9128818</v>
      </c>
      <c r="B2508" s="1">
        <v>0.51106880021229217</v>
      </c>
      <c r="C2508" s="1">
        <v>13</v>
      </c>
      <c r="D2508" s="1">
        <v>163</v>
      </c>
      <c r="E2508" s="2">
        <v>42976</v>
      </c>
      <c r="F2508" s="6">
        <v>15.591280595481008</v>
      </c>
    </row>
    <row r="2509" spans="1:6">
      <c r="A2509" s="1">
        <v>9128821</v>
      </c>
      <c r="B2509" s="1">
        <v>0.98746054151262519</v>
      </c>
      <c r="C2509" s="1">
        <v>229</v>
      </c>
      <c r="D2509" s="1">
        <v>190</v>
      </c>
      <c r="E2509" s="2">
        <v>42870</v>
      </c>
      <c r="F2509" s="6">
        <v>17.576648073003462</v>
      </c>
    </row>
    <row r="2510" spans="1:6">
      <c r="A2510" s="1">
        <v>9128824</v>
      </c>
      <c r="B2510" s="1">
        <v>0.48331351659786259</v>
      </c>
      <c r="C2510" s="1">
        <v>89</v>
      </c>
      <c r="D2510" s="1">
        <v>358</v>
      </c>
      <c r="E2510" s="2">
        <v>43236</v>
      </c>
      <c r="F2510" s="6">
        <v>5.8428536113635143</v>
      </c>
    </row>
    <row r="2511" spans="1:6">
      <c r="A2511" s="1">
        <v>9128827</v>
      </c>
      <c r="B2511" s="1">
        <v>0.49133326117235332</v>
      </c>
      <c r="C2511" s="1">
        <v>22</v>
      </c>
      <c r="D2511" s="1">
        <v>182</v>
      </c>
      <c r="E2511" s="2">
        <v>43417</v>
      </c>
      <c r="F2511" s="6">
        <v>62.580828843076951</v>
      </c>
    </row>
    <row r="2512" spans="1:6">
      <c r="A2512" s="1">
        <v>9128830</v>
      </c>
      <c r="B2512" s="1">
        <v>0.15472042923825513</v>
      </c>
      <c r="C2512" s="1">
        <v>40</v>
      </c>
      <c r="D2512" s="1">
        <v>575</v>
      </c>
      <c r="E2512" s="2">
        <v>43220</v>
      </c>
      <c r="F2512" s="6">
        <v>56.138586976303081</v>
      </c>
    </row>
    <row r="2513" spans="1:6">
      <c r="A2513" s="1">
        <v>9128833</v>
      </c>
      <c r="B2513" s="1">
        <v>0.83123371869322449</v>
      </c>
      <c r="C2513" s="1">
        <v>49</v>
      </c>
      <c r="D2513" s="1">
        <v>330</v>
      </c>
      <c r="E2513" s="2">
        <v>42886</v>
      </c>
      <c r="F2513" s="6">
        <v>92.121082372811173</v>
      </c>
    </row>
    <row r="2514" spans="1:6">
      <c r="A2514" s="1">
        <v>9128836</v>
      </c>
      <c r="B2514" s="1">
        <v>0.95930860028103193</v>
      </c>
      <c r="C2514" s="1">
        <v>99</v>
      </c>
      <c r="D2514" s="1">
        <v>492</v>
      </c>
      <c r="E2514" s="2">
        <v>43091</v>
      </c>
      <c r="F2514" s="6">
        <v>17.791142316491445</v>
      </c>
    </row>
    <row r="2515" spans="1:6">
      <c r="A2515" s="1">
        <v>9128839</v>
      </c>
      <c r="B2515" s="1">
        <v>0.81698528082725308</v>
      </c>
      <c r="C2515" s="1">
        <v>71</v>
      </c>
      <c r="D2515" s="1">
        <v>258</v>
      </c>
      <c r="E2515" s="2">
        <v>43466</v>
      </c>
      <c r="F2515" s="6">
        <v>93.062817365295288</v>
      </c>
    </row>
    <row r="2516" spans="1:6">
      <c r="A2516" s="1">
        <v>9128842</v>
      </c>
      <c r="B2516" s="1">
        <v>0.62460837793852397</v>
      </c>
      <c r="C2516" s="1">
        <v>8</v>
      </c>
      <c r="D2516" s="1">
        <v>126</v>
      </c>
      <c r="E2516" s="2">
        <v>42766</v>
      </c>
      <c r="F2516" s="6">
        <v>7.2318438509382172</v>
      </c>
    </row>
    <row r="2517" spans="1:6">
      <c r="A2517" s="1">
        <v>9128845</v>
      </c>
      <c r="B2517" s="1">
        <v>8.0600378541214712E-2</v>
      </c>
      <c r="C2517" s="1">
        <v>1</v>
      </c>
      <c r="D2517" s="1">
        <v>105</v>
      </c>
      <c r="E2517" s="2">
        <v>43413</v>
      </c>
      <c r="F2517" s="6">
        <v>36.028797524390939</v>
      </c>
    </row>
    <row r="2518" spans="1:6">
      <c r="A2518" s="1">
        <v>9128848</v>
      </c>
      <c r="B2518" s="1">
        <v>0.38006141196822585</v>
      </c>
      <c r="C2518" s="1">
        <v>3</v>
      </c>
      <c r="D2518" s="1">
        <v>510</v>
      </c>
      <c r="E2518" s="2">
        <v>43317</v>
      </c>
      <c r="F2518" s="6">
        <v>77.056370832998098</v>
      </c>
    </row>
    <row r="2519" spans="1:6">
      <c r="A2519" s="1">
        <v>9128851</v>
      </c>
      <c r="B2519" s="1">
        <v>0.66644370976014566</v>
      </c>
      <c r="C2519" s="1">
        <v>24</v>
      </c>
      <c r="D2519" s="1">
        <v>431</v>
      </c>
      <c r="E2519" s="2">
        <v>42738</v>
      </c>
      <c r="F2519" s="6">
        <v>213.41411360926313</v>
      </c>
    </row>
    <row r="2520" spans="1:6">
      <c r="A2520" s="1">
        <v>9128854</v>
      </c>
      <c r="B2520" s="1">
        <v>0.24027043637980905</v>
      </c>
      <c r="C2520" s="1">
        <v>1</v>
      </c>
      <c r="D2520" s="1">
        <v>368</v>
      </c>
      <c r="E2520" s="2">
        <v>42993</v>
      </c>
      <c r="F2520" s="6">
        <v>3.208126868146008</v>
      </c>
    </row>
    <row r="2521" spans="1:6">
      <c r="A2521" s="1">
        <v>9128857</v>
      </c>
      <c r="B2521" s="1">
        <v>0.20874659958546105</v>
      </c>
      <c r="C2521" s="1">
        <v>6</v>
      </c>
      <c r="D2521" s="1">
        <v>575</v>
      </c>
      <c r="E2521" s="2">
        <v>43369</v>
      </c>
      <c r="F2521" s="6">
        <v>77.433440496622026</v>
      </c>
    </row>
    <row r="2522" spans="1:6">
      <c r="A2522" s="1">
        <v>9128860</v>
      </c>
      <c r="B2522" s="1">
        <v>0.4656447942371863</v>
      </c>
      <c r="C2522" s="1">
        <v>107</v>
      </c>
      <c r="D2522" s="1">
        <v>492</v>
      </c>
      <c r="E2522" s="2">
        <v>43034</v>
      </c>
      <c r="F2522" s="6">
        <v>11.021053255902292</v>
      </c>
    </row>
    <row r="2523" spans="1:6">
      <c r="A2523" s="1">
        <v>9128863</v>
      </c>
      <c r="B2523" s="1">
        <v>0.7831923900140485</v>
      </c>
      <c r="C2523" s="1">
        <v>2</v>
      </c>
      <c r="D2523" s="1">
        <v>502</v>
      </c>
      <c r="E2523" s="2">
        <v>43283</v>
      </c>
      <c r="F2523" s="6">
        <v>40.652522962569968</v>
      </c>
    </row>
    <row r="2524" spans="1:6">
      <c r="A2524" s="1">
        <v>9128866</v>
      </c>
      <c r="B2524" s="1">
        <v>0.36445040027093267</v>
      </c>
      <c r="C2524" s="1">
        <v>30</v>
      </c>
      <c r="D2524" s="1">
        <v>221</v>
      </c>
      <c r="E2524" s="2">
        <v>43320</v>
      </c>
      <c r="F2524" s="6">
        <v>9.3229633037490096</v>
      </c>
    </row>
    <row r="2525" spans="1:6">
      <c r="A2525" s="1">
        <v>9128869</v>
      </c>
      <c r="B2525" s="1">
        <v>0.83137305907426406</v>
      </c>
      <c r="C2525" s="1">
        <v>18</v>
      </c>
      <c r="D2525" s="1">
        <v>457</v>
      </c>
      <c r="E2525" s="2">
        <v>43402</v>
      </c>
      <c r="F2525" s="6">
        <v>6.4230780294922685</v>
      </c>
    </row>
    <row r="2526" spans="1:6">
      <c r="A2526" s="1">
        <v>9128872</v>
      </c>
      <c r="B2526" s="1">
        <v>0.26906590286890442</v>
      </c>
      <c r="C2526" s="1">
        <v>165</v>
      </c>
      <c r="D2526" s="1">
        <v>149</v>
      </c>
      <c r="E2526" s="2">
        <v>43388</v>
      </c>
      <c r="F2526" s="6">
        <v>3.9586094366566793</v>
      </c>
    </row>
    <row r="2527" spans="1:6">
      <c r="A2527" s="1">
        <v>9128875</v>
      </c>
      <c r="B2527" s="1">
        <v>0.15873035795234702</v>
      </c>
      <c r="C2527" s="1">
        <v>149</v>
      </c>
      <c r="D2527" s="1">
        <v>453</v>
      </c>
      <c r="E2527" s="2">
        <v>43274</v>
      </c>
      <c r="F2527" s="6">
        <v>6.6944578505926504</v>
      </c>
    </row>
    <row r="2528" spans="1:6">
      <c r="A2528" s="1">
        <v>9128878</v>
      </c>
      <c r="B2528" s="1">
        <v>0.14354461573325317</v>
      </c>
      <c r="C2528" s="1">
        <v>38</v>
      </c>
      <c r="D2528" s="1">
        <v>499</v>
      </c>
      <c r="E2528" s="2">
        <v>43357</v>
      </c>
      <c r="F2528" s="6">
        <v>14.183747991741379</v>
      </c>
    </row>
    <row r="2529" spans="1:6">
      <c r="A2529" s="1">
        <v>9128881</v>
      </c>
      <c r="B2529" s="1">
        <v>0.86807698263106003</v>
      </c>
      <c r="C2529" s="1">
        <v>7</v>
      </c>
      <c r="D2529" s="1">
        <v>592</v>
      </c>
      <c r="E2529" s="2">
        <v>42762</v>
      </c>
      <c r="F2529" s="6">
        <v>38.275227187032385</v>
      </c>
    </row>
    <row r="2530" spans="1:6">
      <c r="A2530" s="1">
        <v>9128884</v>
      </c>
      <c r="B2530" s="1">
        <v>0.45986561542286275</v>
      </c>
      <c r="C2530" s="1">
        <v>20</v>
      </c>
      <c r="D2530" s="1">
        <v>146</v>
      </c>
      <c r="E2530" s="2">
        <v>43029</v>
      </c>
      <c r="F2530" s="6">
        <v>71.750845223926916</v>
      </c>
    </row>
    <row r="2531" spans="1:6">
      <c r="A2531" s="1">
        <v>9128887</v>
      </c>
      <c r="B2531" s="1">
        <v>0.79017529458687841</v>
      </c>
      <c r="C2531" s="1">
        <v>55</v>
      </c>
      <c r="D2531" s="1">
        <v>592</v>
      </c>
      <c r="E2531" s="2">
        <v>42928</v>
      </c>
      <c r="F2531" s="6">
        <v>77.018794336974949</v>
      </c>
    </row>
    <row r="2532" spans="1:6">
      <c r="A2532" s="1">
        <v>9128890</v>
      </c>
      <c r="B2532" s="1">
        <v>0.70498852260072009</v>
      </c>
      <c r="C2532" s="1">
        <v>95</v>
      </c>
      <c r="D2532" s="1">
        <v>448</v>
      </c>
      <c r="E2532" s="2">
        <v>43134</v>
      </c>
      <c r="F2532" s="6">
        <v>7.2319193251441458</v>
      </c>
    </row>
    <row r="2533" spans="1:6">
      <c r="A2533" s="1">
        <v>9128893</v>
      </c>
      <c r="B2533" s="1">
        <v>0.36048970234498667</v>
      </c>
      <c r="C2533" s="1">
        <v>55</v>
      </c>
      <c r="D2533" s="1">
        <v>430</v>
      </c>
      <c r="E2533" s="2">
        <v>42945</v>
      </c>
      <c r="F2533" s="6">
        <v>108.06827973501633</v>
      </c>
    </row>
    <row r="2534" spans="1:6">
      <c r="A2534" s="1">
        <v>9128896</v>
      </c>
      <c r="B2534" s="1">
        <v>0.62293407715256288</v>
      </c>
      <c r="C2534" s="1">
        <v>31</v>
      </c>
      <c r="D2534" s="1">
        <v>176</v>
      </c>
      <c r="E2534" s="2">
        <v>43302</v>
      </c>
      <c r="F2534" s="6">
        <v>129.72497176980741</v>
      </c>
    </row>
    <row r="2535" spans="1:6">
      <c r="A2535" s="1">
        <v>9128899</v>
      </c>
      <c r="B2535" s="1">
        <v>0.16629752725088898</v>
      </c>
      <c r="C2535" s="1">
        <v>55</v>
      </c>
      <c r="D2535" s="1">
        <v>248</v>
      </c>
      <c r="E2535" s="2">
        <v>43306</v>
      </c>
      <c r="F2535" s="6">
        <v>104.37372231356044</v>
      </c>
    </row>
    <row r="2536" spans="1:6">
      <c r="A2536" s="1">
        <v>9128902</v>
      </c>
      <c r="B2536" s="1">
        <v>0.94107511783591369</v>
      </c>
      <c r="C2536" s="1">
        <v>2</v>
      </c>
      <c r="D2536" s="1">
        <v>438</v>
      </c>
      <c r="E2536" s="2">
        <v>43258</v>
      </c>
      <c r="F2536" s="6">
        <v>97.593899638687049</v>
      </c>
    </row>
    <row r="2537" spans="1:6">
      <c r="A2537" s="1">
        <v>9128905</v>
      </c>
      <c r="B2537" s="1">
        <v>0.17798620034133306</v>
      </c>
      <c r="C2537" s="1">
        <v>45</v>
      </c>
      <c r="D2537" s="1">
        <v>139</v>
      </c>
      <c r="E2537" s="2">
        <v>43103</v>
      </c>
      <c r="F2537" s="6">
        <v>5.8690831232004896</v>
      </c>
    </row>
    <row r="2538" spans="1:6">
      <c r="A2538" s="1">
        <v>9128908</v>
      </c>
      <c r="B2538" s="1">
        <v>0.45363745244904563</v>
      </c>
      <c r="C2538" s="1">
        <v>33</v>
      </c>
      <c r="D2538" s="1">
        <v>248</v>
      </c>
      <c r="E2538" s="2">
        <v>42848</v>
      </c>
      <c r="F2538" s="6">
        <v>143.13642650341586</v>
      </c>
    </row>
    <row r="2539" spans="1:6">
      <c r="A2539" s="1">
        <v>9128911</v>
      </c>
      <c r="B2539" s="1">
        <v>2.0478926542063958E-2</v>
      </c>
      <c r="C2539" s="1">
        <v>44</v>
      </c>
      <c r="D2539" s="1">
        <v>84</v>
      </c>
      <c r="E2539" s="2">
        <v>43000</v>
      </c>
      <c r="F2539" s="6">
        <v>9.7467157239121693</v>
      </c>
    </row>
    <row r="2540" spans="1:6">
      <c r="A2540" s="1">
        <v>9128914</v>
      </c>
      <c r="B2540" s="1">
        <v>0.27863929084885974</v>
      </c>
      <c r="C2540" s="1">
        <v>86</v>
      </c>
      <c r="D2540" s="1">
        <v>258</v>
      </c>
      <c r="E2540" s="2">
        <v>43249</v>
      </c>
      <c r="F2540" s="6">
        <v>21.295890118410956</v>
      </c>
    </row>
    <row r="2541" spans="1:6">
      <c r="A2541" s="1">
        <v>9128917</v>
      </c>
      <c r="B2541" s="1">
        <v>0.23861360776597418</v>
      </c>
      <c r="C2541" s="1">
        <v>6</v>
      </c>
      <c r="D2541" s="1">
        <v>176</v>
      </c>
      <c r="E2541" s="2">
        <v>43031</v>
      </c>
      <c r="F2541" s="6">
        <v>84.072557862922451</v>
      </c>
    </row>
    <row r="2542" spans="1:6">
      <c r="A2542" s="1">
        <v>9128920</v>
      </c>
      <c r="B2542" s="1">
        <v>0.8087736670394966</v>
      </c>
      <c r="C2542" s="1">
        <v>21</v>
      </c>
      <c r="D2542" s="1">
        <v>197</v>
      </c>
      <c r="E2542" s="2">
        <v>43065</v>
      </c>
      <c r="F2542" s="6">
        <v>5.2939706032523199</v>
      </c>
    </row>
    <row r="2543" spans="1:6">
      <c r="A2543" s="1">
        <v>9128923</v>
      </c>
      <c r="B2543" s="1">
        <v>0.35612476904770907</v>
      </c>
      <c r="C2543" s="1">
        <v>12</v>
      </c>
      <c r="D2543" s="1">
        <v>510</v>
      </c>
      <c r="E2543" s="2">
        <v>43112</v>
      </c>
      <c r="F2543" s="6">
        <v>87.205712374686286</v>
      </c>
    </row>
    <row r="2544" spans="1:6">
      <c r="A2544" s="1">
        <v>9128926</v>
      </c>
      <c r="B2544" s="1">
        <v>0.94222989123120049</v>
      </c>
      <c r="C2544" s="1">
        <v>8</v>
      </c>
      <c r="D2544" s="1">
        <v>145</v>
      </c>
      <c r="E2544" s="2">
        <v>43085</v>
      </c>
      <c r="F2544" s="6">
        <v>3.0989064029977755</v>
      </c>
    </row>
    <row r="2545" spans="1:6">
      <c r="A2545" s="1">
        <v>9128929</v>
      </c>
      <c r="B2545" s="1">
        <v>2.3380840304772721E-2</v>
      </c>
      <c r="C2545" s="1">
        <v>19</v>
      </c>
      <c r="D2545" s="1">
        <v>22</v>
      </c>
      <c r="E2545" s="2">
        <v>43381</v>
      </c>
      <c r="F2545" s="6">
        <v>17.801262728243785</v>
      </c>
    </row>
    <row r="2546" spans="1:6">
      <c r="A2546" s="1">
        <v>9128932</v>
      </c>
      <c r="B2546" s="1">
        <v>0.25248760103401868</v>
      </c>
      <c r="C2546" s="1">
        <v>3</v>
      </c>
      <c r="D2546" s="1">
        <v>197</v>
      </c>
      <c r="E2546" s="2">
        <v>43083</v>
      </c>
      <c r="F2546" s="6">
        <v>239.90415365016281</v>
      </c>
    </row>
    <row r="2547" spans="1:6">
      <c r="A2547" s="1">
        <v>9128935</v>
      </c>
      <c r="B2547" s="1">
        <v>0.49632962890664045</v>
      </c>
      <c r="C2547" s="1">
        <v>7</v>
      </c>
      <c r="D2547" s="1">
        <v>359</v>
      </c>
      <c r="E2547" s="2">
        <v>43111</v>
      </c>
      <c r="F2547" s="6">
        <v>3.6863885142565214</v>
      </c>
    </row>
    <row r="2548" spans="1:6">
      <c r="A2548" s="1">
        <v>9128938</v>
      </c>
      <c r="B2548" s="1">
        <v>0.87889968169947785</v>
      </c>
      <c r="C2548" s="1">
        <v>3</v>
      </c>
      <c r="D2548" s="1">
        <v>348</v>
      </c>
      <c r="E2548" s="2">
        <v>43202</v>
      </c>
      <c r="F2548" s="6">
        <v>49.352268266200412</v>
      </c>
    </row>
    <row r="2549" spans="1:6">
      <c r="A2549" s="1">
        <v>9128941</v>
      </c>
      <c r="B2549" s="1">
        <v>0.48706400117193771</v>
      </c>
      <c r="C2549" s="1">
        <v>72</v>
      </c>
      <c r="D2549" s="1">
        <v>176</v>
      </c>
      <c r="E2549" s="2">
        <v>43301</v>
      </c>
      <c r="F2549" s="6">
        <v>25.150679815179245</v>
      </c>
    </row>
    <row r="2550" spans="1:6">
      <c r="A2550" s="1">
        <v>9128944</v>
      </c>
      <c r="B2550" s="1">
        <v>0.9875975964434115</v>
      </c>
      <c r="C2550" s="1">
        <v>44</v>
      </c>
      <c r="D2550" s="1">
        <v>388</v>
      </c>
      <c r="E2550" s="2">
        <v>42939</v>
      </c>
      <c r="F2550" s="6">
        <v>68.90478766482363</v>
      </c>
    </row>
    <row r="2551" spans="1:6">
      <c r="A2551" s="1">
        <v>9128947</v>
      </c>
      <c r="B2551" s="1">
        <v>0.27542858039519336</v>
      </c>
      <c r="C2551" s="1">
        <v>603</v>
      </c>
      <c r="D2551" s="1">
        <v>164</v>
      </c>
      <c r="E2551" s="2">
        <v>43108</v>
      </c>
      <c r="F2551" s="6">
        <v>50.67491755426353</v>
      </c>
    </row>
    <row r="2552" spans="1:6">
      <c r="A2552" s="1">
        <v>9128950</v>
      </c>
      <c r="B2552" s="1">
        <v>0.30909769151719024</v>
      </c>
      <c r="C2552" s="1">
        <v>3</v>
      </c>
      <c r="D2552" s="1">
        <v>510</v>
      </c>
      <c r="E2552" s="2">
        <v>43400</v>
      </c>
      <c r="F2552" s="6">
        <v>172.50546094286358</v>
      </c>
    </row>
    <row r="2553" spans="1:6">
      <c r="A2553" s="1">
        <v>9128953</v>
      </c>
      <c r="B2553" s="1">
        <v>0.29614151929652732</v>
      </c>
      <c r="C2553" s="1">
        <v>50</v>
      </c>
      <c r="D2553" s="1">
        <v>115</v>
      </c>
      <c r="E2553" s="2">
        <v>42782</v>
      </c>
      <c r="F2553" s="6">
        <v>145.73345393904916</v>
      </c>
    </row>
    <row r="2554" spans="1:6">
      <c r="A2554" s="1">
        <v>9128956</v>
      </c>
      <c r="B2554" s="1">
        <v>0.57154825561789324</v>
      </c>
      <c r="C2554" s="1">
        <v>105</v>
      </c>
      <c r="D2554" s="1">
        <v>510</v>
      </c>
      <c r="E2554" s="2">
        <v>43189</v>
      </c>
      <c r="F2554" s="6">
        <v>45.363900054113394</v>
      </c>
    </row>
    <row r="2555" spans="1:6">
      <c r="A2555" s="1">
        <v>9128959</v>
      </c>
      <c r="B2555" s="1">
        <v>0.54414570290344655</v>
      </c>
      <c r="C2555" s="1">
        <v>38</v>
      </c>
      <c r="D2555" s="1">
        <v>12</v>
      </c>
      <c r="E2555" s="2">
        <v>43202</v>
      </c>
      <c r="F2555" s="6">
        <v>52.618762987792273</v>
      </c>
    </row>
    <row r="2556" spans="1:6">
      <c r="A2556" s="1">
        <v>9128962</v>
      </c>
      <c r="B2556" s="1">
        <v>0.51464130979082701</v>
      </c>
      <c r="C2556" s="1">
        <v>25</v>
      </c>
      <c r="D2556" s="1">
        <v>38</v>
      </c>
      <c r="E2556" s="2">
        <v>43476</v>
      </c>
      <c r="F2556" s="6">
        <v>181.26576164329254</v>
      </c>
    </row>
    <row r="2557" spans="1:6">
      <c r="A2557" s="1">
        <v>9128965</v>
      </c>
      <c r="B2557" s="1">
        <v>0.3795707228548667</v>
      </c>
      <c r="C2557" s="1">
        <v>132</v>
      </c>
      <c r="D2557" s="1">
        <v>451</v>
      </c>
      <c r="E2557" s="2">
        <v>43041</v>
      </c>
      <c r="F2557" s="6">
        <v>16.139301526527149</v>
      </c>
    </row>
    <row r="2558" spans="1:6">
      <c r="A2558" s="1">
        <v>9128968</v>
      </c>
      <c r="B2558" s="1">
        <v>0.33504227707049405</v>
      </c>
      <c r="C2558" s="1">
        <v>5</v>
      </c>
      <c r="D2558" s="1">
        <v>182</v>
      </c>
      <c r="E2558" s="2">
        <v>43055</v>
      </c>
      <c r="F2558" s="6">
        <v>12.052380558606721</v>
      </c>
    </row>
    <row r="2559" spans="1:6">
      <c r="A2559" s="1">
        <v>9128971</v>
      </c>
      <c r="B2559" s="1">
        <v>0.57222230425494214</v>
      </c>
      <c r="C2559" s="1">
        <v>1</v>
      </c>
      <c r="D2559" s="1">
        <v>592</v>
      </c>
      <c r="E2559" s="2">
        <v>43217</v>
      </c>
      <c r="F2559" s="6">
        <v>33.889849750267047</v>
      </c>
    </row>
    <row r="2560" spans="1:6">
      <c r="A2560" s="1">
        <v>9128974</v>
      </c>
      <c r="B2560" s="1">
        <v>0.61350968110417536</v>
      </c>
      <c r="C2560" s="1">
        <v>2</v>
      </c>
      <c r="D2560" s="1">
        <v>138</v>
      </c>
      <c r="E2560" s="2">
        <v>42853</v>
      </c>
      <c r="F2560" s="6">
        <v>11.419419523304377</v>
      </c>
    </row>
    <row r="2561" spans="1:6">
      <c r="A2561" s="1">
        <v>9128977</v>
      </c>
      <c r="B2561" s="1">
        <v>0.89320577975628623</v>
      </c>
      <c r="C2561" s="1">
        <v>201</v>
      </c>
      <c r="D2561" s="1">
        <v>548</v>
      </c>
      <c r="E2561" s="2">
        <v>43015</v>
      </c>
      <c r="F2561" s="6">
        <v>4.8308606000862948</v>
      </c>
    </row>
    <row r="2562" spans="1:6">
      <c r="A2562" s="1">
        <v>9128980</v>
      </c>
      <c r="B2562" s="1">
        <v>0.43523364459720426</v>
      </c>
      <c r="C2562" s="1">
        <v>52</v>
      </c>
      <c r="D2562" s="1">
        <v>146</v>
      </c>
      <c r="E2562" s="2">
        <v>43128</v>
      </c>
      <c r="F2562" s="6">
        <v>81.066668663388711</v>
      </c>
    </row>
    <row r="2563" spans="1:6">
      <c r="A2563" s="1">
        <v>9128983</v>
      </c>
      <c r="B2563" s="1">
        <v>0.53082793787047733</v>
      </c>
      <c r="C2563" s="1">
        <v>180</v>
      </c>
      <c r="D2563" s="1">
        <v>551</v>
      </c>
      <c r="E2563" s="2">
        <v>43101</v>
      </c>
      <c r="F2563" s="6">
        <v>19.107974390482202</v>
      </c>
    </row>
    <row r="2564" spans="1:6">
      <c r="A2564" s="1">
        <v>9128986</v>
      </c>
      <c r="B2564" s="1">
        <v>0.60952430218116438</v>
      </c>
      <c r="C2564" s="1">
        <v>110</v>
      </c>
      <c r="D2564" s="1">
        <v>182</v>
      </c>
      <c r="E2564" s="2">
        <v>43091</v>
      </c>
      <c r="F2564" s="6">
        <v>348.15580399628163</v>
      </c>
    </row>
    <row r="2565" spans="1:6">
      <c r="A2565" s="1">
        <v>9128989</v>
      </c>
      <c r="B2565" s="1">
        <v>0.95358815708437528</v>
      </c>
      <c r="C2565" s="1">
        <v>63</v>
      </c>
      <c r="D2565" s="1">
        <v>177</v>
      </c>
      <c r="E2565" s="2">
        <v>42835</v>
      </c>
      <c r="F2565" s="6">
        <v>6.2509417220166679</v>
      </c>
    </row>
    <row r="2566" spans="1:6">
      <c r="A2566" s="1">
        <v>9128992</v>
      </c>
      <c r="B2566" s="1">
        <v>0.67401157649827237</v>
      </c>
      <c r="C2566" s="1">
        <v>104</v>
      </c>
      <c r="D2566" s="1">
        <v>594</v>
      </c>
      <c r="E2566" s="2">
        <v>43250</v>
      </c>
      <c r="F2566" s="6">
        <v>35.634487875581364</v>
      </c>
    </row>
    <row r="2567" spans="1:6">
      <c r="A2567" s="1">
        <v>9128995</v>
      </c>
      <c r="B2567" s="1">
        <v>0.90236911781697882</v>
      </c>
      <c r="C2567" s="1">
        <v>33</v>
      </c>
      <c r="D2567" s="1">
        <v>146</v>
      </c>
      <c r="E2567" s="2">
        <v>42791</v>
      </c>
      <c r="F2567" s="6">
        <v>7.3344275997053776</v>
      </c>
    </row>
    <row r="2568" spans="1:6">
      <c r="A2568" s="1">
        <v>9128998</v>
      </c>
      <c r="B2568" s="1">
        <v>0.13847882323104421</v>
      </c>
      <c r="C2568" s="1">
        <v>47</v>
      </c>
      <c r="D2568" s="1">
        <v>359</v>
      </c>
      <c r="E2568" s="2">
        <v>42985</v>
      </c>
      <c r="F2568" s="6">
        <v>7.1985733623491974</v>
      </c>
    </row>
    <row r="2569" spans="1:6">
      <c r="A2569" s="1">
        <v>9129001</v>
      </c>
      <c r="B2569" s="1">
        <v>0.81066651886675845</v>
      </c>
      <c r="C2569" s="1">
        <v>11</v>
      </c>
      <c r="D2569" s="1">
        <v>139</v>
      </c>
      <c r="E2569" s="2">
        <v>43327</v>
      </c>
      <c r="F2569" s="6">
        <v>29.963136031753717</v>
      </c>
    </row>
    <row r="2570" spans="1:6">
      <c r="A2570" s="1">
        <v>9129004</v>
      </c>
      <c r="B2570" s="1">
        <v>0.77840302331725386</v>
      </c>
      <c r="C2570" s="1">
        <v>77</v>
      </c>
      <c r="D2570" s="1">
        <v>368</v>
      </c>
      <c r="E2570" s="2">
        <v>43038</v>
      </c>
      <c r="F2570" s="6">
        <v>24.834820704062341</v>
      </c>
    </row>
    <row r="2571" spans="1:6">
      <c r="A2571" s="1">
        <v>9129007</v>
      </c>
      <c r="B2571" s="1">
        <v>0.24388524220763719</v>
      </c>
      <c r="C2571" s="1">
        <v>204</v>
      </c>
      <c r="D2571" s="1">
        <v>510</v>
      </c>
      <c r="E2571" s="2">
        <v>43055</v>
      </c>
      <c r="F2571" s="6">
        <v>345.11544852147836</v>
      </c>
    </row>
    <row r="2572" spans="1:6">
      <c r="A2572" s="1">
        <v>9129010</v>
      </c>
      <c r="B2572" s="1">
        <v>0.68975644562537819</v>
      </c>
      <c r="C2572" s="1">
        <v>61</v>
      </c>
      <c r="D2572" s="1">
        <v>149</v>
      </c>
      <c r="E2572" s="2">
        <v>42817</v>
      </c>
      <c r="F2572" s="6">
        <v>245.72616399412445</v>
      </c>
    </row>
    <row r="2573" spans="1:6">
      <c r="A2573" s="1">
        <v>9129013</v>
      </c>
      <c r="B2573" s="1">
        <v>8.0209607233570845E-2</v>
      </c>
      <c r="C2573" s="1">
        <v>3</v>
      </c>
      <c r="D2573" s="1">
        <v>537</v>
      </c>
      <c r="E2573" s="2">
        <v>42825</v>
      </c>
      <c r="F2573" s="6">
        <v>26.100907779428166</v>
      </c>
    </row>
    <row r="2574" spans="1:6">
      <c r="A2574" s="1">
        <v>9129016</v>
      </c>
      <c r="B2574" s="1">
        <v>0.85743431875190801</v>
      </c>
      <c r="C2574" s="1">
        <v>2</v>
      </c>
      <c r="D2574" s="1">
        <v>176</v>
      </c>
      <c r="E2574" s="2">
        <v>43312</v>
      </c>
      <c r="F2574" s="6">
        <v>62.212153362219425</v>
      </c>
    </row>
    <row r="2575" spans="1:6">
      <c r="A2575" s="1">
        <v>9129019</v>
      </c>
      <c r="B2575" s="1">
        <v>0.5100939477882781</v>
      </c>
      <c r="C2575" s="1">
        <v>6</v>
      </c>
      <c r="D2575" s="1">
        <v>176</v>
      </c>
      <c r="E2575" s="2">
        <v>43440</v>
      </c>
      <c r="F2575" s="6">
        <v>6.2807346378334099</v>
      </c>
    </row>
    <row r="2576" spans="1:6">
      <c r="A2576" s="1">
        <v>9129022</v>
      </c>
      <c r="B2576" s="1">
        <v>0.45846233456729846</v>
      </c>
      <c r="C2576" s="1">
        <v>9</v>
      </c>
      <c r="D2576" s="1">
        <v>263</v>
      </c>
      <c r="E2576" s="2">
        <v>43134</v>
      </c>
      <c r="F2576" s="6">
        <v>3.1843550123046698</v>
      </c>
    </row>
    <row r="2577" spans="1:6">
      <c r="A2577" s="1">
        <v>9129025</v>
      </c>
      <c r="B2577" s="1">
        <v>0.10817663642218078</v>
      </c>
      <c r="C2577" s="1">
        <v>107</v>
      </c>
      <c r="D2577" s="1">
        <v>139</v>
      </c>
      <c r="E2577" s="2">
        <v>43277</v>
      </c>
      <c r="F2577" s="6">
        <v>11.634139908813736</v>
      </c>
    </row>
    <row r="2578" spans="1:6">
      <c r="A2578" s="1">
        <v>9129028</v>
      </c>
      <c r="B2578" s="1">
        <v>6.918243006835656E-2</v>
      </c>
      <c r="C2578" s="1">
        <v>27</v>
      </c>
      <c r="D2578" s="1">
        <v>176</v>
      </c>
      <c r="E2578" s="2">
        <v>43103</v>
      </c>
      <c r="F2578" s="6">
        <v>6.4279056635593737</v>
      </c>
    </row>
    <row r="2579" spans="1:6">
      <c r="A2579" s="1">
        <v>9129031</v>
      </c>
      <c r="B2579" s="1">
        <v>0.20436413885348548</v>
      </c>
      <c r="C2579" s="1">
        <v>66</v>
      </c>
      <c r="D2579" s="1">
        <v>509</v>
      </c>
      <c r="E2579" s="2">
        <v>42869</v>
      </c>
      <c r="F2579" s="6">
        <v>85.873111177968724</v>
      </c>
    </row>
    <row r="2580" spans="1:6">
      <c r="A2580" s="1">
        <v>9129034</v>
      </c>
      <c r="B2580" s="1">
        <v>0.51517883593130653</v>
      </c>
      <c r="C2580" s="1">
        <v>63</v>
      </c>
      <c r="D2580" s="1">
        <v>12</v>
      </c>
      <c r="E2580" s="2">
        <v>43367</v>
      </c>
      <c r="F2580" s="6">
        <v>23.341949485163134</v>
      </c>
    </row>
    <row r="2581" spans="1:6">
      <c r="A2581" s="1">
        <v>9129037</v>
      </c>
      <c r="B2581" s="1">
        <v>0.88635706634762801</v>
      </c>
      <c r="C2581" s="1">
        <v>39</v>
      </c>
      <c r="D2581" s="1">
        <v>176</v>
      </c>
      <c r="E2581" s="2">
        <v>43304</v>
      </c>
      <c r="F2581" s="6">
        <v>74.767442204151266</v>
      </c>
    </row>
    <row r="2582" spans="1:6">
      <c r="A2582" s="1">
        <v>9129040</v>
      </c>
      <c r="B2582" s="1">
        <v>0.48282445806798469</v>
      </c>
      <c r="C2582" s="1">
        <v>3</v>
      </c>
      <c r="D2582" s="1">
        <v>492</v>
      </c>
      <c r="E2582" s="2">
        <v>43238</v>
      </c>
      <c r="F2582" s="6">
        <v>91.418849394850085</v>
      </c>
    </row>
    <row r="2583" spans="1:6">
      <c r="A2583" s="1">
        <v>9129043</v>
      </c>
      <c r="B2583" s="1">
        <v>0.25199297430520273</v>
      </c>
      <c r="C2583" s="1">
        <v>273</v>
      </c>
      <c r="D2583" s="1">
        <v>361</v>
      </c>
      <c r="E2583" s="2">
        <v>43370</v>
      </c>
      <c r="F2583" s="6">
        <v>93.091781648306494</v>
      </c>
    </row>
    <row r="2584" spans="1:6">
      <c r="A2584" s="1">
        <v>9129046</v>
      </c>
      <c r="B2584" s="1">
        <v>0.59176933823841271</v>
      </c>
      <c r="C2584" s="1">
        <v>49</v>
      </c>
      <c r="D2584" s="1">
        <v>546</v>
      </c>
      <c r="E2584" s="2">
        <v>43367</v>
      </c>
      <c r="F2584" s="6">
        <v>3.7216572165910029</v>
      </c>
    </row>
    <row r="2585" spans="1:6">
      <c r="A2585" s="1">
        <v>9129049</v>
      </c>
      <c r="B2585" s="1">
        <v>0.29634166422486063</v>
      </c>
      <c r="C2585" s="1">
        <v>65</v>
      </c>
      <c r="D2585" s="1">
        <v>495</v>
      </c>
      <c r="E2585" s="2">
        <v>43445</v>
      </c>
      <c r="F2585" s="6">
        <v>149.17404815928282</v>
      </c>
    </row>
    <row r="2586" spans="1:6">
      <c r="A2586" s="1">
        <v>9129052</v>
      </c>
      <c r="B2586" s="1">
        <v>0.43378699883350713</v>
      </c>
      <c r="C2586" s="1">
        <v>25</v>
      </c>
      <c r="D2586" s="1">
        <v>348</v>
      </c>
      <c r="E2586" s="2">
        <v>42907</v>
      </c>
      <c r="F2586" s="6">
        <v>132.4607841453506</v>
      </c>
    </row>
    <row r="2587" spans="1:6">
      <c r="A2587" s="1">
        <v>9129055</v>
      </c>
      <c r="B2587" s="1">
        <v>0.88011529306967928</v>
      </c>
      <c r="C2587" s="1">
        <v>14</v>
      </c>
      <c r="D2587" s="1">
        <v>575</v>
      </c>
      <c r="E2587" s="2">
        <v>42886</v>
      </c>
      <c r="F2587" s="6">
        <v>33.724636626572682</v>
      </c>
    </row>
    <row r="2588" spans="1:6">
      <c r="A2588" s="1">
        <v>9129058</v>
      </c>
      <c r="B2588" s="1">
        <v>0.74970216398611567</v>
      </c>
      <c r="C2588" s="1">
        <v>4</v>
      </c>
      <c r="D2588" s="1">
        <v>126</v>
      </c>
      <c r="E2588" s="2">
        <v>43317</v>
      </c>
      <c r="F2588" s="6">
        <v>72.616494042134022</v>
      </c>
    </row>
    <row r="2589" spans="1:6">
      <c r="A2589" s="1">
        <v>9129061</v>
      </c>
      <c r="B2589" s="1">
        <v>0.77513058667405876</v>
      </c>
      <c r="C2589" s="1">
        <v>83</v>
      </c>
      <c r="D2589" s="1">
        <v>176</v>
      </c>
      <c r="E2589" s="2">
        <v>43380</v>
      </c>
      <c r="F2589" s="6">
        <v>30.184559994157521</v>
      </c>
    </row>
    <row r="2590" spans="1:6">
      <c r="A2590" s="1">
        <v>9129064</v>
      </c>
      <c r="B2590" s="1">
        <v>0.11918072953609715</v>
      </c>
      <c r="C2590" s="1">
        <v>53</v>
      </c>
      <c r="D2590" s="1">
        <v>492</v>
      </c>
      <c r="E2590" s="2">
        <v>42800</v>
      </c>
      <c r="F2590" s="6">
        <v>81.353808532117881</v>
      </c>
    </row>
    <row r="2591" spans="1:6">
      <c r="A2591" s="1">
        <v>9129067</v>
      </c>
      <c r="B2591" s="1">
        <v>0.6800986862657582</v>
      </c>
      <c r="C2591" s="1">
        <v>18</v>
      </c>
      <c r="D2591" s="1">
        <v>510</v>
      </c>
      <c r="E2591" s="2">
        <v>43025</v>
      </c>
      <c r="F2591" s="6">
        <v>71.792277088621006</v>
      </c>
    </row>
    <row r="2592" spans="1:6">
      <c r="A2592" s="1">
        <v>9129070</v>
      </c>
      <c r="B2592" s="1">
        <v>0.18684163637328099</v>
      </c>
      <c r="C2592" s="1">
        <v>9</v>
      </c>
      <c r="D2592" s="1">
        <v>169</v>
      </c>
      <c r="E2592" s="2">
        <v>43175</v>
      </c>
      <c r="F2592" s="6">
        <v>3.9466308736444535</v>
      </c>
    </row>
    <row r="2593" spans="1:6">
      <c r="A2593" s="1">
        <v>9129073</v>
      </c>
      <c r="B2593" s="1">
        <v>0.14672809775491591</v>
      </c>
      <c r="C2593" s="1">
        <v>45</v>
      </c>
      <c r="D2593" s="1">
        <v>564</v>
      </c>
      <c r="E2593" s="2">
        <v>42880</v>
      </c>
      <c r="F2593" s="6">
        <v>248.5300747426086</v>
      </c>
    </row>
    <row r="2594" spans="1:6">
      <c r="A2594" s="1">
        <v>9129076</v>
      </c>
      <c r="B2594" s="1">
        <v>0.31745072876019065</v>
      </c>
      <c r="C2594" s="1">
        <v>16</v>
      </c>
      <c r="D2594" s="1">
        <v>22</v>
      </c>
      <c r="E2594" s="2">
        <v>42887</v>
      </c>
      <c r="F2594" s="6">
        <v>89.854704739978942</v>
      </c>
    </row>
    <row r="2595" spans="1:6">
      <c r="A2595" s="1">
        <v>9129079</v>
      </c>
      <c r="B2595" s="1">
        <v>0.3785639549017602</v>
      </c>
      <c r="C2595" s="1">
        <v>23</v>
      </c>
      <c r="D2595" s="1">
        <v>462</v>
      </c>
      <c r="E2595" s="2">
        <v>42885</v>
      </c>
      <c r="F2595" s="6">
        <v>85.430054295651914</v>
      </c>
    </row>
    <row r="2596" spans="1:6">
      <c r="A2596" s="1">
        <v>9129082</v>
      </c>
      <c r="B2596" s="1">
        <v>3.9298626970415196E-2</v>
      </c>
      <c r="C2596" s="1">
        <v>20</v>
      </c>
      <c r="D2596" s="1">
        <v>13</v>
      </c>
      <c r="E2596" s="2">
        <v>42745</v>
      </c>
      <c r="F2596" s="6">
        <v>24.850322515206138</v>
      </c>
    </row>
    <row r="2597" spans="1:6">
      <c r="A2597" s="1">
        <v>9129085</v>
      </c>
      <c r="B2597" s="1">
        <v>0.64666780177645844</v>
      </c>
      <c r="C2597" s="1">
        <v>17</v>
      </c>
      <c r="D2597" s="1">
        <v>263</v>
      </c>
      <c r="E2597" s="2">
        <v>42742</v>
      </c>
      <c r="F2597" s="6">
        <v>28.903514351687484</v>
      </c>
    </row>
    <row r="2598" spans="1:6">
      <c r="A2598" s="1">
        <v>9129088</v>
      </c>
      <c r="B2598" s="1">
        <v>0.52144599584221274</v>
      </c>
      <c r="C2598" s="1">
        <v>27</v>
      </c>
      <c r="D2598" s="1">
        <v>182</v>
      </c>
      <c r="E2598" s="2">
        <v>43036</v>
      </c>
      <c r="F2598" s="6">
        <v>49.444990697886176</v>
      </c>
    </row>
    <row r="2599" spans="1:6">
      <c r="A2599" s="1">
        <v>9129091</v>
      </c>
      <c r="B2599" s="1">
        <v>7.5411699920109543E-2</v>
      </c>
      <c r="C2599" s="1">
        <v>88</v>
      </c>
      <c r="D2599" s="1">
        <v>29</v>
      </c>
      <c r="E2599" s="2">
        <v>42899</v>
      </c>
      <c r="F2599" s="6">
        <v>20.889214181521091</v>
      </c>
    </row>
    <row r="2600" spans="1:6">
      <c r="A2600" s="1">
        <v>9129094</v>
      </c>
      <c r="B2600" s="1">
        <v>0.36418762128161097</v>
      </c>
      <c r="C2600" s="1">
        <v>6</v>
      </c>
      <c r="D2600" s="1">
        <v>211</v>
      </c>
      <c r="E2600" s="2">
        <v>43393</v>
      </c>
      <c r="F2600" s="6">
        <v>172.34038870751343</v>
      </c>
    </row>
    <row r="2601" spans="1:6">
      <c r="A2601" s="1">
        <v>9129097</v>
      </c>
      <c r="B2601" s="1">
        <v>0.39094655349963203</v>
      </c>
      <c r="C2601" s="1">
        <v>30</v>
      </c>
      <c r="D2601" s="1">
        <v>176</v>
      </c>
      <c r="E2601" s="2">
        <v>43350</v>
      </c>
      <c r="F2601" s="6">
        <v>33.33232882004468</v>
      </c>
    </row>
    <row r="2602" spans="1:6">
      <c r="A2602" s="1">
        <v>9129100</v>
      </c>
      <c r="B2602" s="1">
        <v>0.37506286506415931</v>
      </c>
      <c r="C2602" s="1">
        <v>3</v>
      </c>
      <c r="D2602" s="1">
        <v>510</v>
      </c>
      <c r="E2602" s="2">
        <v>43315</v>
      </c>
      <c r="F2602" s="6">
        <v>117.30510540655523</v>
      </c>
    </row>
    <row r="2603" spans="1:6">
      <c r="A2603" s="1">
        <v>9129103</v>
      </c>
      <c r="B2603" s="1">
        <v>0.14440947101057866</v>
      </c>
      <c r="C2603" s="1">
        <v>57</v>
      </c>
      <c r="D2603" s="1">
        <v>458</v>
      </c>
      <c r="E2603" s="2">
        <v>43084</v>
      </c>
      <c r="F2603" s="6">
        <v>3.3361817508226377</v>
      </c>
    </row>
    <row r="2604" spans="1:6">
      <c r="A2604" s="1">
        <v>9129106</v>
      </c>
      <c r="B2604" s="1">
        <v>0.77430135936306566</v>
      </c>
      <c r="C2604" s="1">
        <v>2</v>
      </c>
      <c r="D2604" s="1">
        <v>327</v>
      </c>
      <c r="E2604" s="2">
        <v>42876</v>
      </c>
      <c r="F2604" s="6">
        <v>47.638273734859943</v>
      </c>
    </row>
    <row r="2605" spans="1:6">
      <c r="A2605" s="1">
        <v>9129109</v>
      </c>
      <c r="B2605" s="1">
        <v>0.4644691380784538</v>
      </c>
      <c r="C2605" s="1">
        <v>8</v>
      </c>
      <c r="D2605" s="1">
        <v>599</v>
      </c>
      <c r="E2605" s="2">
        <v>43398</v>
      </c>
      <c r="F2605" s="6">
        <v>42.558454749712539</v>
      </c>
    </row>
    <row r="2606" spans="1:6">
      <c r="A2606" s="1">
        <v>9129112</v>
      </c>
      <c r="B2606" s="1">
        <v>0.297487232446497</v>
      </c>
      <c r="C2606" s="1">
        <v>4</v>
      </c>
      <c r="D2606" s="1">
        <v>359</v>
      </c>
      <c r="E2606" s="2">
        <v>42764</v>
      </c>
      <c r="F2606" s="6">
        <v>31.296991917004423</v>
      </c>
    </row>
    <row r="2607" spans="1:6">
      <c r="A2607" s="1">
        <v>9129115</v>
      </c>
      <c r="B2607" s="1">
        <v>0.71899822986689998</v>
      </c>
      <c r="C2607" s="1">
        <v>65</v>
      </c>
      <c r="D2607" s="1">
        <v>471</v>
      </c>
      <c r="E2607" s="2">
        <v>43458</v>
      </c>
      <c r="F2607" s="6">
        <v>13.437750824912369</v>
      </c>
    </row>
    <row r="2608" spans="1:6">
      <c r="A2608" s="1">
        <v>9129118</v>
      </c>
      <c r="B2608" s="1">
        <v>0.95816636496134178</v>
      </c>
      <c r="C2608" s="1">
        <v>107</v>
      </c>
      <c r="D2608" s="1">
        <v>457</v>
      </c>
      <c r="E2608" s="2">
        <v>42825</v>
      </c>
      <c r="F2608" s="6">
        <v>142.02960804889332</v>
      </c>
    </row>
    <row r="2609" spans="1:6">
      <c r="A2609" s="1">
        <v>9129121</v>
      </c>
      <c r="B2609" s="1">
        <v>0.1596660110601239</v>
      </c>
      <c r="C2609" s="1">
        <v>104</v>
      </c>
      <c r="D2609" s="1">
        <v>263</v>
      </c>
      <c r="E2609" s="2">
        <v>42947</v>
      </c>
      <c r="F2609" s="6">
        <v>58.758871062208769</v>
      </c>
    </row>
    <row r="2610" spans="1:6">
      <c r="A2610" s="1">
        <v>9129124</v>
      </c>
      <c r="B2610" s="1">
        <v>0.91944143053387606</v>
      </c>
      <c r="C2610" s="1">
        <v>81</v>
      </c>
      <c r="D2610" s="1">
        <v>431</v>
      </c>
      <c r="E2610" s="2">
        <v>43385</v>
      </c>
      <c r="F2610" s="6">
        <v>29.821477249320473</v>
      </c>
    </row>
    <row r="2611" spans="1:6">
      <c r="A2611" s="1">
        <v>9129127</v>
      </c>
      <c r="B2611" s="1">
        <v>0.94511386606651104</v>
      </c>
      <c r="C2611" s="1">
        <v>119</v>
      </c>
      <c r="D2611" s="1">
        <v>176</v>
      </c>
      <c r="E2611" s="2">
        <v>43102</v>
      </c>
      <c r="F2611" s="6">
        <v>80.399954711105437</v>
      </c>
    </row>
    <row r="2612" spans="1:6">
      <c r="A2612" s="1">
        <v>9129130</v>
      </c>
      <c r="B2612" s="1">
        <v>0.76434410248989304</v>
      </c>
      <c r="C2612" s="1">
        <v>3</v>
      </c>
      <c r="D2612" s="1">
        <v>546</v>
      </c>
      <c r="E2612" s="2">
        <v>43264</v>
      </c>
      <c r="F2612" s="6">
        <v>18.985087620310775</v>
      </c>
    </row>
    <row r="2613" spans="1:6">
      <c r="A2613" s="1">
        <v>9129133</v>
      </c>
      <c r="B2613" s="1">
        <v>0.77558490356119902</v>
      </c>
      <c r="C2613" s="1">
        <v>21</v>
      </c>
      <c r="D2613" s="1">
        <v>597</v>
      </c>
      <c r="E2613" s="2">
        <v>43079</v>
      </c>
      <c r="F2613" s="6">
        <v>14.131074233391978</v>
      </c>
    </row>
    <row r="2614" spans="1:6">
      <c r="A2614" s="1">
        <v>9129136</v>
      </c>
      <c r="B2614" s="1">
        <v>0.63201998740914156</v>
      </c>
      <c r="C2614" s="1">
        <v>30</v>
      </c>
      <c r="D2614" s="1">
        <v>417</v>
      </c>
      <c r="E2614" s="2">
        <v>43370</v>
      </c>
      <c r="F2614" s="6">
        <v>9.0356557005725797</v>
      </c>
    </row>
    <row r="2615" spans="1:6">
      <c r="A2615" s="1">
        <v>9129139</v>
      </c>
      <c r="B2615" s="1">
        <v>0.66824587197453933</v>
      </c>
      <c r="C2615" s="1">
        <v>2</v>
      </c>
      <c r="D2615" s="1">
        <v>254</v>
      </c>
      <c r="E2615" s="2">
        <v>43361</v>
      </c>
      <c r="F2615" s="6">
        <v>3.3065067528962198</v>
      </c>
    </row>
    <row r="2616" spans="1:6">
      <c r="A2616" s="1">
        <v>9129142</v>
      </c>
      <c r="B2616" s="1">
        <v>0.84937953675947908</v>
      </c>
      <c r="C2616" s="1">
        <v>96</v>
      </c>
      <c r="D2616" s="1">
        <v>22</v>
      </c>
      <c r="E2616" s="2">
        <v>42771</v>
      </c>
      <c r="F2616" s="6">
        <v>3.0001879512225105</v>
      </c>
    </row>
    <row r="2617" spans="1:6">
      <c r="A2617" s="1">
        <v>9129145</v>
      </c>
      <c r="B2617" s="1">
        <v>0.87668614218683794</v>
      </c>
      <c r="C2617" s="1">
        <v>1</v>
      </c>
      <c r="D2617" s="1">
        <v>366</v>
      </c>
      <c r="E2617" s="2">
        <v>43264</v>
      </c>
      <c r="F2617" s="6">
        <v>4.3505775398006756</v>
      </c>
    </row>
    <row r="2618" spans="1:6">
      <c r="A2618" s="1">
        <v>9129148</v>
      </c>
      <c r="B2618" s="1">
        <v>0.35072100638950865</v>
      </c>
      <c r="C2618" s="1">
        <v>50</v>
      </c>
      <c r="D2618" s="1">
        <v>468</v>
      </c>
      <c r="E2618" s="2">
        <v>43180</v>
      </c>
      <c r="F2618" s="6">
        <v>149.67296244370186</v>
      </c>
    </row>
    <row r="2619" spans="1:6">
      <c r="A2619" s="1">
        <v>9129151</v>
      </c>
      <c r="B2619" s="1">
        <v>0.144200473205361</v>
      </c>
      <c r="C2619" s="1">
        <v>20</v>
      </c>
      <c r="D2619" s="1">
        <v>420</v>
      </c>
      <c r="E2619" s="2">
        <v>43244</v>
      </c>
      <c r="F2619" s="6">
        <v>60.414722679827747</v>
      </c>
    </row>
    <row r="2620" spans="1:6">
      <c r="A2620" s="1">
        <v>9129154</v>
      </c>
      <c r="B2620" s="1">
        <v>0.26746147046863533</v>
      </c>
      <c r="C2620" s="1">
        <v>49</v>
      </c>
      <c r="D2620" s="1">
        <v>12</v>
      </c>
      <c r="E2620" s="2">
        <v>43126</v>
      </c>
      <c r="F2620" s="6">
        <v>201.34590187446906</v>
      </c>
    </row>
    <row r="2621" spans="1:6">
      <c r="A2621" s="1">
        <v>9129157</v>
      </c>
      <c r="B2621" s="1">
        <v>0.66845539152718936</v>
      </c>
      <c r="C2621" s="1">
        <v>12</v>
      </c>
      <c r="D2621" s="1">
        <v>592</v>
      </c>
      <c r="E2621" s="2">
        <v>42787</v>
      </c>
      <c r="F2621" s="6">
        <v>32.836620917113095</v>
      </c>
    </row>
    <row r="2622" spans="1:6">
      <c r="A2622" s="1">
        <v>9129160</v>
      </c>
      <c r="B2622" s="1">
        <v>0.66470551300848391</v>
      </c>
      <c r="C2622" s="1">
        <v>21</v>
      </c>
      <c r="D2622" s="1">
        <v>146</v>
      </c>
      <c r="E2622" s="2">
        <v>43225</v>
      </c>
      <c r="F2622" s="6">
        <v>4.4546055497770336</v>
      </c>
    </row>
    <row r="2623" spans="1:6">
      <c r="A2623" s="1">
        <v>9129163</v>
      </c>
      <c r="B2623" s="1">
        <v>0.65006298855789191</v>
      </c>
      <c r="C2623" s="1">
        <v>269</v>
      </c>
      <c r="D2623" s="1">
        <v>139</v>
      </c>
      <c r="E2623" s="2">
        <v>43051</v>
      </c>
      <c r="F2623" s="6">
        <v>78.092554121122703</v>
      </c>
    </row>
    <row r="2624" spans="1:6">
      <c r="A2624" s="1">
        <v>9129166</v>
      </c>
      <c r="B2624" s="1">
        <v>0.90747307553368428</v>
      </c>
      <c r="C2624" s="1">
        <v>36</v>
      </c>
      <c r="D2624" s="1">
        <v>164</v>
      </c>
      <c r="E2624" s="2">
        <v>43444</v>
      </c>
      <c r="F2624" s="6">
        <v>108.47901168747377</v>
      </c>
    </row>
    <row r="2625" spans="1:6">
      <c r="A2625" s="1">
        <v>9129169</v>
      </c>
      <c r="B2625" s="1">
        <v>0.68431407936720601</v>
      </c>
      <c r="C2625" s="1">
        <v>4</v>
      </c>
      <c r="D2625" s="1">
        <v>564</v>
      </c>
      <c r="E2625" s="2">
        <v>42993</v>
      </c>
      <c r="F2625" s="6">
        <v>56.033077107884488</v>
      </c>
    </row>
    <row r="2626" spans="1:6">
      <c r="A2626" s="1">
        <v>9129172</v>
      </c>
      <c r="B2626" s="1">
        <v>0.95911756262985304</v>
      </c>
      <c r="C2626" s="1">
        <v>43</v>
      </c>
      <c r="D2626" s="1">
        <v>358</v>
      </c>
      <c r="E2626" s="2">
        <v>43457</v>
      </c>
      <c r="F2626" s="6">
        <v>111.29285076113493</v>
      </c>
    </row>
    <row r="2627" spans="1:6">
      <c r="A2627" s="1">
        <v>9129175</v>
      </c>
      <c r="B2627" s="1">
        <v>0.64341226487742742</v>
      </c>
      <c r="C2627" s="1">
        <v>8</v>
      </c>
      <c r="D2627" s="1">
        <v>564</v>
      </c>
      <c r="E2627" s="2">
        <v>43372</v>
      </c>
      <c r="F2627" s="6">
        <v>44.907044420228168</v>
      </c>
    </row>
    <row r="2628" spans="1:6">
      <c r="A2628" s="1">
        <v>9129178</v>
      </c>
      <c r="B2628" s="1">
        <v>0.59077816590271293</v>
      </c>
      <c r="C2628" s="1">
        <v>309</v>
      </c>
      <c r="D2628" s="1">
        <v>40</v>
      </c>
      <c r="E2628" s="2">
        <v>43374</v>
      </c>
      <c r="F2628" s="6">
        <v>12.319408415281739</v>
      </c>
    </row>
    <row r="2629" spans="1:6">
      <c r="A2629" s="1">
        <v>9129181</v>
      </c>
      <c r="B2629" s="1">
        <v>0.92696759055930555</v>
      </c>
      <c r="C2629" s="1">
        <v>79</v>
      </c>
      <c r="D2629" s="1">
        <v>495</v>
      </c>
      <c r="E2629" s="2">
        <v>43365</v>
      </c>
      <c r="F2629" s="6">
        <v>11.286852650597604</v>
      </c>
    </row>
    <row r="2630" spans="1:6">
      <c r="A2630" s="1">
        <v>9129184</v>
      </c>
      <c r="B2630" s="1">
        <v>0.57671295151638158</v>
      </c>
      <c r="C2630" s="1">
        <v>69</v>
      </c>
      <c r="D2630" s="1">
        <v>348</v>
      </c>
      <c r="E2630" s="2">
        <v>43400</v>
      </c>
      <c r="F2630" s="6">
        <v>266.50825211718802</v>
      </c>
    </row>
    <row r="2631" spans="1:6">
      <c r="A2631" s="1">
        <v>9129187</v>
      </c>
      <c r="B2631" s="1">
        <v>0.70704463783068772</v>
      </c>
      <c r="C2631" s="1">
        <v>125</v>
      </c>
      <c r="D2631" s="1">
        <v>599</v>
      </c>
      <c r="E2631" s="2">
        <v>42836</v>
      </c>
      <c r="F2631" s="6">
        <v>16.645700444039143</v>
      </c>
    </row>
    <row r="2632" spans="1:6">
      <c r="A2632" s="1">
        <v>9129190</v>
      </c>
      <c r="B2632" s="1">
        <v>2.6351317480047376E-2</v>
      </c>
      <c r="C2632" s="1">
        <v>147</v>
      </c>
      <c r="D2632" s="1">
        <v>468</v>
      </c>
      <c r="E2632" s="2">
        <v>43460</v>
      </c>
      <c r="F2632" s="6">
        <v>108.94066982990778</v>
      </c>
    </row>
    <row r="2633" spans="1:6">
      <c r="A2633" s="1">
        <v>9129193</v>
      </c>
      <c r="B2633" s="1">
        <v>0.41036236359811806</v>
      </c>
      <c r="C2633" s="1">
        <v>2</v>
      </c>
      <c r="D2633" s="1">
        <v>163</v>
      </c>
      <c r="E2633" s="2">
        <v>43200</v>
      </c>
      <c r="F2633" s="6">
        <v>3.0470085177868875</v>
      </c>
    </row>
    <row r="2634" spans="1:6">
      <c r="A2634" s="1">
        <v>9129196</v>
      </c>
      <c r="B2634" s="1">
        <v>7.1233785628286861E-2</v>
      </c>
      <c r="C2634" s="1">
        <v>9</v>
      </c>
      <c r="D2634" s="1">
        <v>258</v>
      </c>
      <c r="E2634" s="2">
        <v>43002</v>
      </c>
      <c r="F2634" s="6">
        <v>295.73221176199246</v>
      </c>
    </row>
    <row r="2635" spans="1:6">
      <c r="A2635" s="1">
        <v>9129199</v>
      </c>
      <c r="B2635" s="1">
        <v>0.11926494211700267</v>
      </c>
      <c r="C2635" s="1">
        <v>54</v>
      </c>
      <c r="D2635" s="1">
        <v>176</v>
      </c>
      <c r="E2635" s="2">
        <v>42899</v>
      </c>
      <c r="F2635" s="6">
        <v>3.7769421696459426</v>
      </c>
    </row>
    <row r="2636" spans="1:6">
      <c r="A2636" s="1">
        <v>9129202</v>
      </c>
      <c r="B2636" s="1">
        <v>0.35563516939098727</v>
      </c>
      <c r="C2636" s="1">
        <v>37</v>
      </c>
      <c r="D2636" s="1">
        <v>541</v>
      </c>
      <c r="E2636" s="2">
        <v>42923</v>
      </c>
      <c r="F2636" s="6">
        <v>41.423149339016568</v>
      </c>
    </row>
    <row r="2637" spans="1:6">
      <c r="A2637" s="1">
        <v>9129205</v>
      </c>
      <c r="B2637" s="1">
        <v>0.13152657179986926</v>
      </c>
      <c r="C2637" s="1">
        <v>3</v>
      </c>
      <c r="D2637" s="1">
        <v>510</v>
      </c>
      <c r="E2637" s="2">
        <v>43283</v>
      </c>
      <c r="F2637" s="6">
        <v>72.751981791672804</v>
      </c>
    </row>
    <row r="2638" spans="1:6">
      <c r="A2638" s="1">
        <v>9129208</v>
      </c>
      <c r="B2638" s="1">
        <v>0.24418388397052371</v>
      </c>
      <c r="C2638" s="1">
        <v>103</v>
      </c>
      <c r="D2638" s="1">
        <v>154</v>
      </c>
      <c r="E2638" s="2">
        <v>43202</v>
      </c>
      <c r="F2638" s="6">
        <v>26.61206940736837</v>
      </c>
    </row>
    <row r="2639" spans="1:6">
      <c r="A2639" s="1">
        <v>9129211</v>
      </c>
      <c r="B2639" s="1">
        <v>0.31999774578800488</v>
      </c>
      <c r="C2639" s="1">
        <v>47</v>
      </c>
      <c r="D2639" s="1">
        <v>126</v>
      </c>
      <c r="E2639" s="2">
        <v>42904</v>
      </c>
      <c r="F2639" s="6">
        <v>211.90332693755374</v>
      </c>
    </row>
    <row r="2640" spans="1:6">
      <c r="A2640" s="1">
        <v>9129214</v>
      </c>
      <c r="B2640" s="1">
        <v>0.63556518604939893</v>
      </c>
      <c r="C2640" s="1">
        <v>73</v>
      </c>
      <c r="D2640" s="1">
        <v>163</v>
      </c>
      <c r="E2640" s="2">
        <v>43254</v>
      </c>
      <c r="F2640" s="6">
        <v>4.3392452850274674</v>
      </c>
    </row>
    <row r="2641" spans="1:6">
      <c r="A2641" s="1">
        <v>9129217</v>
      </c>
      <c r="B2641" s="1">
        <v>0.87254338515194296</v>
      </c>
      <c r="C2641" s="1">
        <v>178</v>
      </c>
      <c r="D2641" s="1">
        <v>285</v>
      </c>
      <c r="E2641" s="2">
        <v>42962</v>
      </c>
      <c r="F2641" s="6">
        <v>4.1845490103421774</v>
      </c>
    </row>
    <row r="2642" spans="1:6">
      <c r="A2642" s="1">
        <v>9129220</v>
      </c>
      <c r="B2642" s="1">
        <v>6.8222896575250713E-3</v>
      </c>
      <c r="C2642" s="1">
        <v>19</v>
      </c>
      <c r="D2642" s="1">
        <v>273</v>
      </c>
      <c r="E2642" s="2">
        <v>43246</v>
      </c>
      <c r="F2642" s="6">
        <v>31.100896285256226</v>
      </c>
    </row>
    <row r="2643" spans="1:6">
      <c r="A2643" s="1">
        <v>9129223</v>
      </c>
      <c r="B2643" s="1">
        <v>0.17744728235275453</v>
      </c>
      <c r="C2643" s="1">
        <v>40</v>
      </c>
      <c r="D2643" s="1">
        <v>182</v>
      </c>
      <c r="E2643" s="2">
        <v>43336</v>
      </c>
      <c r="F2643" s="6">
        <v>142.69658696546497</v>
      </c>
    </row>
    <row r="2644" spans="1:6">
      <c r="A2644" s="1">
        <v>9129226</v>
      </c>
      <c r="B2644" s="1">
        <v>0.40653355036662131</v>
      </c>
      <c r="C2644" s="1">
        <v>7</v>
      </c>
      <c r="D2644" s="1">
        <v>462</v>
      </c>
      <c r="E2644" s="2">
        <v>43479</v>
      </c>
      <c r="F2644" s="6">
        <v>73.013920653103895</v>
      </c>
    </row>
    <row r="2645" spans="1:6">
      <c r="A2645" s="1">
        <v>9129229</v>
      </c>
      <c r="B2645" s="1">
        <v>0.24016000011419425</v>
      </c>
      <c r="C2645" s="1">
        <v>1</v>
      </c>
      <c r="D2645" s="1">
        <v>145</v>
      </c>
      <c r="E2645" s="2">
        <v>43295</v>
      </c>
      <c r="F2645" s="6">
        <v>59.262184442740981</v>
      </c>
    </row>
    <row r="2646" spans="1:6">
      <c r="A2646" s="1">
        <v>9129232</v>
      </c>
      <c r="B2646" s="1">
        <v>0.66172927727986031</v>
      </c>
      <c r="C2646" s="1">
        <v>15</v>
      </c>
      <c r="D2646" s="1">
        <v>98</v>
      </c>
      <c r="E2646" s="2">
        <v>42755</v>
      </c>
      <c r="F2646" s="6">
        <v>91.426001920604477</v>
      </c>
    </row>
    <row r="2647" spans="1:6">
      <c r="A2647" s="1">
        <v>9129235</v>
      </c>
      <c r="B2647" s="1">
        <v>0.31031514807909966</v>
      </c>
      <c r="C2647" s="1">
        <v>39</v>
      </c>
      <c r="D2647" s="1">
        <v>554</v>
      </c>
      <c r="E2647" s="2">
        <v>43123</v>
      </c>
      <c r="F2647" s="6">
        <v>218.25659208829353</v>
      </c>
    </row>
    <row r="2648" spans="1:6">
      <c r="A2648" s="1">
        <v>9129238</v>
      </c>
      <c r="B2648" s="1">
        <v>0.83782749581325444</v>
      </c>
      <c r="C2648" s="1">
        <v>24</v>
      </c>
      <c r="D2648" s="1">
        <v>182</v>
      </c>
      <c r="E2648" s="2">
        <v>42907</v>
      </c>
      <c r="F2648" s="6">
        <v>209.21809440299063</v>
      </c>
    </row>
    <row r="2649" spans="1:6">
      <c r="A2649" s="1">
        <v>9129241</v>
      </c>
      <c r="B2649" s="1">
        <v>3.6864390879378428E-2</v>
      </c>
      <c r="C2649" s="1">
        <v>58</v>
      </c>
      <c r="D2649" s="1">
        <v>88</v>
      </c>
      <c r="E2649" s="2">
        <v>43458</v>
      </c>
      <c r="F2649" s="6">
        <v>10.643631387930995</v>
      </c>
    </row>
    <row r="2650" spans="1:6">
      <c r="A2650" s="1">
        <v>9129244</v>
      </c>
      <c r="B2650" s="1">
        <v>0.86927769653148512</v>
      </c>
      <c r="C2650" s="1">
        <v>31</v>
      </c>
      <c r="D2650" s="1">
        <v>407</v>
      </c>
      <c r="E2650" s="2">
        <v>43327</v>
      </c>
      <c r="F2650" s="6">
        <v>142.96808005668709</v>
      </c>
    </row>
    <row r="2651" spans="1:6">
      <c r="A2651" s="1">
        <v>9129247</v>
      </c>
      <c r="B2651" s="1">
        <v>0.16034347062326693</v>
      </c>
      <c r="C2651" s="1">
        <v>41</v>
      </c>
      <c r="D2651" s="1">
        <v>329</v>
      </c>
      <c r="E2651" s="2">
        <v>42936</v>
      </c>
      <c r="F2651" s="6">
        <v>97.761209327821959</v>
      </c>
    </row>
    <row r="2652" spans="1:6">
      <c r="A2652" s="1">
        <v>9129250</v>
      </c>
      <c r="B2652" s="1">
        <v>0.95677816070040311</v>
      </c>
      <c r="C2652" s="1">
        <v>53</v>
      </c>
      <c r="D2652" s="1">
        <v>263</v>
      </c>
      <c r="E2652" s="2">
        <v>42765</v>
      </c>
      <c r="F2652" s="6">
        <v>206.42245315204144</v>
      </c>
    </row>
    <row r="2653" spans="1:6">
      <c r="A2653" s="1">
        <v>9129253</v>
      </c>
      <c r="B2653" s="1">
        <v>0.56450617316129448</v>
      </c>
      <c r="C2653" s="1">
        <v>20</v>
      </c>
      <c r="D2653" s="1">
        <v>176</v>
      </c>
      <c r="E2653" s="2">
        <v>43260</v>
      </c>
      <c r="F2653" s="6">
        <v>24.345255948485573</v>
      </c>
    </row>
    <row r="2654" spans="1:6">
      <c r="A2654" s="1">
        <v>9129256</v>
      </c>
      <c r="B2654" s="1">
        <v>0.9492144603678625</v>
      </c>
      <c r="C2654" s="1">
        <v>41</v>
      </c>
      <c r="D2654" s="1">
        <v>169</v>
      </c>
      <c r="E2654" s="2">
        <v>43031</v>
      </c>
      <c r="F2654" s="6">
        <v>58.993128434533382</v>
      </c>
    </row>
    <row r="2655" spans="1:6">
      <c r="A2655" s="1">
        <v>9129259</v>
      </c>
      <c r="B2655" s="1">
        <v>0.88582845880128758</v>
      </c>
      <c r="C2655" s="1">
        <v>7</v>
      </c>
      <c r="D2655" s="1">
        <v>592</v>
      </c>
      <c r="E2655" s="2">
        <v>43069</v>
      </c>
      <c r="F2655" s="6">
        <v>26.154116577892612</v>
      </c>
    </row>
    <row r="2656" spans="1:6">
      <c r="A2656" s="1">
        <v>9129262</v>
      </c>
      <c r="B2656" s="1">
        <v>0.69054645369088441</v>
      </c>
      <c r="C2656" s="1">
        <v>378</v>
      </c>
      <c r="D2656" s="1">
        <v>27</v>
      </c>
      <c r="E2656" s="2">
        <v>42852</v>
      </c>
      <c r="F2656" s="6">
        <v>44.70786139100214</v>
      </c>
    </row>
    <row r="2657" spans="1:6">
      <c r="A2657" s="1">
        <v>9129265</v>
      </c>
      <c r="B2657" s="1">
        <v>0.51159730073776577</v>
      </c>
      <c r="C2657" s="1">
        <v>2</v>
      </c>
      <c r="D2657" s="1">
        <v>176</v>
      </c>
      <c r="E2657" s="2">
        <v>42767</v>
      </c>
      <c r="F2657" s="6">
        <v>88.207704727688096</v>
      </c>
    </row>
    <row r="2658" spans="1:6">
      <c r="A2658" s="1">
        <v>9129268</v>
      </c>
      <c r="B2658" s="1">
        <v>2.3584162524630803E-2</v>
      </c>
      <c r="C2658" s="1">
        <v>32</v>
      </c>
      <c r="D2658" s="1">
        <v>558</v>
      </c>
      <c r="E2658" s="2">
        <v>43236</v>
      </c>
      <c r="F2658" s="6">
        <v>37.454201950123412</v>
      </c>
    </row>
    <row r="2659" spans="1:6">
      <c r="A2659" s="1">
        <v>9129271</v>
      </c>
      <c r="B2659" s="1">
        <v>0.52965144256153729</v>
      </c>
      <c r="C2659" s="1">
        <v>47</v>
      </c>
      <c r="D2659" s="1">
        <v>457</v>
      </c>
      <c r="E2659" s="2">
        <v>43089</v>
      </c>
      <c r="F2659" s="6">
        <v>118.24263202962426</v>
      </c>
    </row>
    <row r="2660" spans="1:6">
      <c r="A2660" s="1">
        <v>9129274</v>
      </c>
      <c r="B2660" s="1">
        <v>0.42289526966757829</v>
      </c>
      <c r="C2660" s="1">
        <v>69</v>
      </c>
      <c r="D2660" s="1">
        <v>374</v>
      </c>
      <c r="E2660" s="2">
        <v>43328</v>
      </c>
      <c r="F2660" s="6">
        <v>76.681764428331959</v>
      </c>
    </row>
    <row r="2661" spans="1:6">
      <c r="A2661" s="1">
        <v>9129277</v>
      </c>
      <c r="B2661" s="1">
        <v>0.99102256154631663</v>
      </c>
      <c r="C2661" s="1">
        <v>29</v>
      </c>
      <c r="D2661" s="1">
        <v>585</v>
      </c>
      <c r="E2661" s="2">
        <v>42960</v>
      </c>
      <c r="F2661" s="6">
        <v>54.520296189037836</v>
      </c>
    </row>
    <row r="2662" spans="1:6">
      <c r="A2662" s="1">
        <v>9129280</v>
      </c>
      <c r="B2662" s="1">
        <v>0.45097534083592938</v>
      </c>
      <c r="C2662" s="1">
        <v>1</v>
      </c>
      <c r="D2662" s="1">
        <v>510</v>
      </c>
      <c r="E2662" s="2">
        <v>42863</v>
      </c>
      <c r="F2662" s="6">
        <v>268.83506198424374</v>
      </c>
    </row>
    <row r="2663" spans="1:6">
      <c r="A2663" s="1">
        <v>9129283</v>
      </c>
      <c r="B2663" s="1">
        <v>0.47857237494240323</v>
      </c>
      <c r="C2663" s="1">
        <v>36</v>
      </c>
      <c r="D2663" s="1">
        <v>258</v>
      </c>
      <c r="E2663" s="2">
        <v>42873</v>
      </c>
      <c r="F2663" s="6">
        <v>129.65334592066955</v>
      </c>
    </row>
    <row r="2664" spans="1:6">
      <c r="A2664" s="1">
        <v>9129286</v>
      </c>
      <c r="B2664" s="1">
        <v>5.1117428436026957E-2</v>
      </c>
      <c r="C2664" s="1">
        <v>26</v>
      </c>
      <c r="D2664" s="1">
        <v>145</v>
      </c>
      <c r="E2664" s="2">
        <v>42865</v>
      </c>
      <c r="F2664" s="6">
        <v>62.163684627434478</v>
      </c>
    </row>
    <row r="2665" spans="1:6">
      <c r="A2665" s="1">
        <v>9129289</v>
      </c>
      <c r="B2665" s="1">
        <v>1.4529390104858098E-2</v>
      </c>
      <c r="C2665" s="1">
        <v>49</v>
      </c>
      <c r="D2665" s="1">
        <v>154</v>
      </c>
      <c r="E2665" s="2">
        <v>43090</v>
      </c>
      <c r="F2665" s="6">
        <v>16.947318938595394</v>
      </c>
    </row>
    <row r="2666" spans="1:6">
      <c r="A2666" s="1">
        <v>9129292</v>
      </c>
      <c r="B2666" s="1">
        <v>0.76902728652093599</v>
      </c>
      <c r="C2666" s="1">
        <v>2</v>
      </c>
      <c r="D2666" s="1">
        <v>67</v>
      </c>
      <c r="E2666" s="2">
        <v>43263</v>
      </c>
      <c r="F2666" s="6">
        <v>11.579700178742932</v>
      </c>
    </row>
    <row r="2667" spans="1:6">
      <c r="A2667" s="1">
        <v>9129295</v>
      </c>
      <c r="B2667" s="1">
        <v>0.32894948962964443</v>
      </c>
      <c r="C2667" s="1">
        <v>121</v>
      </c>
      <c r="D2667" s="1">
        <v>258</v>
      </c>
      <c r="E2667" s="2">
        <v>42976</v>
      </c>
      <c r="F2667" s="6">
        <v>69.185843334093875</v>
      </c>
    </row>
    <row r="2668" spans="1:6">
      <c r="A2668" s="1">
        <v>9129298</v>
      </c>
      <c r="B2668" s="1">
        <v>0.6129628928734917</v>
      </c>
      <c r="C2668" s="1">
        <v>3</v>
      </c>
      <c r="D2668" s="1">
        <v>432</v>
      </c>
      <c r="E2668" s="2">
        <v>43288</v>
      </c>
      <c r="F2668" s="6">
        <v>3.2793657239915057</v>
      </c>
    </row>
    <row r="2669" spans="1:6">
      <c r="A2669" s="1">
        <v>9129301</v>
      </c>
      <c r="B2669" s="1">
        <v>0.41252538931668059</v>
      </c>
      <c r="C2669" s="1">
        <v>3</v>
      </c>
      <c r="D2669" s="1">
        <v>88</v>
      </c>
      <c r="E2669" s="2">
        <v>42947</v>
      </c>
      <c r="F2669" s="6">
        <v>41.561825148415949</v>
      </c>
    </row>
    <row r="2670" spans="1:6">
      <c r="A2670" s="1">
        <v>9129304</v>
      </c>
      <c r="B2670">
        <v>0.21449787494315897</v>
      </c>
      <c r="C2670" s="1">
        <v>1</v>
      </c>
      <c r="D2670" s="1">
        <v>564</v>
      </c>
      <c r="E2670" s="2">
        <v>42756</v>
      </c>
      <c r="F2670" s="6">
        <v>64.17704908012314</v>
      </c>
    </row>
    <row r="2671" spans="1:6">
      <c r="A2671" s="1">
        <v>9129307</v>
      </c>
      <c r="B2671">
        <v>0.77643489029126667</v>
      </c>
      <c r="C2671" s="1">
        <v>159</v>
      </c>
      <c r="D2671" s="1">
        <v>103</v>
      </c>
      <c r="E2671" s="2">
        <v>43298</v>
      </c>
      <c r="F2671" s="6">
        <v>5.2818280824759167</v>
      </c>
    </row>
    <row r="2672" spans="1:6">
      <c r="A2672" s="1">
        <v>9129310</v>
      </c>
      <c r="B2672">
        <v>0.5774625940435224</v>
      </c>
      <c r="C2672" s="1">
        <v>36</v>
      </c>
      <c r="D2672" s="1">
        <v>417</v>
      </c>
      <c r="E2672" s="2">
        <v>42872</v>
      </c>
      <c r="F2672" s="6">
        <v>28.240532718387037</v>
      </c>
    </row>
    <row r="2673" spans="1:6">
      <c r="A2673" s="1">
        <v>9129313</v>
      </c>
      <c r="B2673">
        <v>2.8615129760156455E-2</v>
      </c>
      <c r="C2673" s="1">
        <v>145</v>
      </c>
      <c r="D2673" s="1">
        <v>182</v>
      </c>
      <c r="E2673" s="2">
        <v>42968</v>
      </c>
      <c r="F2673" s="6">
        <v>62.361884258343032</v>
      </c>
    </row>
    <row r="2674" spans="1:6">
      <c r="A2674" s="1">
        <v>9129316</v>
      </c>
      <c r="B2674">
        <v>0.60099463065597347</v>
      </c>
      <c r="C2674" s="1">
        <v>221</v>
      </c>
      <c r="D2674" s="1">
        <v>90</v>
      </c>
      <c r="E2674" s="2">
        <v>43447</v>
      </c>
      <c r="F2674" s="6">
        <v>7.0478821620115628</v>
      </c>
    </row>
    <row r="2675" spans="1:6">
      <c r="A2675" s="1">
        <v>9129319</v>
      </c>
      <c r="B2675">
        <v>0.95362103434630607</v>
      </c>
      <c r="C2675" s="1">
        <v>3</v>
      </c>
      <c r="D2675" s="1">
        <v>146</v>
      </c>
      <c r="E2675" s="2">
        <v>42838</v>
      </c>
      <c r="F2675" s="6">
        <v>8.8421442547001323</v>
      </c>
    </row>
    <row r="2676" spans="1:6">
      <c r="A2676" s="1">
        <v>9129322</v>
      </c>
      <c r="B2676">
        <v>9.5377497494447683E-2</v>
      </c>
      <c r="C2676" s="1">
        <v>1</v>
      </c>
      <c r="D2676" s="1">
        <v>458</v>
      </c>
      <c r="E2676" s="2">
        <v>42907</v>
      </c>
      <c r="F2676" s="6">
        <v>62.071640152812741</v>
      </c>
    </row>
    <row r="2677" spans="1:6">
      <c r="A2677" s="1">
        <v>9129325</v>
      </c>
      <c r="B2677">
        <v>0.80935136759257675</v>
      </c>
      <c r="C2677" s="1">
        <v>68</v>
      </c>
      <c r="D2677" s="1">
        <v>79</v>
      </c>
      <c r="E2677" s="2">
        <v>43285</v>
      </c>
      <c r="F2677" s="6">
        <v>170.3179780550314</v>
      </c>
    </row>
    <row r="2678" spans="1:6">
      <c r="A2678" s="1">
        <v>9129328</v>
      </c>
      <c r="B2678">
        <v>0.20191430546618527</v>
      </c>
      <c r="C2678" s="1">
        <v>110</v>
      </c>
      <c r="D2678" s="1">
        <v>177</v>
      </c>
      <c r="E2678" s="2">
        <v>43318</v>
      </c>
      <c r="F2678" s="6">
        <v>33.137231465970117</v>
      </c>
    </row>
    <row r="2679" spans="1:6">
      <c r="A2679" s="1">
        <v>9129331</v>
      </c>
      <c r="B2679">
        <v>0.63735533179504389</v>
      </c>
      <c r="C2679" s="1">
        <v>71</v>
      </c>
      <c r="D2679" s="1">
        <v>390</v>
      </c>
      <c r="E2679" s="2">
        <v>42825</v>
      </c>
      <c r="F2679" s="6">
        <v>43.700652863567299</v>
      </c>
    </row>
    <row r="2680" spans="1:6">
      <c r="A2680" s="1">
        <v>9129334</v>
      </c>
      <c r="B2680">
        <v>0.40555279470997796</v>
      </c>
      <c r="C2680" s="1">
        <v>61</v>
      </c>
      <c r="D2680" s="1">
        <v>487</v>
      </c>
      <c r="E2680" s="2">
        <v>42875</v>
      </c>
      <c r="F2680" s="6">
        <v>19.746781920968207</v>
      </c>
    </row>
    <row r="2681" spans="1:6">
      <c r="A2681" s="1">
        <v>9129337</v>
      </c>
      <c r="B2681">
        <v>0.71605567973719275</v>
      </c>
      <c r="C2681" s="1">
        <v>8</v>
      </c>
      <c r="D2681" s="1">
        <v>126</v>
      </c>
      <c r="E2681" s="2">
        <v>43357</v>
      </c>
      <c r="F2681" s="6">
        <v>23.124315464810362</v>
      </c>
    </row>
    <row r="2682" spans="1:6">
      <c r="A2682" s="1">
        <v>9129340</v>
      </c>
      <c r="B2682">
        <v>0.25013671076609956</v>
      </c>
      <c r="C2682" s="1">
        <v>14</v>
      </c>
      <c r="D2682" s="1">
        <v>177</v>
      </c>
      <c r="E2682" s="2">
        <v>42979</v>
      </c>
      <c r="F2682" s="6">
        <v>28.553877630557853</v>
      </c>
    </row>
    <row r="2683" spans="1:6">
      <c r="A2683" s="1">
        <v>9129343</v>
      </c>
      <c r="B2683">
        <v>0.1828754091735374</v>
      </c>
      <c r="C2683" s="1">
        <v>94</v>
      </c>
      <c r="D2683" s="1">
        <v>564</v>
      </c>
      <c r="E2683" s="2">
        <v>42924</v>
      </c>
      <c r="F2683" s="6">
        <v>18.199169046046507</v>
      </c>
    </row>
    <row r="2684" spans="1:6">
      <c r="A2684" s="1">
        <v>9129346</v>
      </c>
      <c r="B2684">
        <v>0.91427769824576188</v>
      </c>
      <c r="C2684" s="1">
        <v>202</v>
      </c>
      <c r="D2684" s="1">
        <v>258</v>
      </c>
      <c r="E2684" s="2">
        <v>43138</v>
      </c>
      <c r="F2684" s="6">
        <v>86.747728476019788</v>
      </c>
    </row>
    <row r="2685" spans="1:6">
      <c r="A2685" s="1">
        <v>9129349</v>
      </c>
      <c r="B2685">
        <v>0.82113848545251067</v>
      </c>
      <c r="C2685" s="1">
        <v>77</v>
      </c>
      <c r="D2685" s="1">
        <v>359</v>
      </c>
      <c r="E2685" s="2">
        <v>43261</v>
      </c>
      <c r="F2685" s="6">
        <v>8.4666974789962808</v>
      </c>
    </row>
    <row r="2686" spans="1:6">
      <c r="A2686" s="1">
        <v>9129352</v>
      </c>
      <c r="B2686">
        <v>0.99991877305616272</v>
      </c>
      <c r="C2686" s="1">
        <v>114</v>
      </c>
      <c r="D2686" s="1">
        <v>289</v>
      </c>
      <c r="E2686" s="2">
        <v>43096</v>
      </c>
      <c r="F2686" s="6">
        <v>48.105250175197455</v>
      </c>
    </row>
    <row r="2687" spans="1:6">
      <c r="A2687" s="1">
        <v>9129355</v>
      </c>
      <c r="B2687">
        <v>0.95015025224694194</v>
      </c>
      <c r="C2687" s="1">
        <v>27</v>
      </c>
      <c r="D2687" s="1">
        <v>420</v>
      </c>
      <c r="E2687" s="2">
        <v>43380</v>
      </c>
      <c r="F2687" s="6">
        <v>96.044834918224467</v>
      </c>
    </row>
    <row r="2688" spans="1:6">
      <c r="A2688" s="1">
        <v>9129358</v>
      </c>
      <c r="B2688">
        <v>0.57957169635329764</v>
      </c>
      <c r="C2688" s="1">
        <v>3</v>
      </c>
      <c r="D2688" s="1">
        <v>541</v>
      </c>
      <c r="E2688" s="2">
        <v>43147</v>
      </c>
      <c r="F2688" s="6">
        <v>10.753187933663828</v>
      </c>
    </row>
    <row r="2689" spans="1:6">
      <c r="A2689" s="1">
        <v>9129361</v>
      </c>
      <c r="B2689">
        <v>0.95689580710000155</v>
      </c>
      <c r="C2689" s="1">
        <v>5</v>
      </c>
      <c r="D2689" s="1">
        <v>138</v>
      </c>
      <c r="E2689" s="2">
        <v>43424</v>
      </c>
      <c r="F2689" s="6">
        <v>82.718554009675444</v>
      </c>
    </row>
    <row r="2690" spans="1:6">
      <c r="A2690" s="1">
        <v>9129364</v>
      </c>
      <c r="B2690">
        <v>0.8118468097569812</v>
      </c>
      <c r="C2690" s="1">
        <v>1</v>
      </c>
      <c r="D2690" s="1">
        <v>564</v>
      </c>
      <c r="E2690" s="2">
        <v>43111</v>
      </c>
      <c r="F2690" s="6">
        <v>11.872448773139258</v>
      </c>
    </row>
    <row r="2691" spans="1:6">
      <c r="A2691" s="1">
        <v>9129367</v>
      </c>
      <c r="B2691">
        <v>0.37919102969118146</v>
      </c>
      <c r="C2691" s="1">
        <v>1</v>
      </c>
      <c r="D2691" s="1">
        <v>358</v>
      </c>
      <c r="E2691" s="2">
        <v>43447</v>
      </c>
      <c r="F2691" s="6">
        <v>12.510392389073822</v>
      </c>
    </row>
    <row r="2692" spans="1:6">
      <c r="A2692" s="1">
        <v>9129370</v>
      </c>
      <c r="B2692">
        <v>0.57676101125316948</v>
      </c>
      <c r="C2692" s="1">
        <v>61</v>
      </c>
      <c r="D2692" s="1">
        <v>176</v>
      </c>
      <c r="E2692" s="2">
        <v>42909</v>
      </c>
      <c r="F2692" s="6">
        <v>123.19260028958732</v>
      </c>
    </row>
    <row r="2693" spans="1:6">
      <c r="A2693" s="1">
        <v>9129373</v>
      </c>
      <c r="B2693">
        <v>0.42988909215197635</v>
      </c>
      <c r="C2693" s="1">
        <v>1</v>
      </c>
      <c r="D2693" s="1">
        <v>149</v>
      </c>
      <c r="E2693" s="2">
        <v>43460</v>
      </c>
      <c r="F2693" s="6">
        <v>20.891431865341673</v>
      </c>
    </row>
    <row r="2694" spans="1:6">
      <c r="A2694" s="1">
        <v>9129376</v>
      </c>
      <c r="B2694">
        <v>0.84905514064780208</v>
      </c>
      <c r="C2694" s="1">
        <v>73</v>
      </c>
      <c r="D2694" s="1">
        <v>138</v>
      </c>
      <c r="E2694" s="2">
        <v>42921</v>
      </c>
      <c r="F2694" s="6">
        <v>59.927814020376509</v>
      </c>
    </row>
    <row r="2695" spans="1:6">
      <c r="A2695" s="1">
        <v>9129379</v>
      </c>
      <c r="B2695">
        <v>5.6055524862919648E-2</v>
      </c>
      <c r="C2695" s="1">
        <v>12</v>
      </c>
      <c r="D2695" s="1">
        <v>458</v>
      </c>
      <c r="E2695" s="2">
        <v>43048</v>
      </c>
      <c r="F2695" s="6">
        <v>169.04795339849895</v>
      </c>
    </row>
    <row r="2696" spans="1:6">
      <c r="A2696" s="1">
        <v>9129382</v>
      </c>
      <c r="B2696">
        <v>0.43474372820459051</v>
      </c>
      <c r="C2696" s="1">
        <v>10</v>
      </c>
      <c r="D2696" s="1">
        <v>509</v>
      </c>
      <c r="E2696" s="2">
        <v>42921</v>
      </c>
      <c r="F2696" s="6">
        <v>116.83802233336905</v>
      </c>
    </row>
    <row r="2697" spans="1:6">
      <c r="A2697" s="1">
        <v>9129385</v>
      </c>
      <c r="B2697">
        <v>0.44663634955888243</v>
      </c>
      <c r="C2697" s="1">
        <v>15</v>
      </c>
      <c r="D2697" s="1">
        <v>588</v>
      </c>
      <c r="E2697" s="2">
        <v>43188</v>
      </c>
      <c r="F2697" s="6">
        <v>26.596446426465498</v>
      </c>
    </row>
    <row r="2698" spans="1:6">
      <c r="A2698" s="1">
        <v>9129388</v>
      </c>
      <c r="B2698">
        <v>0.48167749921160818</v>
      </c>
      <c r="C2698" s="1">
        <v>2</v>
      </c>
      <c r="D2698" s="1">
        <v>495</v>
      </c>
      <c r="E2698" s="2">
        <v>43217</v>
      </c>
      <c r="F2698" s="6">
        <v>10.777410877218948</v>
      </c>
    </row>
    <row r="2699" spans="1:6">
      <c r="A2699" s="1">
        <v>9129391</v>
      </c>
      <c r="B2699">
        <v>0.16357819168392873</v>
      </c>
      <c r="C2699" s="1">
        <v>43</v>
      </c>
      <c r="D2699" s="1">
        <v>258</v>
      </c>
      <c r="E2699" s="2">
        <v>42951</v>
      </c>
      <c r="F2699" s="6">
        <v>33.272502530096105</v>
      </c>
    </row>
    <row r="2700" spans="1:6">
      <c r="A2700" s="1">
        <v>9129394</v>
      </c>
      <c r="B2700">
        <v>0.45632780792854832</v>
      </c>
      <c r="C2700" s="1">
        <v>95</v>
      </c>
      <c r="D2700" s="1">
        <v>510</v>
      </c>
      <c r="E2700" s="2">
        <v>42976</v>
      </c>
      <c r="F2700" s="6">
        <v>16.284057387400871</v>
      </c>
    </row>
    <row r="2701" spans="1:6">
      <c r="A2701" s="1">
        <v>9129397</v>
      </c>
      <c r="B2701">
        <v>0.30477015557722653</v>
      </c>
      <c r="C2701" s="1">
        <v>3</v>
      </c>
      <c r="D2701" s="1">
        <v>428</v>
      </c>
      <c r="E2701" s="2">
        <v>43428</v>
      </c>
      <c r="F2701" s="6">
        <v>52.186878882830968</v>
      </c>
    </row>
    <row r="2702" spans="1:6">
      <c r="A2702" s="1">
        <v>9129400</v>
      </c>
      <c r="B2702">
        <v>0.17660504693247681</v>
      </c>
      <c r="C2702" s="1">
        <v>23</v>
      </c>
      <c r="D2702" s="1">
        <v>90</v>
      </c>
      <c r="E2702" s="2">
        <v>43174</v>
      </c>
      <c r="F2702" s="6">
        <v>100.5838014087817</v>
      </c>
    </row>
    <row r="2703" spans="1:6">
      <c r="A2703" s="1">
        <v>9129403</v>
      </c>
      <c r="B2703">
        <v>0.23258279235094326</v>
      </c>
      <c r="C2703" s="1">
        <v>10</v>
      </c>
      <c r="D2703" s="1">
        <v>546</v>
      </c>
      <c r="E2703" s="2">
        <v>42899</v>
      </c>
      <c r="F2703" s="6">
        <v>7.8818450742155077</v>
      </c>
    </row>
    <row r="2704" spans="1:6">
      <c r="A2704" s="1">
        <v>9129406</v>
      </c>
      <c r="B2704">
        <v>0.13827564505313827</v>
      </c>
      <c r="C2704" s="1">
        <v>6</v>
      </c>
      <c r="D2704" s="1">
        <v>167</v>
      </c>
      <c r="E2704" s="2">
        <v>43463</v>
      </c>
      <c r="F2704" s="6">
        <v>27.933935357594514</v>
      </c>
    </row>
    <row r="2705" spans="1:6">
      <c r="A2705" s="1">
        <v>9129409</v>
      </c>
      <c r="B2705">
        <v>0.92830021675595087</v>
      </c>
      <c r="C2705" s="1">
        <v>17</v>
      </c>
      <c r="D2705" s="1">
        <v>182</v>
      </c>
      <c r="E2705" s="2">
        <v>42908</v>
      </c>
      <c r="F2705" s="6">
        <v>473.86345143112499</v>
      </c>
    </row>
    <row r="2706" spans="1:6">
      <c r="A2706" s="1">
        <v>9129412</v>
      </c>
      <c r="B2706">
        <v>0.81942567898347374</v>
      </c>
      <c r="C2706" s="1">
        <v>41</v>
      </c>
      <c r="D2706" s="1">
        <v>182</v>
      </c>
      <c r="E2706" s="2">
        <v>43080</v>
      </c>
      <c r="F2706" s="6">
        <v>13.576161092296262</v>
      </c>
    </row>
    <row r="2707" spans="1:6">
      <c r="A2707" s="1">
        <v>9129415</v>
      </c>
      <c r="B2707">
        <v>0.11539874085847668</v>
      </c>
      <c r="C2707" s="1">
        <v>32</v>
      </c>
      <c r="D2707" s="1">
        <v>541</v>
      </c>
      <c r="E2707" s="2">
        <v>43351</v>
      </c>
      <c r="F2707" s="6">
        <v>181.52530150836071</v>
      </c>
    </row>
    <row r="2708" spans="1:6">
      <c r="A2708" s="1">
        <v>9129418</v>
      </c>
      <c r="B2708">
        <v>0.6996347364389971</v>
      </c>
      <c r="C2708" s="1">
        <v>6</v>
      </c>
      <c r="D2708" s="1">
        <v>564</v>
      </c>
      <c r="E2708" s="2">
        <v>43198</v>
      </c>
      <c r="F2708" s="6">
        <v>220.38128637978758</v>
      </c>
    </row>
    <row r="2709" spans="1:6">
      <c r="A2709" s="1">
        <v>9129421</v>
      </c>
      <c r="B2709">
        <v>9.8860449335292588E-2</v>
      </c>
      <c r="C2709" s="1">
        <v>2</v>
      </c>
      <c r="D2709" s="1">
        <v>149</v>
      </c>
      <c r="E2709" s="2">
        <v>42892</v>
      </c>
      <c r="F2709" s="6">
        <v>115.4123125400579</v>
      </c>
    </row>
    <row r="2710" spans="1:6">
      <c r="A2710" s="1">
        <v>9129424</v>
      </c>
      <c r="B2710">
        <v>0.93262882881924369</v>
      </c>
      <c r="C2710" s="1">
        <v>18</v>
      </c>
      <c r="D2710" s="1">
        <v>551</v>
      </c>
      <c r="E2710" s="2">
        <v>43021</v>
      </c>
      <c r="F2710" s="6">
        <v>74.657315936245595</v>
      </c>
    </row>
    <row r="2711" spans="1:6">
      <c r="A2711" s="1">
        <v>9129427</v>
      </c>
      <c r="B2711">
        <v>0.57705840112348272</v>
      </c>
      <c r="C2711" s="1">
        <v>31</v>
      </c>
      <c r="D2711" s="1">
        <v>258</v>
      </c>
      <c r="E2711" s="2">
        <v>43279</v>
      </c>
      <c r="F2711" s="6">
        <v>70.27751481244438</v>
      </c>
    </row>
    <row r="2712" spans="1:6">
      <c r="A2712" s="1">
        <v>9129430</v>
      </c>
      <c r="B2712">
        <v>0.76622050625291305</v>
      </c>
      <c r="C2712" s="1">
        <v>66</v>
      </c>
      <c r="D2712" s="1">
        <v>348</v>
      </c>
      <c r="E2712" s="2">
        <v>42843</v>
      </c>
      <c r="F2712" s="6">
        <v>3.3493483689628953</v>
      </c>
    </row>
    <row r="2713" spans="1:6">
      <c r="A2713" s="1">
        <v>9129433</v>
      </c>
      <c r="B2713">
        <v>0.16081840101006972</v>
      </c>
      <c r="C2713" s="1">
        <v>10</v>
      </c>
      <c r="D2713" s="1">
        <v>499</v>
      </c>
      <c r="E2713" s="2">
        <v>43399</v>
      </c>
      <c r="F2713" s="6">
        <v>172.82239339689434</v>
      </c>
    </row>
    <row r="2714" spans="1:6">
      <c r="A2714" s="1">
        <v>9129436</v>
      </c>
      <c r="B2714">
        <v>0.19100414439779922</v>
      </c>
      <c r="C2714" s="1">
        <v>3</v>
      </c>
      <c r="D2714" s="1">
        <v>175</v>
      </c>
      <c r="E2714" s="2">
        <v>42974</v>
      </c>
      <c r="F2714" s="6">
        <v>27.712424356140744</v>
      </c>
    </row>
    <row r="2715" spans="1:6">
      <c r="A2715" s="1">
        <v>9129439</v>
      </c>
      <c r="B2715">
        <v>0.9121168239269275</v>
      </c>
      <c r="C2715" s="1">
        <v>35</v>
      </c>
      <c r="D2715" s="1">
        <v>390</v>
      </c>
      <c r="E2715" s="2">
        <v>42862</v>
      </c>
      <c r="F2715" s="6">
        <v>90.324727586566482</v>
      </c>
    </row>
    <row r="2716" spans="1:6">
      <c r="A2716" s="1">
        <v>9129442</v>
      </c>
      <c r="B2716">
        <v>0.53948135903376737</v>
      </c>
      <c r="C2716" s="1">
        <v>67</v>
      </c>
      <c r="D2716" s="1">
        <v>67</v>
      </c>
      <c r="E2716" s="2">
        <v>43329</v>
      </c>
      <c r="F2716" s="6">
        <v>27.949355189160535</v>
      </c>
    </row>
    <row r="2717" spans="1:6">
      <c r="A2717" s="1">
        <v>9129445</v>
      </c>
      <c r="B2717">
        <v>0.607323457109606</v>
      </c>
      <c r="C2717" s="1">
        <v>37</v>
      </c>
      <c r="D2717" s="1">
        <v>88</v>
      </c>
      <c r="E2717" s="2">
        <v>43349</v>
      </c>
      <c r="F2717" s="6">
        <v>52.842814249836564</v>
      </c>
    </row>
    <row r="2718" spans="1:6">
      <c r="A2718" s="1">
        <v>9129448</v>
      </c>
      <c r="B2718">
        <v>0.91714267158018636</v>
      </c>
      <c r="C2718" s="1">
        <v>7</v>
      </c>
      <c r="D2718" s="1">
        <v>299</v>
      </c>
      <c r="E2718" s="2">
        <v>43408</v>
      </c>
      <c r="F2718" s="6">
        <v>109.6509931772941</v>
      </c>
    </row>
    <row r="2719" spans="1:6">
      <c r="A2719" s="1">
        <v>9129451</v>
      </c>
      <c r="B2719">
        <v>6.2273720892848661E-2</v>
      </c>
      <c r="C2719" s="1">
        <v>2</v>
      </c>
      <c r="D2719" s="1">
        <v>592</v>
      </c>
      <c r="E2719" s="2">
        <v>42825</v>
      </c>
      <c r="F2719" s="6">
        <v>8.8494990282720067</v>
      </c>
    </row>
    <row r="2720" spans="1:6">
      <c r="A2720" s="1">
        <v>9129454</v>
      </c>
      <c r="B2720">
        <v>0.55969144715513508</v>
      </c>
      <c r="C2720" s="1">
        <v>247</v>
      </c>
      <c r="D2720" s="1">
        <v>492</v>
      </c>
      <c r="E2720" s="2">
        <v>43097</v>
      </c>
      <c r="F2720" s="6">
        <v>22.211261343373049</v>
      </c>
    </row>
    <row r="2721" spans="1:6">
      <c r="A2721" s="1">
        <v>9129457</v>
      </c>
      <c r="B2721">
        <v>0.13765359686394851</v>
      </c>
      <c r="C2721" s="1">
        <v>1</v>
      </c>
      <c r="D2721" s="1">
        <v>510</v>
      </c>
      <c r="E2721" s="2">
        <v>43485</v>
      </c>
      <c r="F2721" s="6">
        <v>61.065832653672267</v>
      </c>
    </row>
    <row r="2722" spans="1:6">
      <c r="A2722" s="1">
        <v>9129460</v>
      </c>
      <c r="B2722">
        <v>0.17741314291189503</v>
      </c>
      <c r="C2722" s="1">
        <v>14</v>
      </c>
      <c r="D2722" s="1">
        <v>548</v>
      </c>
      <c r="E2722" s="2">
        <v>43457</v>
      </c>
      <c r="F2722" s="6">
        <v>46.471083865617885</v>
      </c>
    </row>
    <row r="2723" spans="1:6">
      <c r="A2723" s="1">
        <v>9129463</v>
      </c>
      <c r="B2723">
        <v>0.59999570182477413</v>
      </c>
      <c r="C2723" s="1">
        <v>24</v>
      </c>
      <c r="D2723" s="1">
        <v>451</v>
      </c>
      <c r="E2723" s="2">
        <v>43477</v>
      </c>
      <c r="F2723" s="6">
        <v>60.809604917391944</v>
      </c>
    </row>
    <row r="2724" spans="1:6">
      <c r="A2724" s="1">
        <v>9129466</v>
      </c>
      <c r="B2724">
        <v>2.7584346323094255E-2</v>
      </c>
      <c r="C2724" s="1">
        <v>28</v>
      </c>
      <c r="D2724" s="1">
        <v>253</v>
      </c>
      <c r="E2724" s="2">
        <v>42849</v>
      </c>
      <c r="F2724" s="6">
        <v>3.6013220101658319</v>
      </c>
    </row>
    <row r="2725" spans="1:6">
      <c r="A2725" s="1">
        <v>9129469</v>
      </c>
      <c r="B2725">
        <v>0.46750259483069534</v>
      </c>
      <c r="C2725" s="1">
        <v>17</v>
      </c>
      <c r="D2725" s="1">
        <v>486</v>
      </c>
      <c r="E2725" s="2">
        <v>42854</v>
      </c>
      <c r="F2725" s="6">
        <v>43.173724934126938</v>
      </c>
    </row>
    <row r="2726" spans="1:6">
      <c r="A2726" s="1">
        <v>9129472</v>
      </c>
      <c r="B2726">
        <v>8.0751297491948981E-2</v>
      </c>
      <c r="C2726" s="1">
        <v>107</v>
      </c>
      <c r="D2726" s="1">
        <v>499</v>
      </c>
      <c r="E2726" s="2">
        <v>43476</v>
      </c>
      <c r="F2726" s="6">
        <v>50.644844707619946</v>
      </c>
    </row>
    <row r="2727" spans="1:6">
      <c r="A2727" s="1">
        <v>9129475</v>
      </c>
      <c r="B2727">
        <v>0.81618778090289501</v>
      </c>
      <c r="C2727" s="1">
        <v>12</v>
      </c>
      <c r="D2727" s="1">
        <v>413</v>
      </c>
      <c r="E2727" s="2">
        <v>43437</v>
      </c>
      <c r="F2727" s="6">
        <v>17.454350049744697</v>
      </c>
    </row>
    <row r="2728" spans="1:6">
      <c r="A2728" s="1">
        <v>9129478</v>
      </c>
      <c r="B2728">
        <v>0.3864295390826481</v>
      </c>
      <c r="C2728" s="1">
        <v>7</v>
      </c>
      <c r="D2728" s="1">
        <v>510</v>
      </c>
      <c r="E2728" s="2">
        <v>43405</v>
      </c>
      <c r="F2728" s="6">
        <v>17.306410931379204</v>
      </c>
    </row>
    <row r="2729" spans="1:6">
      <c r="A2729" s="1">
        <v>9129481</v>
      </c>
      <c r="B2729">
        <v>0.4535448227806923</v>
      </c>
      <c r="C2729" s="1">
        <v>2</v>
      </c>
      <c r="D2729" s="1">
        <v>126</v>
      </c>
      <c r="E2729" s="2">
        <v>42887</v>
      </c>
      <c r="F2729" s="6">
        <v>11.00352393974746</v>
      </c>
    </row>
    <row r="2730" spans="1:6">
      <c r="A2730" s="1">
        <v>9129484</v>
      </c>
      <c r="B2730">
        <v>3.1380991151026216E-2</v>
      </c>
      <c r="C2730" s="1">
        <v>3</v>
      </c>
      <c r="D2730" s="1">
        <v>221</v>
      </c>
      <c r="E2730" s="2">
        <v>42775</v>
      </c>
      <c r="F2730" s="6">
        <v>10.294927118976901</v>
      </c>
    </row>
    <row r="2731" spans="1:6">
      <c r="A2731" s="1">
        <v>9129487</v>
      </c>
      <c r="B2731">
        <v>0.90059644968127994</v>
      </c>
      <c r="C2731" s="1">
        <v>9</v>
      </c>
      <c r="D2731" s="1">
        <v>551</v>
      </c>
      <c r="E2731" s="2">
        <v>43347</v>
      </c>
      <c r="F2731" s="6">
        <v>20.432240389837556</v>
      </c>
    </row>
    <row r="2732" spans="1:6">
      <c r="A2732" s="1">
        <v>9129490</v>
      </c>
      <c r="B2732">
        <v>0.60352088686031857</v>
      </c>
      <c r="C2732" s="1">
        <v>5</v>
      </c>
      <c r="D2732" s="1">
        <v>267</v>
      </c>
      <c r="E2732" s="2">
        <v>42900</v>
      </c>
      <c r="F2732" s="6">
        <v>275.79065718920816</v>
      </c>
    </row>
    <row r="2733" spans="1:6">
      <c r="A2733" s="1">
        <v>9129493</v>
      </c>
      <c r="B2733">
        <v>0.50712001652022165</v>
      </c>
      <c r="C2733" s="1">
        <v>58</v>
      </c>
      <c r="D2733" s="1">
        <v>502</v>
      </c>
      <c r="E2733" s="2">
        <v>43279</v>
      </c>
      <c r="F2733" s="6">
        <v>31.735673870481975</v>
      </c>
    </row>
    <row r="2734" spans="1:6">
      <c r="A2734" s="1">
        <v>9129496</v>
      </c>
      <c r="B2734">
        <v>0.19437045723748214</v>
      </c>
      <c r="C2734" s="1">
        <v>22</v>
      </c>
      <c r="D2734" s="1">
        <v>458</v>
      </c>
      <c r="E2734" s="2">
        <v>43465</v>
      </c>
      <c r="F2734" s="6">
        <v>14.410875287690313</v>
      </c>
    </row>
    <row r="2735" spans="1:6">
      <c r="A2735" s="1">
        <v>9129499</v>
      </c>
      <c r="B2735">
        <v>0.23406211716517322</v>
      </c>
      <c r="C2735" s="1">
        <v>181</v>
      </c>
      <c r="D2735" s="1">
        <v>258</v>
      </c>
      <c r="E2735" s="2">
        <v>43017</v>
      </c>
      <c r="F2735" s="6">
        <v>73.065692865958923</v>
      </c>
    </row>
    <row r="2736" spans="1:6">
      <c r="A2736" s="1">
        <v>9129502</v>
      </c>
      <c r="B2736">
        <v>0.30017910927571212</v>
      </c>
      <c r="C2736" s="1">
        <v>19</v>
      </c>
      <c r="D2736" s="1">
        <v>358</v>
      </c>
      <c r="E2736" s="2">
        <v>43108</v>
      </c>
      <c r="F2736" s="6">
        <v>10.468066659581343</v>
      </c>
    </row>
    <row r="2737" spans="1:6">
      <c r="A2737" s="1">
        <v>9129505</v>
      </c>
      <c r="B2737">
        <v>7.8596522254749002E-2</v>
      </c>
      <c r="C2737" s="1">
        <v>23</v>
      </c>
      <c r="D2737" s="1">
        <v>394</v>
      </c>
      <c r="E2737" s="2">
        <v>43092</v>
      </c>
      <c r="F2737" s="6">
        <v>219.31913701077713</v>
      </c>
    </row>
    <row r="2738" spans="1:6">
      <c r="A2738" s="1">
        <v>9129508</v>
      </c>
      <c r="B2738">
        <v>0.59576393041295861</v>
      </c>
      <c r="C2738" s="1">
        <v>140</v>
      </c>
      <c r="D2738" s="1">
        <v>176</v>
      </c>
      <c r="E2738" s="2">
        <v>42844</v>
      </c>
      <c r="F2738" s="6">
        <v>89.86278409120861</v>
      </c>
    </row>
    <row r="2739" spans="1:6">
      <c r="A2739" s="1">
        <v>9129511</v>
      </c>
      <c r="B2739">
        <v>0.77839259564840502</v>
      </c>
      <c r="C2739" s="1">
        <v>39</v>
      </c>
      <c r="D2739" s="1">
        <v>134</v>
      </c>
      <c r="E2739" s="2">
        <v>43114</v>
      </c>
      <c r="F2739" s="6">
        <v>268.35421183331925</v>
      </c>
    </row>
    <row r="2740" spans="1:6">
      <c r="A2740" s="1">
        <v>9129514</v>
      </c>
      <c r="B2740">
        <v>0.65293035164663293</v>
      </c>
      <c r="C2740" s="1">
        <v>2</v>
      </c>
      <c r="D2740" s="1">
        <v>359</v>
      </c>
      <c r="E2740" s="2">
        <v>43461</v>
      </c>
      <c r="F2740" s="6">
        <v>6.783561499472583</v>
      </c>
    </row>
    <row r="2741" spans="1:6">
      <c r="A2741" s="1">
        <v>9129517</v>
      </c>
      <c r="B2741">
        <v>0.71176911452556602</v>
      </c>
      <c r="C2741" s="1">
        <v>17</v>
      </c>
      <c r="D2741" s="1">
        <v>564</v>
      </c>
      <c r="E2741" s="2">
        <v>43202</v>
      </c>
      <c r="F2741" s="6">
        <v>57.791833859044779</v>
      </c>
    </row>
    <row r="2742" spans="1:6">
      <c r="A2742" s="1">
        <v>9129520</v>
      </c>
      <c r="B2742">
        <v>0.40027533564799023</v>
      </c>
      <c r="C2742" s="1">
        <v>14</v>
      </c>
      <c r="D2742" s="1">
        <v>568</v>
      </c>
      <c r="E2742" s="2">
        <v>43062</v>
      </c>
      <c r="F2742" s="6">
        <v>75.568707533511741</v>
      </c>
    </row>
    <row r="2743" spans="1:6">
      <c r="A2743" s="1">
        <v>9129523</v>
      </c>
      <c r="B2743">
        <v>0.50186075206736447</v>
      </c>
      <c r="C2743" s="1">
        <v>58</v>
      </c>
      <c r="D2743" s="1">
        <v>149</v>
      </c>
      <c r="E2743" s="2">
        <v>43223</v>
      </c>
      <c r="F2743" s="6">
        <v>45.906367205875981</v>
      </c>
    </row>
    <row r="2744" spans="1:6">
      <c r="A2744" s="1">
        <v>9129526</v>
      </c>
      <c r="B2744">
        <v>0.12346812438345123</v>
      </c>
      <c r="C2744" s="1">
        <v>189</v>
      </c>
      <c r="D2744" s="1">
        <v>597</v>
      </c>
      <c r="E2744" s="2">
        <v>43334</v>
      </c>
      <c r="F2744" s="6">
        <v>197.88212385321717</v>
      </c>
    </row>
    <row r="2745" spans="1:6">
      <c r="A2745" s="1">
        <v>9129529</v>
      </c>
      <c r="B2745">
        <v>0.57415656974375118</v>
      </c>
      <c r="C2745" s="1">
        <v>60</v>
      </c>
      <c r="D2745" s="1">
        <v>326</v>
      </c>
      <c r="E2745" s="2">
        <v>43207</v>
      </c>
      <c r="F2745" s="6">
        <v>45.088650517041714</v>
      </c>
    </row>
    <row r="2746" spans="1:6">
      <c r="A2746" s="1">
        <v>9129532</v>
      </c>
      <c r="B2746">
        <v>0.82421438507735267</v>
      </c>
      <c r="C2746" s="1">
        <v>54</v>
      </c>
      <c r="D2746" s="1">
        <v>499</v>
      </c>
      <c r="E2746" s="2">
        <v>42939</v>
      </c>
      <c r="F2746" s="6">
        <v>81.155160523885598</v>
      </c>
    </row>
    <row r="2747" spans="1:6">
      <c r="A2747" s="1">
        <v>9129535</v>
      </c>
      <c r="B2747">
        <v>0.12124534359792083</v>
      </c>
      <c r="C2747" s="1">
        <v>22</v>
      </c>
      <c r="D2747" s="1">
        <v>503</v>
      </c>
      <c r="E2747" s="2">
        <v>42970</v>
      </c>
      <c r="F2747" s="6">
        <v>62.107138639721292</v>
      </c>
    </row>
    <row r="2748" spans="1:6">
      <c r="A2748" s="1">
        <v>9129538</v>
      </c>
      <c r="B2748">
        <v>0.66502201993909571</v>
      </c>
      <c r="C2748" s="1">
        <v>2</v>
      </c>
      <c r="D2748" s="1">
        <v>88</v>
      </c>
      <c r="E2748" s="2">
        <v>43119</v>
      </c>
      <c r="F2748" s="6">
        <v>36.050840181074356</v>
      </c>
    </row>
    <row r="2749" spans="1:6">
      <c r="A2749" s="1">
        <v>9129541</v>
      </c>
      <c r="B2749">
        <v>0.683608830921828</v>
      </c>
      <c r="C2749" s="1">
        <v>24</v>
      </c>
      <c r="D2749" s="1">
        <v>572</v>
      </c>
      <c r="E2749" s="2">
        <v>43440</v>
      </c>
      <c r="F2749" s="6">
        <v>141.0716147198408</v>
      </c>
    </row>
    <row r="2750" spans="1:6">
      <c r="A2750" s="1">
        <v>9129544</v>
      </c>
      <c r="B2750">
        <v>0.24512529918469095</v>
      </c>
      <c r="C2750" s="1">
        <v>2</v>
      </c>
      <c r="D2750" s="1">
        <v>263</v>
      </c>
      <c r="E2750" s="2">
        <v>43022</v>
      </c>
      <c r="F2750" s="6">
        <v>38.586894499206629</v>
      </c>
    </row>
    <row r="2751" spans="1:6">
      <c r="A2751" s="1">
        <v>9129547</v>
      </c>
      <c r="B2751">
        <v>2.3794818283162322E-2</v>
      </c>
      <c r="C2751" s="1">
        <v>5</v>
      </c>
      <c r="D2751" s="1">
        <v>258</v>
      </c>
      <c r="E2751" s="2">
        <v>43301</v>
      </c>
      <c r="F2751" s="6">
        <v>15.078385618776821</v>
      </c>
    </row>
    <row r="2752" spans="1:6">
      <c r="A2752" s="1">
        <v>9129550</v>
      </c>
      <c r="B2752">
        <v>7.8086330553980288E-3</v>
      </c>
      <c r="C2752" s="1">
        <v>123</v>
      </c>
      <c r="D2752" s="1">
        <v>474</v>
      </c>
      <c r="E2752" s="2">
        <v>43373</v>
      </c>
      <c r="F2752" s="6">
        <v>159.02359826948395</v>
      </c>
    </row>
    <row r="2753" spans="1:6">
      <c r="A2753" s="1">
        <v>9129553</v>
      </c>
      <c r="B2753">
        <v>2.6013912070992795E-2</v>
      </c>
      <c r="C2753" s="1">
        <v>1</v>
      </c>
      <c r="D2753" s="1">
        <v>526</v>
      </c>
      <c r="E2753" s="2">
        <v>43397</v>
      </c>
      <c r="F2753" s="6">
        <v>23.530875179169126</v>
      </c>
    </row>
    <row r="2754" spans="1:6">
      <c r="A2754" s="1">
        <v>9129556</v>
      </c>
      <c r="B2754">
        <v>7.6278727385541201E-2</v>
      </c>
      <c r="C2754" s="1">
        <v>34</v>
      </c>
      <c r="D2754" s="1">
        <v>254</v>
      </c>
      <c r="E2754" s="2">
        <v>43296</v>
      </c>
      <c r="F2754" s="6">
        <v>3.9054833127516151</v>
      </c>
    </row>
    <row r="2755" spans="1:6">
      <c r="A2755" s="1">
        <v>9129559</v>
      </c>
      <c r="B2755">
        <v>0.51999650512994466</v>
      </c>
      <c r="C2755" s="1">
        <v>58</v>
      </c>
      <c r="D2755" s="1">
        <v>263</v>
      </c>
      <c r="E2755" s="2">
        <v>43195</v>
      </c>
      <c r="F2755" s="6">
        <v>7.1449325379196678</v>
      </c>
    </row>
    <row r="2756" spans="1:6">
      <c r="A2756" s="1">
        <v>9129562</v>
      </c>
      <c r="B2756">
        <v>0.95236330577896278</v>
      </c>
      <c r="C2756" s="1">
        <v>1</v>
      </c>
      <c r="D2756" s="1">
        <v>510</v>
      </c>
      <c r="E2756" s="2">
        <v>43483</v>
      </c>
      <c r="F2756" s="6">
        <v>133.01647213797534</v>
      </c>
    </row>
    <row r="2757" spans="1:6">
      <c r="A2757" s="1">
        <v>9129565</v>
      </c>
      <c r="B2757">
        <v>0.82282682070945934</v>
      </c>
      <c r="C2757" s="1">
        <v>297</v>
      </c>
      <c r="D2757" s="1">
        <v>509</v>
      </c>
      <c r="E2757" s="2">
        <v>42814</v>
      </c>
      <c r="F2757" s="6">
        <v>26.214661079462132</v>
      </c>
    </row>
    <row r="2758" spans="1:6">
      <c r="A2758" s="1">
        <v>9129568</v>
      </c>
      <c r="B2758">
        <v>5.8964883096153109E-2</v>
      </c>
      <c r="C2758" s="1">
        <v>18</v>
      </c>
      <c r="D2758" s="1">
        <v>145</v>
      </c>
      <c r="E2758" s="2">
        <v>43227</v>
      </c>
      <c r="F2758" s="6">
        <v>16.801745146892536</v>
      </c>
    </row>
    <row r="2759" spans="1:6">
      <c r="A2759" s="1">
        <v>9129571</v>
      </c>
      <c r="B2759">
        <v>0.41934619971089138</v>
      </c>
      <c r="C2759" s="1">
        <v>74</v>
      </c>
      <c r="D2759" s="1">
        <v>366</v>
      </c>
      <c r="E2759" s="2">
        <v>42859</v>
      </c>
      <c r="F2759" s="6">
        <v>184.03206188400065</v>
      </c>
    </row>
    <row r="2760" spans="1:6">
      <c r="A2760" s="1">
        <v>9129574</v>
      </c>
      <c r="B2760">
        <v>0.89952217049345884</v>
      </c>
      <c r="C2760" s="1">
        <v>147</v>
      </c>
      <c r="D2760" s="1">
        <v>182</v>
      </c>
      <c r="E2760" s="2">
        <v>43186</v>
      </c>
      <c r="F2760" s="6">
        <v>200.45262243064857</v>
      </c>
    </row>
    <row r="2761" spans="1:6">
      <c r="A2761" s="1">
        <v>9129577</v>
      </c>
      <c r="B2761">
        <v>0.39175477078708087</v>
      </c>
      <c r="C2761" s="1">
        <v>26</v>
      </c>
      <c r="D2761" s="1">
        <v>102</v>
      </c>
      <c r="E2761" s="2">
        <v>43440</v>
      </c>
      <c r="F2761" s="6">
        <v>48.990526538854823</v>
      </c>
    </row>
    <row r="2762" spans="1:6">
      <c r="A2762" s="1">
        <v>9129580</v>
      </c>
      <c r="B2762">
        <v>0.11204295311365697</v>
      </c>
      <c r="C2762" s="1">
        <v>3</v>
      </c>
      <c r="D2762" s="1">
        <v>564</v>
      </c>
      <c r="E2762" s="2">
        <v>43379</v>
      </c>
      <c r="F2762" s="6">
        <v>30.256267570824917</v>
      </c>
    </row>
    <row r="2763" spans="1:6">
      <c r="A2763" s="1">
        <v>9129583</v>
      </c>
      <c r="B2763">
        <v>9.4359934674678292E-2</v>
      </c>
      <c r="C2763" s="1">
        <v>53</v>
      </c>
      <c r="D2763" s="1">
        <v>348</v>
      </c>
      <c r="E2763" s="2">
        <v>42809</v>
      </c>
      <c r="F2763" s="6">
        <v>23.954652084714304</v>
      </c>
    </row>
    <row r="2764" spans="1:6">
      <c r="A2764" s="1">
        <v>9129586</v>
      </c>
      <c r="B2764">
        <v>0.47848032966423515</v>
      </c>
      <c r="C2764" s="1">
        <v>60</v>
      </c>
      <c r="D2764" s="1">
        <v>90</v>
      </c>
      <c r="E2764" s="2">
        <v>43438</v>
      </c>
      <c r="F2764" s="6">
        <v>64.108409594500131</v>
      </c>
    </row>
    <row r="2765" spans="1:6">
      <c r="A2765" s="1">
        <v>9129589</v>
      </c>
      <c r="B2765">
        <v>0.64788406691568712</v>
      </c>
      <c r="C2765" s="1">
        <v>143</v>
      </c>
      <c r="D2765" s="1">
        <v>366</v>
      </c>
      <c r="E2765" s="2">
        <v>42953</v>
      </c>
      <c r="F2765" s="6">
        <v>38.610055621512501</v>
      </c>
    </row>
    <row r="2766" spans="1:6">
      <c r="A2766" s="1">
        <v>9129592</v>
      </c>
      <c r="B2766">
        <v>0.2217157242935015</v>
      </c>
      <c r="C2766" s="1">
        <v>47</v>
      </c>
      <c r="D2766" s="1">
        <v>146</v>
      </c>
      <c r="E2766" s="2">
        <v>43322</v>
      </c>
      <c r="F2766" s="6">
        <v>34.577177150743836</v>
      </c>
    </row>
    <row r="2767" spans="1:6">
      <c r="A2767" s="1">
        <v>9129595</v>
      </c>
      <c r="B2767">
        <v>0.81830908592312812</v>
      </c>
      <c r="C2767" s="1">
        <v>25</v>
      </c>
      <c r="D2767" s="1">
        <v>510</v>
      </c>
      <c r="E2767" s="2">
        <v>43022</v>
      </c>
      <c r="F2767" s="6">
        <v>22.369104336196042</v>
      </c>
    </row>
    <row r="2768" spans="1:6">
      <c r="A2768" s="1">
        <v>9129598</v>
      </c>
      <c r="B2768">
        <v>0.21396532206598462</v>
      </c>
      <c r="C2768" s="1">
        <v>11</v>
      </c>
      <c r="D2768" s="1">
        <v>468</v>
      </c>
      <c r="E2768" s="2">
        <v>43015</v>
      </c>
      <c r="F2768" s="6">
        <v>4.6581909665097134</v>
      </c>
    </row>
    <row r="2769" spans="1:6">
      <c r="A2769" s="1">
        <v>9129601</v>
      </c>
      <c r="B2769">
        <v>0.85681528478015678</v>
      </c>
      <c r="C2769" s="1">
        <v>11</v>
      </c>
      <c r="D2769" s="1">
        <v>510</v>
      </c>
      <c r="E2769" s="2">
        <v>42922</v>
      </c>
      <c r="F2769" s="6">
        <v>155.31062859992838</v>
      </c>
    </row>
    <row r="2770" spans="1:6">
      <c r="A2770" s="1">
        <v>9129604</v>
      </c>
      <c r="B2770">
        <v>0.95634394634732567</v>
      </c>
      <c r="C2770" s="1">
        <v>40</v>
      </c>
      <c r="D2770" s="1">
        <v>353</v>
      </c>
      <c r="E2770" s="2">
        <v>43076</v>
      </c>
      <c r="F2770" s="6">
        <v>42.482872672828712</v>
      </c>
    </row>
    <row r="2771" spans="1:6">
      <c r="A2771" s="1">
        <v>9129607</v>
      </c>
      <c r="B2771">
        <v>0.157311865481921</v>
      </c>
      <c r="C2771" s="1">
        <v>7</v>
      </c>
      <c r="D2771" s="1">
        <v>597</v>
      </c>
      <c r="E2771" s="2">
        <v>43326</v>
      </c>
      <c r="F2771" s="6">
        <v>266.63558093422694</v>
      </c>
    </row>
    <row r="2772" spans="1:6">
      <c r="A2772" s="1">
        <v>9129610</v>
      </c>
      <c r="B2772">
        <v>0.21086231864307858</v>
      </c>
      <c r="C2772" s="1">
        <v>136</v>
      </c>
      <c r="D2772" s="1">
        <v>510</v>
      </c>
      <c r="E2772" s="2">
        <v>43496</v>
      </c>
      <c r="F2772" s="6">
        <v>174.0095217370496</v>
      </c>
    </row>
    <row r="2773" spans="1:6">
      <c r="A2773" s="1">
        <v>9129613</v>
      </c>
      <c r="B2773">
        <v>0.5527086289358748</v>
      </c>
      <c r="C2773" s="1">
        <v>23</v>
      </c>
      <c r="D2773" s="1">
        <v>377</v>
      </c>
      <c r="E2773" s="2">
        <v>43143</v>
      </c>
      <c r="F2773" s="6">
        <v>8.7935479409871462</v>
      </c>
    </row>
    <row r="2774" spans="1:6">
      <c r="A2774" s="1">
        <v>9129616</v>
      </c>
      <c r="B2774">
        <v>0.94151870596262288</v>
      </c>
      <c r="C2774" s="1">
        <v>17</v>
      </c>
      <c r="D2774" s="1">
        <v>115</v>
      </c>
      <c r="E2774" s="2">
        <v>42800</v>
      </c>
      <c r="F2774" s="6">
        <v>22.772868759588214</v>
      </c>
    </row>
    <row r="2775" spans="1:6">
      <c r="A2775" s="1">
        <v>9129619</v>
      </c>
      <c r="B2775">
        <v>6.9134954846592378E-2</v>
      </c>
      <c r="C2775" s="1">
        <v>25</v>
      </c>
      <c r="D2775" s="1">
        <v>79</v>
      </c>
      <c r="E2775" s="2">
        <v>43312</v>
      </c>
      <c r="F2775" s="6">
        <v>73.378569140144094</v>
      </c>
    </row>
    <row r="2776" spans="1:6">
      <c r="A2776" s="1">
        <v>9129622</v>
      </c>
      <c r="B2776">
        <v>0.17907912735617226</v>
      </c>
      <c r="C2776" s="1">
        <v>67</v>
      </c>
      <c r="D2776" s="1">
        <v>431</v>
      </c>
      <c r="E2776" s="2">
        <v>43184</v>
      </c>
      <c r="F2776" s="6">
        <v>277.13116237813239</v>
      </c>
    </row>
    <row r="2777" spans="1:6">
      <c r="A2777" s="1">
        <v>9129625</v>
      </c>
      <c r="B2777">
        <v>3.155770563744098E-2</v>
      </c>
      <c r="C2777" s="1">
        <v>74</v>
      </c>
      <c r="D2777" s="1">
        <v>176</v>
      </c>
      <c r="E2777" s="2">
        <v>42841</v>
      </c>
      <c r="F2777" s="6">
        <v>179.29397002704994</v>
      </c>
    </row>
    <row r="2778" spans="1:6">
      <c r="A2778" s="1">
        <v>9129628</v>
      </c>
      <c r="B2778">
        <v>8.1423700846109281E-2</v>
      </c>
      <c r="C2778" s="1">
        <v>64</v>
      </c>
      <c r="D2778" s="1">
        <v>17</v>
      </c>
      <c r="E2778" s="2">
        <v>42818</v>
      </c>
      <c r="F2778" s="6">
        <v>152.57017133100126</v>
      </c>
    </row>
    <row r="2779" spans="1:6">
      <c r="A2779" s="1">
        <v>9129631</v>
      </c>
      <c r="B2779">
        <v>0.62758291337753291</v>
      </c>
      <c r="C2779" s="1">
        <v>107</v>
      </c>
      <c r="D2779" s="1">
        <v>492</v>
      </c>
      <c r="E2779" s="2">
        <v>43342</v>
      </c>
      <c r="F2779" s="6">
        <v>6.6121381483870216</v>
      </c>
    </row>
    <row r="2780" spans="1:6">
      <c r="A2780" s="1">
        <v>9129634</v>
      </c>
      <c r="B2780">
        <v>0.39295413015209824</v>
      </c>
      <c r="C2780" s="1">
        <v>39</v>
      </c>
      <c r="D2780" s="1">
        <v>258</v>
      </c>
      <c r="E2780" s="2">
        <v>43341</v>
      </c>
      <c r="F2780" s="6">
        <v>102.77452442329528</v>
      </c>
    </row>
    <row r="2781" spans="1:6">
      <c r="A2781" s="1">
        <v>9129637</v>
      </c>
      <c r="B2781">
        <v>0.9823180701023676</v>
      </c>
      <c r="C2781" s="1">
        <v>166</v>
      </c>
      <c r="D2781" s="1">
        <v>19</v>
      </c>
      <c r="E2781" s="2">
        <v>43152</v>
      </c>
      <c r="F2781" s="6">
        <v>23.531196566764237</v>
      </c>
    </row>
    <row r="2782" spans="1:6">
      <c r="A2782" s="1">
        <v>9129640</v>
      </c>
      <c r="B2782">
        <v>0.43105352975429434</v>
      </c>
      <c r="C2782" s="1">
        <v>52</v>
      </c>
      <c r="D2782" s="1">
        <v>413</v>
      </c>
      <c r="E2782" s="2">
        <v>42990</v>
      </c>
      <c r="F2782" s="6">
        <v>70.608200645328736</v>
      </c>
    </row>
    <row r="2783" spans="1:6">
      <c r="A2783" s="1">
        <v>9129643</v>
      </c>
      <c r="B2783">
        <v>0.59383953623294494</v>
      </c>
      <c r="C2783" s="1">
        <v>44</v>
      </c>
      <c r="D2783" s="1">
        <v>431</v>
      </c>
      <c r="E2783" s="2">
        <v>43103</v>
      </c>
      <c r="F2783" s="6">
        <v>76.978804624697503</v>
      </c>
    </row>
    <row r="2784" spans="1:6">
      <c r="A2784" s="1">
        <v>9129646</v>
      </c>
      <c r="B2784">
        <v>0.77745049898089569</v>
      </c>
      <c r="C2784" s="1">
        <v>68</v>
      </c>
      <c r="D2784" s="1">
        <v>77</v>
      </c>
      <c r="E2784" s="2">
        <v>43486</v>
      </c>
      <c r="F2784" s="6">
        <v>13.773236676032848</v>
      </c>
    </row>
    <row r="2785" spans="1:6">
      <c r="A2785" s="1">
        <v>9129649</v>
      </c>
      <c r="B2785">
        <v>0.8205718498471295</v>
      </c>
      <c r="C2785" s="1">
        <v>10</v>
      </c>
      <c r="D2785" s="1">
        <v>592</v>
      </c>
      <c r="E2785" s="2">
        <v>42840</v>
      </c>
      <c r="F2785" s="6">
        <v>3.4683717095919331</v>
      </c>
    </row>
    <row r="2786" spans="1:6">
      <c r="A2786" s="1">
        <v>9129652</v>
      </c>
      <c r="B2786">
        <v>0.39035682050818343</v>
      </c>
      <c r="C2786" s="1">
        <v>1</v>
      </c>
      <c r="D2786" s="1">
        <v>359</v>
      </c>
      <c r="E2786" s="2">
        <v>42840</v>
      </c>
      <c r="F2786" s="6">
        <v>4.9711718764395734</v>
      </c>
    </row>
    <row r="2787" spans="1:6">
      <c r="A2787" s="1">
        <v>9129655</v>
      </c>
      <c r="B2787">
        <v>0.60076719697520709</v>
      </c>
      <c r="C2787" s="1">
        <v>2</v>
      </c>
      <c r="D2787" s="1">
        <v>139</v>
      </c>
      <c r="E2787" s="2">
        <v>43184</v>
      </c>
      <c r="F2787" s="6">
        <v>103.43663361985217</v>
      </c>
    </row>
    <row r="2788" spans="1:6">
      <c r="A2788" s="1">
        <v>9129658</v>
      </c>
      <c r="B2788">
        <v>0.75917209918129169</v>
      </c>
      <c r="C2788" s="1">
        <v>28</v>
      </c>
      <c r="D2788" s="1">
        <v>495</v>
      </c>
      <c r="E2788" s="2">
        <v>43088</v>
      </c>
      <c r="F2788" s="6">
        <v>3.2965163239929764</v>
      </c>
    </row>
    <row r="2789" spans="1:6">
      <c r="A2789" s="1">
        <v>9129661</v>
      </c>
      <c r="B2789">
        <v>0.96684052938831055</v>
      </c>
      <c r="C2789" s="1">
        <v>102</v>
      </c>
      <c r="D2789" s="1">
        <v>258</v>
      </c>
      <c r="E2789" s="2">
        <v>43027</v>
      </c>
      <c r="F2789" s="6">
        <v>23.536436577838405</v>
      </c>
    </row>
    <row r="2790" spans="1:6">
      <c r="A2790" s="1">
        <v>9129664</v>
      </c>
      <c r="B2790">
        <v>0.87073600372532578</v>
      </c>
      <c r="C2790" s="1">
        <v>12</v>
      </c>
      <c r="D2790" s="1">
        <v>510</v>
      </c>
      <c r="E2790" s="2">
        <v>42856</v>
      </c>
      <c r="F2790" s="6">
        <v>51.232891402624141</v>
      </c>
    </row>
    <row r="2791" spans="1:6">
      <c r="A2791" s="1">
        <v>9129667</v>
      </c>
      <c r="B2791">
        <v>0.60628423245888297</v>
      </c>
      <c r="C2791" s="1">
        <v>69</v>
      </c>
      <c r="D2791" s="1">
        <v>564</v>
      </c>
      <c r="E2791" s="2">
        <v>42746</v>
      </c>
      <c r="F2791" s="6">
        <v>15.026169940252059</v>
      </c>
    </row>
    <row r="2792" spans="1:6">
      <c r="A2792" s="1">
        <v>9129670</v>
      </c>
      <c r="B2792">
        <v>0.96352931758949889</v>
      </c>
      <c r="C2792" s="1">
        <v>2</v>
      </c>
      <c r="D2792" s="1">
        <v>182</v>
      </c>
      <c r="E2792" s="2">
        <v>43106</v>
      </c>
      <c r="F2792" s="6">
        <v>3.072037610310534</v>
      </c>
    </row>
    <row r="2793" spans="1:6">
      <c r="A2793" s="1">
        <v>9129673</v>
      </c>
      <c r="B2793">
        <v>0.20223152267730804</v>
      </c>
      <c r="C2793" s="1">
        <v>216</v>
      </c>
      <c r="D2793" s="1">
        <v>485</v>
      </c>
      <c r="E2793" s="2">
        <v>43008</v>
      </c>
      <c r="F2793" s="6">
        <v>27.002631512517009</v>
      </c>
    </row>
    <row r="2794" spans="1:6">
      <c r="A2794" s="1">
        <v>9129676</v>
      </c>
      <c r="B2794">
        <v>0.8109660701064354</v>
      </c>
      <c r="C2794" s="1">
        <v>54</v>
      </c>
      <c r="D2794" s="1">
        <v>368</v>
      </c>
      <c r="E2794" s="2">
        <v>43452</v>
      </c>
      <c r="F2794" s="6">
        <v>5.206598193099639</v>
      </c>
    </row>
    <row r="2795" spans="1:6">
      <c r="A2795" s="1">
        <v>9129679</v>
      </c>
      <c r="B2795">
        <v>0.37988940498016766</v>
      </c>
      <c r="C2795" s="1">
        <v>16</v>
      </c>
      <c r="D2795" s="1">
        <v>155</v>
      </c>
      <c r="E2795" s="2">
        <v>43446</v>
      </c>
      <c r="F2795" s="6">
        <v>11.292556008444043</v>
      </c>
    </row>
    <row r="2796" spans="1:6">
      <c r="A2796" s="1">
        <v>9129682</v>
      </c>
      <c r="B2796">
        <v>0.83828486372064992</v>
      </c>
      <c r="C2796" s="1">
        <v>50</v>
      </c>
      <c r="D2796" s="1">
        <v>88</v>
      </c>
      <c r="E2796" s="2">
        <v>42954</v>
      </c>
      <c r="F2796" s="6">
        <v>36.848629952263558</v>
      </c>
    </row>
    <row r="2797" spans="1:6">
      <c r="A2797" s="1">
        <v>9129685</v>
      </c>
      <c r="B2797">
        <v>0.83296013847286132</v>
      </c>
      <c r="C2797" s="1">
        <v>6</v>
      </c>
      <c r="D2797" s="1">
        <v>589</v>
      </c>
      <c r="E2797" s="2">
        <v>42873</v>
      </c>
      <c r="F2797" s="6">
        <v>132.5226428021231</v>
      </c>
    </row>
    <row r="2798" spans="1:6">
      <c r="A2798" s="1">
        <v>9129688</v>
      </c>
      <c r="B2798">
        <v>0.89354248202133901</v>
      </c>
      <c r="C2798" s="1">
        <v>13</v>
      </c>
      <c r="D2798" s="1">
        <v>526</v>
      </c>
      <c r="E2798" s="2">
        <v>43411</v>
      </c>
      <c r="F2798" s="6">
        <v>78.942400392129571</v>
      </c>
    </row>
    <row r="2799" spans="1:6">
      <c r="A2799" s="1">
        <v>9129691</v>
      </c>
      <c r="B2799">
        <v>0.15816612916490158</v>
      </c>
      <c r="C2799" s="1">
        <v>37</v>
      </c>
      <c r="D2799" s="1">
        <v>510</v>
      </c>
      <c r="E2799" s="2">
        <v>43030</v>
      </c>
      <c r="F2799" s="6">
        <v>47.993020736016213</v>
      </c>
    </row>
    <row r="2800" spans="1:6">
      <c r="A2800" s="1">
        <v>9129694</v>
      </c>
      <c r="B2800">
        <v>0.61420935959643963</v>
      </c>
      <c r="C2800" s="1">
        <v>16</v>
      </c>
      <c r="D2800" s="1">
        <v>509</v>
      </c>
      <c r="E2800" s="2">
        <v>42960</v>
      </c>
      <c r="F2800" s="6">
        <v>269.2012459777352</v>
      </c>
    </row>
    <row r="2801" spans="1:6">
      <c r="A2801" s="1">
        <v>9129697</v>
      </c>
      <c r="B2801">
        <v>0.94419339609925612</v>
      </c>
      <c r="C2801" s="1">
        <v>1</v>
      </c>
      <c r="D2801" s="1">
        <v>296</v>
      </c>
      <c r="E2801" s="2">
        <v>43199</v>
      </c>
      <c r="F2801" s="6">
        <v>264.55475648735154</v>
      </c>
    </row>
    <row r="2802" spans="1:6">
      <c r="A2802" s="1">
        <v>9129700</v>
      </c>
      <c r="B2802">
        <v>0.33917474931187108</v>
      </c>
      <c r="C2802" s="1">
        <v>14</v>
      </c>
      <c r="D2802" s="1">
        <v>599</v>
      </c>
      <c r="E2802" s="2">
        <v>43357</v>
      </c>
      <c r="F2802" s="6">
        <v>7.2018383949376403</v>
      </c>
    </row>
    <row r="2803" spans="1:6">
      <c r="A2803" s="1">
        <v>9129703</v>
      </c>
      <c r="B2803">
        <v>7.7513156649502868E-2</v>
      </c>
      <c r="C2803" s="1">
        <v>63</v>
      </c>
      <c r="D2803" s="1">
        <v>495</v>
      </c>
      <c r="E2803" s="2">
        <v>42813</v>
      </c>
      <c r="F2803" s="6">
        <v>108.62356560869171</v>
      </c>
    </row>
    <row r="2804" spans="1:6">
      <c r="A2804" s="1">
        <v>9129706</v>
      </c>
      <c r="B2804">
        <v>0.27134969203769788</v>
      </c>
      <c r="C2804" s="1">
        <v>1</v>
      </c>
      <c r="D2804" s="1">
        <v>216</v>
      </c>
      <c r="E2804" s="2">
        <v>43138</v>
      </c>
      <c r="F2804" s="6">
        <v>11.826509528023168</v>
      </c>
    </row>
    <row r="2805" spans="1:6">
      <c r="A2805" s="1">
        <v>9129709</v>
      </c>
      <c r="B2805">
        <v>0.47082366443984325</v>
      </c>
      <c r="C2805" s="1">
        <v>95</v>
      </c>
      <c r="D2805" s="1">
        <v>438</v>
      </c>
      <c r="E2805" s="2">
        <v>42866</v>
      </c>
      <c r="F2805" s="6">
        <v>155.18563456994409</v>
      </c>
    </row>
    <row r="2806" spans="1:6">
      <c r="A2806" s="1">
        <v>9129712</v>
      </c>
      <c r="B2806">
        <v>0.99163602768414871</v>
      </c>
      <c r="C2806" s="1">
        <v>2</v>
      </c>
      <c r="D2806" s="1">
        <v>597</v>
      </c>
      <c r="E2806" s="2">
        <v>43178</v>
      </c>
      <c r="F2806" s="6">
        <v>188.87517374438733</v>
      </c>
    </row>
    <row r="2807" spans="1:6">
      <c r="A2807" s="1">
        <v>9129715</v>
      </c>
      <c r="B2807">
        <v>0.72440385583454836</v>
      </c>
      <c r="C2807" s="1">
        <v>10</v>
      </c>
      <c r="D2807" s="1">
        <v>510</v>
      </c>
      <c r="E2807" s="2">
        <v>43151</v>
      </c>
      <c r="F2807" s="6">
        <v>82.990243594751504</v>
      </c>
    </row>
    <row r="2808" spans="1:6">
      <c r="A2808" s="1">
        <v>9129718</v>
      </c>
      <c r="B2808">
        <v>1.4454350869458676E-2</v>
      </c>
      <c r="C2808" s="1">
        <v>27</v>
      </c>
      <c r="D2808" s="1">
        <v>248</v>
      </c>
      <c r="E2808" s="2">
        <v>43335</v>
      </c>
      <c r="F2808" s="6">
        <v>14.865230230700561</v>
      </c>
    </row>
    <row r="2809" spans="1:6">
      <c r="A2809" s="1">
        <v>9129721</v>
      </c>
      <c r="B2809">
        <v>0.77036219691428809</v>
      </c>
      <c r="C2809" s="1">
        <v>63</v>
      </c>
      <c r="D2809" s="1">
        <v>120</v>
      </c>
      <c r="E2809" s="2">
        <v>43091</v>
      </c>
      <c r="F2809" s="6">
        <v>168.83890604251641</v>
      </c>
    </row>
    <row r="2810" spans="1:6">
      <c r="A2810" s="1">
        <v>9129724</v>
      </c>
      <c r="B2810">
        <v>0.12390620874559466</v>
      </c>
      <c r="C2810" s="1">
        <v>102</v>
      </c>
      <c r="D2810" s="1">
        <v>182</v>
      </c>
      <c r="E2810" s="2">
        <v>43341</v>
      </c>
      <c r="F2810" s="6">
        <v>80.409737936780971</v>
      </c>
    </row>
    <row r="2811" spans="1:6">
      <c r="A2811" s="1">
        <v>9129727</v>
      </c>
      <c r="B2811">
        <v>0.77457199575350955</v>
      </c>
      <c r="C2811" s="1">
        <v>116</v>
      </c>
      <c r="D2811" s="1">
        <v>495</v>
      </c>
      <c r="E2811" s="2">
        <v>42993</v>
      </c>
      <c r="F2811" s="6">
        <v>3.1285188753804256</v>
      </c>
    </row>
    <row r="2812" spans="1:6">
      <c r="A2812" s="1">
        <v>9129730</v>
      </c>
      <c r="B2812">
        <v>0.66290450279110691</v>
      </c>
      <c r="C2812" s="1">
        <v>32</v>
      </c>
      <c r="D2812" s="1">
        <v>19</v>
      </c>
      <c r="E2812" s="2">
        <v>42736</v>
      </c>
      <c r="F2812" s="6">
        <v>3.1839523823698079</v>
      </c>
    </row>
    <row r="2813" spans="1:6">
      <c r="A2813" s="1">
        <v>9129733</v>
      </c>
      <c r="B2813">
        <v>0.32681018394541594</v>
      </c>
      <c r="C2813" s="1">
        <v>77</v>
      </c>
      <c r="D2813" s="1">
        <v>361</v>
      </c>
      <c r="E2813" s="2">
        <v>42780</v>
      </c>
      <c r="F2813" s="6">
        <v>32.814344081818717</v>
      </c>
    </row>
    <row r="2814" spans="1:6">
      <c r="A2814" s="1">
        <v>9129736</v>
      </c>
      <c r="B2814">
        <v>0.62786543173580101</v>
      </c>
      <c r="C2814" s="1">
        <v>53</v>
      </c>
      <c r="D2814" s="1">
        <v>359</v>
      </c>
      <c r="E2814" s="2">
        <v>42745</v>
      </c>
      <c r="F2814" s="6">
        <v>147.50981164616513</v>
      </c>
    </row>
    <row r="2815" spans="1:6">
      <c r="A2815" s="1">
        <v>9129739</v>
      </c>
      <c r="B2815">
        <v>0.99318848033325224</v>
      </c>
      <c r="C2815" s="1">
        <v>6</v>
      </c>
      <c r="D2815" s="1">
        <v>176</v>
      </c>
      <c r="E2815" s="2">
        <v>43188</v>
      </c>
      <c r="F2815" s="6">
        <v>226.879080960707</v>
      </c>
    </row>
    <row r="2816" spans="1:6">
      <c r="A2816" s="1">
        <v>9129742</v>
      </c>
      <c r="B2816">
        <v>0.57600920542754519</v>
      </c>
      <c r="C2816" s="1">
        <v>16</v>
      </c>
      <c r="D2816" s="1">
        <v>359</v>
      </c>
      <c r="E2816" s="2">
        <v>43133</v>
      </c>
      <c r="F2816" s="6">
        <v>9.2245810857921953</v>
      </c>
    </row>
    <row r="2817" spans="1:6">
      <c r="A2817" s="1">
        <v>9129745</v>
      </c>
      <c r="B2817">
        <v>0.48480975263420845</v>
      </c>
      <c r="C2817" s="1">
        <v>6</v>
      </c>
      <c r="D2817" s="1">
        <v>12</v>
      </c>
      <c r="E2817" s="2">
        <v>43424</v>
      </c>
      <c r="F2817" s="6">
        <v>101.71642848761329</v>
      </c>
    </row>
    <row r="2818" spans="1:6">
      <c r="A2818" s="1">
        <v>9129748</v>
      </c>
      <c r="B2818">
        <v>0.82026557975733305</v>
      </c>
      <c r="C2818" s="1">
        <v>4</v>
      </c>
      <c r="D2818" s="1">
        <v>462</v>
      </c>
      <c r="E2818" s="2">
        <v>43200</v>
      </c>
      <c r="F2818" s="6">
        <v>209.61584833002044</v>
      </c>
    </row>
    <row r="2819" spans="1:6">
      <c r="A2819" s="1">
        <v>9129751</v>
      </c>
      <c r="B2819">
        <v>0.84161069357864615</v>
      </c>
      <c r="C2819" s="1">
        <v>1</v>
      </c>
      <c r="D2819" s="1">
        <v>176</v>
      </c>
      <c r="E2819" s="2">
        <v>42898</v>
      </c>
      <c r="F2819" s="6">
        <v>82.362571519259276</v>
      </c>
    </row>
    <row r="2820" spans="1:6">
      <c r="A2820" s="1">
        <v>9129754</v>
      </c>
      <c r="B2820">
        <v>0.26881974762631655</v>
      </c>
      <c r="C2820" s="1">
        <v>15</v>
      </c>
      <c r="D2820" s="1">
        <v>197</v>
      </c>
      <c r="E2820" s="2">
        <v>43303</v>
      </c>
      <c r="F2820" s="6">
        <v>180.34411923714518</v>
      </c>
    </row>
    <row r="2821" spans="1:6">
      <c r="A2821" s="1">
        <v>9129757</v>
      </c>
      <c r="B2821">
        <v>0.92645028773162486</v>
      </c>
      <c r="C2821" s="1">
        <v>22</v>
      </c>
      <c r="D2821" s="1">
        <v>453</v>
      </c>
      <c r="E2821" s="2">
        <v>43240</v>
      </c>
      <c r="F2821" s="6">
        <v>4.3345801618895816</v>
      </c>
    </row>
    <row r="2822" spans="1:6">
      <c r="A2822" s="1">
        <v>9129760</v>
      </c>
      <c r="B2822">
        <v>0.26568386470830341</v>
      </c>
      <c r="C2822" s="1">
        <v>74</v>
      </c>
      <c r="D2822" s="1">
        <v>560</v>
      </c>
      <c r="E2822" s="2">
        <v>43262</v>
      </c>
      <c r="F2822" s="6">
        <v>171.04361831743688</v>
      </c>
    </row>
    <row r="2823" spans="1:6">
      <c r="A2823" s="1">
        <v>9129763</v>
      </c>
      <c r="B2823">
        <v>0.26189080285328437</v>
      </c>
      <c r="C2823" s="1">
        <v>252</v>
      </c>
      <c r="D2823" s="1">
        <v>558</v>
      </c>
      <c r="E2823" s="2">
        <v>43425</v>
      </c>
      <c r="F2823" s="6">
        <v>56.626828622490997</v>
      </c>
    </row>
    <row r="2824" spans="1:6">
      <c r="A2824" s="1">
        <v>9129766</v>
      </c>
      <c r="B2824">
        <v>0.35279847923421637</v>
      </c>
      <c r="C2824" s="1">
        <v>31</v>
      </c>
      <c r="D2824" s="1">
        <v>510</v>
      </c>
      <c r="E2824" s="2">
        <v>43057</v>
      </c>
      <c r="F2824" s="6">
        <v>44.509351655856527</v>
      </c>
    </row>
    <row r="2825" spans="1:6">
      <c r="A2825" s="1">
        <v>9129769</v>
      </c>
      <c r="B2825">
        <v>0.61475800449079054</v>
      </c>
      <c r="C2825" s="1">
        <v>3</v>
      </c>
      <c r="D2825" s="1">
        <v>258</v>
      </c>
      <c r="E2825" s="2">
        <v>43207</v>
      </c>
      <c r="F2825" s="6">
        <v>117.05036218428775</v>
      </c>
    </row>
    <row r="2826" spans="1:6">
      <c r="A2826" s="1">
        <v>9129772</v>
      </c>
      <c r="B2826">
        <v>0.2608995960330297</v>
      </c>
      <c r="C2826" s="1">
        <v>58</v>
      </c>
      <c r="D2826" s="1">
        <v>427</v>
      </c>
      <c r="E2826" s="2">
        <v>42978</v>
      </c>
      <c r="F2826" s="6">
        <v>6.8977230870914692</v>
      </c>
    </row>
    <row r="2827" spans="1:6">
      <c r="A2827" s="1">
        <v>9129775</v>
      </c>
      <c r="B2827">
        <v>0.86461579455583049</v>
      </c>
      <c r="C2827" s="1">
        <v>4</v>
      </c>
      <c r="D2827" s="1">
        <v>225</v>
      </c>
      <c r="E2827" s="2">
        <v>42928</v>
      </c>
      <c r="F2827" s="6">
        <v>105.22586534753468</v>
      </c>
    </row>
    <row r="2828" spans="1:6">
      <c r="A2828" s="1">
        <v>9129778</v>
      </c>
      <c r="B2828">
        <v>0.47614362811380995</v>
      </c>
      <c r="C2828" s="1">
        <v>10</v>
      </c>
      <c r="D2828" s="1">
        <v>176</v>
      </c>
      <c r="E2828" s="2">
        <v>43328</v>
      </c>
      <c r="F2828" s="6">
        <v>14.089591134685914</v>
      </c>
    </row>
    <row r="2829" spans="1:6">
      <c r="A2829" s="1">
        <v>9129781</v>
      </c>
      <c r="B2829">
        <v>0.69217372954273737</v>
      </c>
      <c r="C2829" s="1">
        <v>28</v>
      </c>
      <c r="D2829" s="1">
        <v>258</v>
      </c>
      <c r="E2829" s="2">
        <v>43360</v>
      </c>
      <c r="F2829" s="6">
        <v>55.834331692512592</v>
      </c>
    </row>
    <row r="2830" spans="1:6">
      <c r="A2830" s="1">
        <v>9129784</v>
      </c>
      <c r="B2830">
        <v>0.80028765620961151</v>
      </c>
      <c r="C2830" s="1">
        <v>123</v>
      </c>
      <c r="D2830" s="1">
        <v>139</v>
      </c>
      <c r="E2830" s="2">
        <v>42941</v>
      </c>
      <c r="F2830" s="6">
        <v>31.142078808496368</v>
      </c>
    </row>
    <row r="2831" spans="1:6">
      <c r="A2831" s="1">
        <v>9129787</v>
      </c>
      <c r="B2831">
        <v>0.23018719055994852</v>
      </c>
      <c r="C2831" s="1">
        <v>75</v>
      </c>
      <c r="D2831" s="1">
        <v>236</v>
      </c>
      <c r="E2831" s="2">
        <v>42963</v>
      </c>
      <c r="F2831" s="6">
        <v>6.6572877226620246</v>
      </c>
    </row>
    <row r="2832" spans="1:6">
      <c r="A2832" s="1">
        <v>9129790</v>
      </c>
      <c r="B2832">
        <v>0.34227072352710908</v>
      </c>
      <c r="C2832" s="1">
        <v>32</v>
      </c>
      <c r="D2832" s="1">
        <v>510</v>
      </c>
      <c r="E2832" s="2">
        <v>43479</v>
      </c>
      <c r="F2832" s="6">
        <v>373.02307555722058</v>
      </c>
    </row>
    <row r="2833" spans="1:6">
      <c r="A2833" s="1">
        <v>9129793</v>
      </c>
      <c r="B2833">
        <v>0.11512790879993218</v>
      </c>
      <c r="C2833" s="1">
        <v>2</v>
      </c>
      <c r="D2833" s="1">
        <v>599</v>
      </c>
      <c r="E2833" s="2">
        <v>43414</v>
      </c>
      <c r="F2833" s="6">
        <v>94.942306857881761</v>
      </c>
    </row>
    <row r="2834" spans="1:6">
      <c r="A2834" s="1">
        <v>9129796</v>
      </c>
      <c r="B2834">
        <v>0.92656679783063811</v>
      </c>
      <c r="C2834" s="1">
        <v>14</v>
      </c>
      <c r="D2834" s="1">
        <v>175</v>
      </c>
      <c r="E2834" s="2">
        <v>42916</v>
      </c>
      <c r="F2834" s="6">
        <v>85.370919654323487</v>
      </c>
    </row>
    <row r="2835" spans="1:6">
      <c r="A2835" s="1">
        <v>9129799</v>
      </c>
      <c r="B2835">
        <v>0.41813529553172335</v>
      </c>
      <c r="C2835" s="1">
        <v>352</v>
      </c>
      <c r="D2835" s="1">
        <v>510</v>
      </c>
      <c r="E2835" s="2">
        <v>42762</v>
      </c>
      <c r="F2835" s="6">
        <v>8.1092809200827531</v>
      </c>
    </row>
    <row r="2836" spans="1:6">
      <c r="A2836" s="1">
        <v>9129802</v>
      </c>
      <c r="B2836">
        <v>0.43590855884457413</v>
      </c>
      <c r="C2836" s="1">
        <v>6</v>
      </c>
      <c r="D2836" s="1">
        <v>176</v>
      </c>
      <c r="E2836" s="2">
        <v>42779</v>
      </c>
      <c r="F2836" s="6">
        <v>5.4931684010294362</v>
      </c>
    </row>
    <row r="2837" spans="1:6">
      <c r="A2837" s="1">
        <v>9129805</v>
      </c>
      <c r="B2837">
        <v>0.54805201373630585</v>
      </c>
      <c r="C2837" s="1">
        <v>1</v>
      </c>
      <c r="D2837" s="1">
        <v>252</v>
      </c>
      <c r="E2837" s="2">
        <v>42878</v>
      </c>
      <c r="F2837" s="6">
        <v>31.861268300687744</v>
      </c>
    </row>
    <row r="2838" spans="1:6">
      <c r="A2838" s="1">
        <v>9129808</v>
      </c>
      <c r="B2838">
        <v>0.97328585380128407</v>
      </c>
      <c r="C2838" s="1">
        <v>1</v>
      </c>
      <c r="D2838" s="1">
        <v>146</v>
      </c>
      <c r="E2838" s="2">
        <v>43158</v>
      </c>
      <c r="F2838" s="6">
        <v>16.649272528527582</v>
      </c>
    </row>
    <row r="2839" spans="1:6">
      <c r="A2839" s="1">
        <v>9129811</v>
      </c>
      <c r="B2839">
        <v>0.46857447535415064</v>
      </c>
      <c r="C2839" s="1">
        <v>51</v>
      </c>
      <c r="D2839" s="1">
        <v>368</v>
      </c>
      <c r="E2839" s="2">
        <v>42831</v>
      </c>
      <c r="F2839" s="6">
        <v>11.158184703540282</v>
      </c>
    </row>
    <row r="2840" spans="1:6">
      <c r="A2840" s="1">
        <v>9129814</v>
      </c>
      <c r="B2840">
        <v>0.63344931998937015</v>
      </c>
      <c r="C2840" s="1">
        <v>4</v>
      </c>
      <c r="D2840" s="1">
        <v>176</v>
      </c>
      <c r="E2840" s="2">
        <v>42845</v>
      </c>
      <c r="F2840" s="6">
        <v>46.596750562521521</v>
      </c>
    </row>
    <row r="2841" spans="1:6">
      <c r="A2841" s="1">
        <v>9129817</v>
      </c>
      <c r="B2841">
        <v>0.61013574253966862</v>
      </c>
      <c r="C2841" s="1">
        <v>3</v>
      </c>
      <c r="D2841" s="1">
        <v>176</v>
      </c>
      <c r="E2841" s="2">
        <v>43131</v>
      </c>
      <c r="F2841" s="6">
        <v>12.585446723855268</v>
      </c>
    </row>
    <row r="2842" spans="1:6">
      <c r="A2842" s="1">
        <v>9129820</v>
      </c>
      <c r="B2842">
        <v>0.94707395626643542</v>
      </c>
      <c r="C2842" s="1">
        <v>44</v>
      </c>
      <c r="D2842" s="1">
        <v>163</v>
      </c>
      <c r="E2842" s="2">
        <v>43275</v>
      </c>
      <c r="F2842" s="6">
        <v>8.8916494150535534</v>
      </c>
    </row>
    <row r="2843" spans="1:6">
      <c r="A2843" s="1">
        <v>9129823</v>
      </c>
      <c r="B2843">
        <v>0.57245140026151597</v>
      </c>
      <c r="C2843" s="1">
        <v>9</v>
      </c>
      <c r="D2843" s="1">
        <v>182</v>
      </c>
      <c r="E2843" s="2">
        <v>43057</v>
      </c>
      <c r="F2843" s="6">
        <v>65.465984346004888</v>
      </c>
    </row>
    <row r="2844" spans="1:6">
      <c r="A2844" s="1">
        <v>9129826</v>
      </c>
      <c r="B2844">
        <v>0.35232357323287711</v>
      </c>
      <c r="C2844" s="1">
        <v>4</v>
      </c>
      <c r="D2844" s="1">
        <v>334</v>
      </c>
      <c r="E2844" s="2">
        <v>42798</v>
      </c>
      <c r="F2844" s="6">
        <v>124.44614241801919</v>
      </c>
    </row>
    <row r="2845" spans="1:6">
      <c r="A2845" s="1">
        <v>9129829</v>
      </c>
      <c r="B2845">
        <v>0.28471508620576658</v>
      </c>
      <c r="C2845" s="1">
        <v>10</v>
      </c>
      <c r="D2845" s="1">
        <v>510</v>
      </c>
      <c r="E2845" s="2">
        <v>43277</v>
      </c>
      <c r="F2845" s="6">
        <v>92.086014931299516</v>
      </c>
    </row>
    <row r="2846" spans="1:6">
      <c r="A2846" s="1">
        <v>9129832</v>
      </c>
      <c r="B2846">
        <v>0.65551551838081867</v>
      </c>
      <c r="C2846" s="1">
        <v>29</v>
      </c>
      <c r="D2846" s="1">
        <v>495</v>
      </c>
      <c r="E2846" s="2">
        <v>43152</v>
      </c>
      <c r="F2846" s="6">
        <v>3.0593586427070458</v>
      </c>
    </row>
    <row r="2847" spans="1:6">
      <c r="A2847" s="1">
        <v>9129835</v>
      </c>
      <c r="B2847">
        <v>0.37534323308079709</v>
      </c>
      <c r="C2847" s="1">
        <v>123</v>
      </c>
      <c r="D2847" s="1">
        <v>510</v>
      </c>
      <c r="E2847" s="2">
        <v>42887</v>
      </c>
      <c r="F2847" s="6">
        <v>106.25641383742324</v>
      </c>
    </row>
    <row r="2848" spans="1:6">
      <c r="A2848" s="1">
        <v>9129838</v>
      </c>
      <c r="B2848">
        <v>0.26347437766160464</v>
      </c>
      <c r="C2848" s="1">
        <v>84</v>
      </c>
      <c r="D2848" s="1">
        <v>564</v>
      </c>
      <c r="E2848" s="2">
        <v>43166</v>
      </c>
      <c r="F2848" s="6">
        <v>44.603982158830689</v>
      </c>
    </row>
    <row r="2849" spans="1:6">
      <c r="A2849" s="1">
        <v>9129841</v>
      </c>
      <c r="B2849">
        <v>0.22095817153803721</v>
      </c>
      <c r="C2849" s="1">
        <v>2</v>
      </c>
      <c r="D2849" s="1">
        <v>71</v>
      </c>
      <c r="E2849" s="2">
        <v>43436</v>
      </c>
      <c r="F2849" s="6">
        <v>47.905486846836176</v>
      </c>
    </row>
    <row r="2850" spans="1:6">
      <c r="A2850" s="1">
        <v>9129844</v>
      </c>
      <c r="B2850">
        <v>4.8332850056832299E-2</v>
      </c>
      <c r="C2850" s="1">
        <v>14</v>
      </c>
      <c r="D2850" s="1">
        <v>541</v>
      </c>
      <c r="E2850" s="2">
        <v>43309</v>
      </c>
      <c r="F2850" s="6">
        <v>3.3493566040198246</v>
      </c>
    </row>
    <row r="2851" spans="1:6">
      <c r="A2851" s="1">
        <v>9129847</v>
      </c>
      <c r="B2851">
        <v>6.108190815476533E-3</v>
      </c>
      <c r="C2851" s="1">
        <v>44</v>
      </c>
      <c r="D2851" s="1">
        <v>521</v>
      </c>
      <c r="E2851" s="2">
        <v>42832</v>
      </c>
      <c r="F2851" s="6">
        <v>56.264577776480969</v>
      </c>
    </row>
    <row r="2852" spans="1:6">
      <c r="A2852" s="1">
        <v>9129850</v>
      </c>
      <c r="B2852">
        <v>0.17725052186702661</v>
      </c>
      <c r="C2852" s="1">
        <v>19</v>
      </c>
      <c r="D2852" s="1">
        <v>146</v>
      </c>
      <c r="E2852" s="2">
        <v>42775</v>
      </c>
      <c r="F2852" s="6">
        <v>11.115952682412269</v>
      </c>
    </row>
    <row r="2853" spans="1:6">
      <c r="A2853" s="1">
        <v>9129853</v>
      </c>
      <c r="B2853">
        <v>0.5332662862154901</v>
      </c>
      <c r="C2853" s="1">
        <v>27</v>
      </c>
      <c r="D2853" s="1">
        <v>404</v>
      </c>
      <c r="E2853" s="2">
        <v>43491</v>
      </c>
      <c r="F2853" s="6">
        <v>10.426552840007073</v>
      </c>
    </row>
    <row r="2854" spans="1:6">
      <c r="A2854" s="1">
        <v>9129856</v>
      </c>
      <c r="B2854">
        <v>0.95774505313042801</v>
      </c>
      <c r="C2854" s="1">
        <v>63</v>
      </c>
      <c r="D2854" s="1">
        <v>146</v>
      </c>
      <c r="E2854" s="2">
        <v>42917</v>
      </c>
      <c r="F2854" s="6">
        <v>274.6677754222024</v>
      </c>
    </row>
    <row r="2855" spans="1:6">
      <c r="A2855" s="1">
        <v>9129859</v>
      </c>
      <c r="B2855">
        <v>0.49807866078605423</v>
      </c>
      <c r="C2855" s="1">
        <v>3</v>
      </c>
      <c r="D2855" s="1">
        <v>145</v>
      </c>
      <c r="E2855" s="2">
        <v>43393</v>
      </c>
      <c r="F2855" s="6">
        <v>10.135708412983011</v>
      </c>
    </row>
    <row r="2856" spans="1:6">
      <c r="A2856" s="1">
        <v>9129862</v>
      </c>
      <c r="B2856">
        <v>8.3152717080013927E-3</v>
      </c>
      <c r="C2856" s="1">
        <v>1</v>
      </c>
      <c r="D2856" s="1">
        <v>176</v>
      </c>
      <c r="E2856" s="2">
        <v>43088</v>
      </c>
      <c r="F2856" s="6">
        <v>94.885517115852636</v>
      </c>
    </row>
    <row r="2857" spans="1:6">
      <c r="A2857" s="1">
        <v>9129865</v>
      </c>
      <c r="B2857">
        <v>0.54896943143771093</v>
      </c>
      <c r="C2857" s="1">
        <v>17</v>
      </c>
      <c r="D2857" s="1">
        <v>560</v>
      </c>
      <c r="E2857" s="2">
        <v>43386</v>
      </c>
      <c r="F2857" s="6">
        <v>77.211520121096655</v>
      </c>
    </row>
    <row r="2858" spans="1:6">
      <c r="A2858" s="1">
        <v>9129868</v>
      </c>
      <c r="B2858">
        <v>8.1641981991519508E-2</v>
      </c>
      <c r="C2858" s="1">
        <v>12</v>
      </c>
      <c r="D2858" s="1">
        <v>510</v>
      </c>
      <c r="E2858" s="2">
        <v>42843</v>
      </c>
      <c r="F2858" s="6">
        <v>6.4408767201591566</v>
      </c>
    </row>
    <row r="2859" spans="1:6">
      <c r="A2859" s="1">
        <v>9129871</v>
      </c>
      <c r="B2859">
        <v>0.20993896093202347</v>
      </c>
      <c r="C2859" s="1">
        <v>32</v>
      </c>
      <c r="D2859" s="1">
        <v>334</v>
      </c>
      <c r="E2859" s="2">
        <v>43063</v>
      </c>
      <c r="F2859" s="6">
        <v>94.669726343274434</v>
      </c>
    </row>
    <row r="2860" spans="1:6">
      <c r="A2860" s="1">
        <v>9129874</v>
      </c>
      <c r="B2860">
        <v>0.3128117040301871</v>
      </c>
      <c r="C2860" s="1">
        <v>23</v>
      </c>
      <c r="D2860" s="1">
        <v>22</v>
      </c>
      <c r="E2860" s="2">
        <v>42773</v>
      </c>
      <c r="F2860" s="6">
        <v>74.903560929091157</v>
      </c>
    </row>
    <row r="2861" spans="1:6">
      <c r="A2861" s="1">
        <v>9129877</v>
      </c>
      <c r="B2861">
        <v>0.87877855799156335</v>
      </c>
      <c r="C2861" s="1">
        <v>55</v>
      </c>
      <c r="D2861" s="1">
        <v>448</v>
      </c>
      <c r="E2861" s="2">
        <v>43070</v>
      </c>
      <c r="F2861" s="6">
        <v>48.965038820222546</v>
      </c>
    </row>
    <row r="2862" spans="1:6">
      <c r="A2862" s="1">
        <v>9129880</v>
      </c>
      <c r="B2862">
        <v>0.96189671593429904</v>
      </c>
      <c r="C2862" s="1">
        <v>180</v>
      </c>
      <c r="D2862" s="1">
        <v>359</v>
      </c>
      <c r="E2862" s="2">
        <v>43060</v>
      </c>
      <c r="F2862" s="6">
        <v>67.712652870910318</v>
      </c>
    </row>
    <row r="2863" spans="1:6">
      <c r="A2863" s="1">
        <v>9129883</v>
      </c>
      <c r="B2863">
        <v>0.53438410069693609</v>
      </c>
      <c r="C2863" s="1">
        <v>30</v>
      </c>
      <c r="D2863" s="1">
        <v>564</v>
      </c>
      <c r="E2863" s="2">
        <v>43080</v>
      </c>
      <c r="F2863" s="6">
        <v>5.6173167119686216</v>
      </c>
    </row>
    <row r="2864" spans="1:6">
      <c r="A2864" s="1">
        <v>9129886</v>
      </c>
      <c r="B2864">
        <v>0.98855641108099335</v>
      </c>
      <c r="C2864" s="1">
        <v>5</v>
      </c>
      <c r="D2864" s="1">
        <v>359</v>
      </c>
      <c r="E2864" s="2">
        <v>43225</v>
      </c>
      <c r="F2864" s="6">
        <v>8.16397556595469</v>
      </c>
    </row>
    <row r="2865" spans="1:6">
      <c r="A2865" s="1">
        <v>9129889</v>
      </c>
      <c r="B2865">
        <v>0.40326243228738456</v>
      </c>
      <c r="C2865" s="1">
        <v>11</v>
      </c>
      <c r="D2865" s="1">
        <v>394</v>
      </c>
      <c r="E2865" s="2">
        <v>43349</v>
      </c>
      <c r="F2865" s="6">
        <v>364.73133766312662</v>
      </c>
    </row>
    <row r="2866" spans="1:6">
      <c r="A2866" s="1">
        <v>9129892</v>
      </c>
      <c r="B2866">
        <v>9.4698081597679118E-2</v>
      </c>
      <c r="C2866" s="1">
        <v>2</v>
      </c>
      <c r="D2866" s="1">
        <v>541</v>
      </c>
      <c r="E2866" s="2">
        <v>43095</v>
      </c>
      <c r="F2866" s="6">
        <v>111.36859981521437</v>
      </c>
    </row>
    <row r="2867" spans="1:6">
      <c r="A2867" s="1">
        <v>9129895</v>
      </c>
      <c r="B2867">
        <v>0.1968193983182811</v>
      </c>
      <c r="C2867" s="1">
        <v>16</v>
      </c>
      <c r="D2867" s="1">
        <v>359</v>
      </c>
      <c r="E2867" s="2">
        <v>43336</v>
      </c>
      <c r="F2867" s="6">
        <v>26.739308031246907</v>
      </c>
    </row>
    <row r="2868" spans="1:6">
      <c r="A2868" s="1">
        <v>9129898</v>
      </c>
      <c r="B2868">
        <v>0.46095475329086644</v>
      </c>
      <c r="C2868" s="1">
        <v>178</v>
      </c>
      <c r="D2868" s="1">
        <v>319</v>
      </c>
      <c r="E2868" s="2">
        <v>43081</v>
      </c>
      <c r="F2868" s="6">
        <v>61.792700903703896</v>
      </c>
    </row>
    <row r="2869" spans="1:6">
      <c r="A2869" s="1">
        <v>9129901</v>
      </c>
      <c r="B2869">
        <v>9.0403235679546556E-2</v>
      </c>
      <c r="C2869" s="1">
        <v>13</v>
      </c>
      <c r="D2869" s="1">
        <v>358</v>
      </c>
      <c r="E2869" s="2">
        <v>42819</v>
      </c>
      <c r="F2869" s="6">
        <v>224.46306650481944</v>
      </c>
    </row>
    <row r="2870" spans="1:6">
      <c r="A2870" s="1">
        <v>9129904</v>
      </c>
      <c r="B2870">
        <v>0.24884809209769865</v>
      </c>
      <c r="C2870" s="1">
        <v>47</v>
      </c>
      <c r="D2870" s="1">
        <v>149</v>
      </c>
      <c r="E2870" s="2">
        <v>43041</v>
      </c>
      <c r="F2870" s="6">
        <v>21.270838289129138</v>
      </c>
    </row>
    <row r="2871" spans="1:6">
      <c r="A2871" s="1">
        <v>9129907</v>
      </c>
      <c r="B2871">
        <v>0.56018296918593258</v>
      </c>
      <c r="C2871" s="1">
        <v>16</v>
      </c>
      <c r="D2871" s="1">
        <v>126</v>
      </c>
      <c r="E2871" s="2">
        <v>42916</v>
      </c>
      <c r="F2871" s="6">
        <v>31.784725993846394</v>
      </c>
    </row>
    <row r="2872" spans="1:6">
      <c r="A2872" s="1">
        <v>9129910</v>
      </c>
      <c r="B2872">
        <v>0.70763099352915959</v>
      </c>
      <c r="C2872" s="1">
        <v>18</v>
      </c>
      <c r="D2872" s="1">
        <v>139</v>
      </c>
      <c r="E2872" s="2">
        <v>42831</v>
      </c>
      <c r="F2872" s="6">
        <v>28.490945704012024</v>
      </c>
    </row>
    <row r="2873" spans="1:6">
      <c r="A2873" s="1">
        <v>9129913</v>
      </c>
      <c r="B2873">
        <v>0.95766082886107573</v>
      </c>
      <c r="C2873" s="1">
        <v>86</v>
      </c>
      <c r="D2873" s="1">
        <v>258</v>
      </c>
      <c r="E2873" s="2">
        <v>43012</v>
      </c>
      <c r="F2873" s="6">
        <v>25.840089779525652</v>
      </c>
    </row>
    <row r="2874" spans="1:6">
      <c r="A2874" s="1">
        <v>9129916</v>
      </c>
      <c r="B2874">
        <v>0.99114306954535525</v>
      </c>
      <c r="C2874" s="1">
        <v>4</v>
      </c>
      <c r="D2874" s="1">
        <v>182</v>
      </c>
      <c r="E2874" s="2">
        <v>43062</v>
      </c>
      <c r="F2874" s="6">
        <v>41.715966778776483</v>
      </c>
    </row>
    <row r="2875" spans="1:6">
      <c r="A2875" s="1">
        <v>9129919</v>
      </c>
      <c r="B2875">
        <v>0.64115736413804714</v>
      </c>
      <c r="C2875" s="1">
        <v>75</v>
      </c>
      <c r="D2875" s="1">
        <v>405</v>
      </c>
      <c r="E2875" s="2">
        <v>42962</v>
      </c>
      <c r="F2875" s="6">
        <v>63.686368140500456</v>
      </c>
    </row>
    <row r="2876" spans="1:6">
      <c r="A2876" s="1">
        <v>9129922</v>
      </c>
      <c r="B2876">
        <v>0.55017432930345678</v>
      </c>
      <c r="C2876" s="1">
        <v>153</v>
      </c>
      <c r="D2876" s="1">
        <v>553</v>
      </c>
      <c r="E2876" s="2">
        <v>43021</v>
      </c>
      <c r="F2876" s="6">
        <v>5.5972651206773669</v>
      </c>
    </row>
    <row r="2877" spans="1:6">
      <c r="A2877" s="1">
        <v>9129925</v>
      </c>
      <c r="B2877">
        <v>9.1435275337727884E-2</v>
      </c>
      <c r="C2877" s="1">
        <v>58</v>
      </c>
      <c r="D2877" s="1">
        <v>575</v>
      </c>
      <c r="E2877" s="2">
        <v>42843</v>
      </c>
      <c r="F2877" s="6">
        <v>4.6376680472335119</v>
      </c>
    </row>
    <row r="2878" spans="1:6">
      <c r="A2878" s="1">
        <v>9129928</v>
      </c>
      <c r="B2878">
        <v>0.41877434107245892</v>
      </c>
      <c r="C2878" s="1">
        <v>3</v>
      </c>
      <c r="D2878" s="1">
        <v>486</v>
      </c>
      <c r="E2878" s="2">
        <v>42935</v>
      </c>
      <c r="F2878" s="6">
        <v>75.486686748833336</v>
      </c>
    </row>
    <row r="2879" spans="1:6">
      <c r="A2879" s="1">
        <v>9129931</v>
      </c>
      <c r="B2879">
        <v>0.91519359981738602</v>
      </c>
      <c r="C2879" s="1">
        <v>141</v>
      </c>
      <c r="D2879" s="1">
        <v>577</v>
      </c>
      <c r="E2879" s="2">
        <v>43387</v>
      </c>
      <c r="F2879" s="6">
        <v>44.350015173913391</v>
      </c>
    </row>
    <row r="2880" spans="1:6">
      <c r="A2880" s="1">
        <v>9129934</v>
      </c>
      <c r="B2880">
        <v>0.41721889936534107</v>
      </c>
      <c r="C2880" s="1">
        <v>1</v>
      </c>
      <c r="D2880" s="1">
        <v>120</v>
      </c>
      <c r="E2880" s="2">
        <v>42842</v>
      </c>
      <c r="F2880" s="6">
        <v>20.297780897383515</v>
      </c>
    </row>
    <row r="2881" spans="1:6">
      <c r="A2881" s="1">
        <v>9129937</v>
      </c>
      <c r="B2881">
        <v>0.97450344130470612</v>
      </c>
      <c r="C2881" s="1">
        <v>2</v>
      </c>
      <c r="D2881" s="1">
        <v>102</v>
      </c>
      <c r="E2881" s="2">
        <v>43453</v>
      </c>
      <c r="F2881" s="6">
        <v>87.683384816674376</v>
      </c>
    </row>
    <row r="2882" spans="1:6">
      <c r="A2882" s="1">
        <v>9129940</v>
      </c>
      <c r="B2882">
        <v>5.6106606831908934E-2</v>
      </c>
      <c r="C2882" s="1">
        <v>19</v>
      </c>
      <c r="D2882" s="1">
        <v>510</v>
      </c>
      <c r="E2882" s="2">
        <v>42751</v>
      </c>
      <c r="F2882" s="6">
        <v>175.95027399652005</v>
      </c>
    </row>
    <row r="2883" spans="1:6">
      <c r="A2883" s="1">
        <v>9129943</v>
      </c>
      <c r="B2883">
        <v>0.56204635073047327</v>
      </c>
      <c r="C2883" s="1">
        <v>170</v>
      </c>
      <c r="D2883" s="1">
        <v>326</v>
      </c>
      <c r="E2883" s="2">
        <v>43258</v>
      </c>
      <c r="F2883" s="6">
        <v>30.968334629413789</v>
      </c>
    </row>
    <row r="2884" spans="1:6">
      <c r="A2884" s="1">
        <v>9129946</v>
      </c>
      <c r="B2884">
        <v>0.48305753016077357</v>
      </c>
      <c r="C2884" s="1">
        <v>35</v>
      </c>
      <c r="D2884" s="1">
        <v>155</v>
      </c>
      <c r="E2884" s="2">
        <v>43494</v>
      </c>
      <c r="F2884" s="6">
        <v>30.383892985526138</v>
      </c>
    </row>
    <row r="2885" spans="1:6">
      <c r="A2885" s="1">
        <v>9129949</v>
      </c>
      <c r="B2885">
        <v>0.44451038221975647</v>
      </c>
      <c r="C2885" s="1">
        <v>18</v>
      </c>
      <c r="D2885" s="1">
        <v>564</v>
      </c>
      <c r="E2885" s="2">
        <v>42839</v>
      </c>
      <c r="F2885" s="6">
        <v>7.4476543235979857</v>
      </c>
    </row>
    <row r="2886" spans="1:6">
      <c r="A2886" s="1">
        <v>9129952</v>
      </c>
      <c r="B2886">
        <v>0.7971182091887109</v>
      </c>
      <c r="C2886" s="1">
        <v>10</v>
      </c>
      <c r="D2886" s="1">
        <v>176</v>
      </c>
      <c r="E2886" s="2">
        <v>43296</v>
      </c>
      <c r="F2886" s="6">
        <v>57.467667699207936</v>
      </c>
    </row>
    <row r="2887" spans="1:6">
      <c r="A2887" s="1">
        <v>9129955</v>
      </c>
      <c r="B2887">
        <v>6.9251356553343246E-2</v>
      </c>
      <c r="C2887" s="1">
        <v>5</v>
      </c>
      <c r="D2887" s="1">
        <v>458</v>
      </c>
      <c r="E2887" s="2">
        <v>43088</v>
      </c>
      <c r="F2887" s="6">
        <v>38.434567168386387</v>
      </c>
    </row>
    <row r="2888" spans="1:6">
      <c r="A2888" s="1">
        <v>9129958</v>
      </c>
      <c r="B2888">
        <v>0.70883042596804113</v>
      </c>
      <c r="C2888" s="1">
        <v>38</v>
      </c>
      <c r="D2888" s="1">
        <v>562</v>
      </c>
      <c r="E2888" s="2">
        <v>42872</v>
      </c>
      <c r="F2888" s="6">
        <v>35.313737513153399</v>
      </c>
    </row>
    <row r="2889" spans="1:6">
      <c r="A2889" s="1">
        <v>9129961</v>
      </c>
      <c r="B2889">
        <v>0.88159822595441251</v>
      </c>
      <c r="C2889" s="1">
        <v>33</v>
      </c>
      <c r="D2889" s="1">
        <v>564</v>
      </c>
      <c r="E2889" s="2">
        <v>43142</v>
      </c>
      <c r="F2889" s="6">
        <v>104.92841961511894</v>
      </c>
    </row>
    <row r="2890" spans="1:6">
      <c r="A2890" s="1">
        <v>9129964</v>
      </c>
      <c r="B2890">
        <v>0.26914596285454273</v>
      </c>
      <c r="C2890" s="1">
        <v>13</v>
      </c>
      <c r="D2890" s="1">
        <v>368</v>
      </c>
      <c r="E2890" s="2">
        <v>43180</v>
      </c>
      <c r="F2890" s="6">
        <v>22.57457176139674</v>
      </c>
    </row>
    <row r="2891" spans="1:6">
      <c r="A2891" s="1">
        <v>9129967</v>
      </c>
      <c r="B2891">
        <v>0.37583544508601929</v>
      </c>
      <c r="C2891" s="1">
        <v>72</v>
      </c>
      <c r="D2891" s="1">
        <v>319</v>
      </c>
      <c r="E2891" s="2">
        <v>42914</v>
      </c>
      <c r="F2891" s="6">
        <v>14.006694320210224</v>
      </c>
    </row>
    <row r="2892" spans="1:6">
      <c r="A2892" s="1">
        <v>9129970</v>
      </c>
      <c r="B2892">
        <v>9.8185578607392188E-2</v>
      </c>
      <c r="C2892" s="1">
        <v>157</v>
      </c>
      <c r="D2892" s="1">
        <v>564</v>
      </c>
      <c r="E2892" s="2">
        <v>43178</v>
      </c>
      <c r="F2892" s="6">
        <v>35.086813343136868</v>
      </c>
    </row>
    <row r="2893" spans="1:6">
      <c r="A2893" s="1">
        <v>9129973</v>
      </c>
      <c r="B2893">
        <v>0.9945858249749614</v>
      </c>
      <c r="C2893" s="1">
        <v>15</v>
      </c>
      <c r="D2893" s="1">
        <v>34</v>
      </c>
      <c r="E2893" s="2">
        <v>43440</v>
      </c>
      <c r="F2893" s="6">
        <v>102.44043326351417</v>
      </c>
    </row>
    <row r="2894" spans="1:6">
      <c r="A2894" s="1">
        <v>9129976</v>
      </c>
      <c r="B2894">
        <v>0.78720326322001855</v>
      </c>
      <c r="C2894" s="1">
        <v>109</v>
      </c>
      <c r="D2894" s="1">
        <v>510</v>
      </c>
      <c r="E2894" s="2">
        <v>42958</v>
      </c>
      <c r="F2894" s="6">
        <v>10.621113663917008</v>
      </c>
    </row>
    <row r="2895" spans="1:6">
      <c r="A2895" s="1">
        <v>9129979</v>
      </c>
      <c r="B2895">
        <v>0.98228515486437762</v>
      </c>
      <c r="C2895" s="1">
        <v>11</v>
      </c>
      <c r="D2895" s="1">
        <v>130</v>
      </c>
      <c r="E2895" s="2">
        <v>42786</v>
      </c>
      <c r="F2895" s="6">
        <v>43.935436372352839</v>
      </c>
    </row>
    <row r="2896" spans="1:6">
      <c r="A2896" s="1">
        <v>9129982</v>
      </c>
      <c r="B2896">
        <v>0.72254150056013589</v>
      </c>
      <c r="C2896" s="1">
        <v>147</v>
      </c>
      <c r="D2896" s="1">
        <v>573</v>
      </c>
      <c r="E2896" s="2">
        <v>42836</v>
      </c>
      <c r="F2896" s="6">
        <v>101.34216331238143</v>
      </c>
    </row>
    <row r="2897" spans="1:6">
      <c r="A2897" s="1">
        <v>9129985</v>
      </c>
      <c r="B2897">
        <v>0.27829787061557443</v>
      </c>
      <c r="C2897" s="1">
        <v>2</v>
      </c>
      <c r="D2897" s="1">
        <v>592</v>
      </c>
      <c r="E2897" s="2">
        <v>43122</v>
      </c>
      <c r="F2897" s="6">
        <v>267.72379594307876</v>
      </c>
    </row>
    <row r="2898" spans="1:6">
      <c r="A2898" s="1">
        <v>9129988</v>
      </c>
      <c r="B2898">
        <v>0.90764322046429669</v>
      </c>
      <c r="C2898" s="1">
        <v>112</v>
      </c>
      <c r="D2898" s="1">
        <v>141</v>
      </c>
      <c r="E2898" s="2">
        <v>43152</v>
      </c>
      <c r="F2898" s="6">
        <v>29.371606878825855</v>
      </c>
    </row>
    <row r="2899" spans="1:6">
      <c r="A2899" s="1">
        <v>9129991</v>
      </c>
      <c r="B2899">
        <v>0.72750135837070773</v>
      </c>
      <c r="C2899" s="1">
        <v>10</v>
      </c>
      <c r="D2899" s="1">
        <v>592</v>
      </c>
      <c r="E2899" s="2">
        <v>42742</v>
      </c>
      <c r="F2899" s="6">
        <v>3.0924814574524278</v>
      </c>
    </row>
    <row r="2900" spans="1:6">
      <c r="A2900" s="1">
        <v>9129994</v>
      </c>
      <c r="B2900">
        <v>0.48240516240937226</v>
      </c>
      <c r="C2900" s="1">
        <v>305</v>
      </c>
      <c r="D2900" s="1">
        <v>420</v>
      </c>
      <c r="E2900" s="2">
        <v>42766</v>
      </c>
      <c r="F2900" s="6">
        <v>43.088588922249073</v>
      </c>
    </row>
    <row r="2901" spans="1:6">
      <c r="A2901" s="1">
        <v>9129997</v>
      </c>
      <c r="B2901">
        <v>0.30763642736181385</v>
      </c>
      <c r="C2901" s="1">
        <v>85</v>
      </c>
      <c r="D2901" s="1">
        <v>451</v>
      </c>
      <c r="E2901" s="2">
        <v>43352</v>
      </c>
      <c r="F2901" s="6">
        <v>96.503906926575013</v>
      </c>
    </row>
    <row r="2902" spans="1:6">
      <c r="A2902" s="1">
        <v>9130000</v>
      </c>
      <c r="B2902">
        <v>0.44813635555271791</v>
      </c>
      <c r="C2902" s="1">
        <v>18</v>
      </c>
      <c r="D2902" s="1">
        <v>84</v>
      </c>
      <c r="E2902" s="2">
        <v>42945</v>
      </c>
      <c r="F2902" s="6">
        <v>32.488214875130765</v>
      </c>
    </row>
    <row r="2903" spans="1:6">
      <c r="A2903" s="1">
        <v>9130003</v>
      </c>
      <c r="B2903">
        <v>0.66070886475146429</v>
      </c>
      <c r="C2903" s="1">
        <v>25</v>
      </c>
      <c r="D2903" s="1">
        <v>575</v>
      </c>
      <c r="E2903" s="2">
        <v>43210</v>
      </c>
      <c r="F2903" s="6">
        <v>27.00642627660612</v>
      </c>
    </row>
    <row r="2904" spans="1:6">
      <c r="A2904" s="1">
        <v>9130006</v>
      </c>
      <c r="B2904">
        <v>0.16328993958629212</v>
      </c>
      <c r="C2904" s="1">
        <v>8</v>
      </c>
      <c r="D2904" s="1">
        <v>227</v>
      </c>
      <c r="E2904" s="2">
        <v>43120</v>
      </c>
      <c r="F2904" s="6">
        <v>87.52747531211719</v>
      </c>
    </row>
    <row r="2905" spans="1:6">
      <c r="A2905" s="1">
        <v>9130009</v>
      </c>
      <c r="B2905">
        <v>0.3513247630490236</v>
      </c>
      <c r="C2905" s="1">
        <v>3</v>
      </c>
      <c r="D2905" s="1">
        <v>238</v>
      </c>
      <c r="E2905" s="2">
        <v>43367</v>
      </c>
      <c r="F2905" s="6">
        <v>204.08619186054301</v>
      </c>
    </row>
    <row r="2906" spans="1:6">
      <c r="A2906" s="1">
        <v>9130012</v>
      </c>
      <c r="B2906">
        <v>0.57033923212294169</v>
      </c>
      <c r="C2906" s="1">
        <v>2</v>
      </c>
      <c r="D2906" s="1">
        <v>90</v>
      </c>
      <c r="E2906" s="2">
        <v>43427</v>
      </c>
      <c r="F2906" s="6">
        <v>49.326749001368491</v>
      </c>
    </row>
    <row r="2907" spans="1:6">
      <c r="A2907" s="1">
        <v>9130015</v>
      </c>
      <c r="B2907">
        <v>0.72346666681164751</v>
      </c>
      <c r="C2907" s="1">
        <v>3</v>
      </c>
      <c r="D2907" s="1">
        <v>510</v>
      </c>
      <c r="E2907" s="2">
        <v>43497</v>
      </c>
      <c r="F2907" s="6">
        <v>4.148832174858998</v>
      </c>
    </row>
    <row r="2908" spans="1:6">
      <c r="A2908" s="1">
        <v>9130018</v>
      </c>
      <c r="B2908">
        <v>0.6115315438791139</v>
      </c>
      <c r="C2908" s="1">
        <v>37</v>
      </c>
      <c r="D2908" s="1">
        <v>176</v>
      </c>
      <c r="E2908" s="2">
        <v>42898</v>
      </c>
      <c r="F2908" s="6">
        <v>9.4639339267785481</v>
      </c>
    </row>
    <row r="2909" spans="1:6">
      <c r="A2909" s="1">
        <v>9130021</v>
      </c>
      <c r="B2909">
        <v>0.14095660679404831</v>
      </c>
      <c r="C2909" s="1">
        <v>2</v>
      </c>
      <c r="D2909" s="1">
        <v>190</v>
      </c>
      <c r="E2909" s="2">
        <v>43438</v>
      </c>
      <c r="F2909" s="6">
        <v>126.44855535722267</v>
      </c>
    </row>
    <row r="2910" spans="1:6">
      <c r="A2910" s="1">
        <v>9130024</v>
      </c>
      <c r="B2910">
        <v>0.77581156910277949</v>
      </c>
      <c r="C2910" s="1">
        <v>1</v>
      </c>
      <c r="D2910" s="1">
        <v>139</v>
      </c>
      <c r="E2910" s="2">
        <v>43179</v>
      </c>
      <c r="F2910" s="6">
        <v>11.077498903281503</v>
      </c>
    </row>
    <row r="2911" spans="1:6">
      <c r="A2911" s="1">
        <v>9130027</v>
      </c>
      <c r="B2911">
        <v>0.32789306935223228</v>
      </c>
      <c r="C2911" s="1">
        <v>71</v>
      </c>
      <c r="D2911" s="1">
        <v>494</v>
      </c>
      <c r="E2911" s="2">
        <v>43277</v>
      </c>
      <c r="F2911" s="6">
        <v>82.077743657476162</v>
      </c>
    </row>
    <row r="2912" spans="1:6">
      <c r="A2912" s="1">
        <v>9130030</v>
      </c>
      <c r="B2912">
        <v>4.2175358980330868E-3</v>
      </c>
      <c r="C2912" s="1">
        <v>4</v>
      </c>
      <c r="D2912" s="1">
        <v>450</v>
      </c>
      <c r="E2912" s="2">
        <v>43294</v>
      </c>
      <c r="F2912" s="6">
        <v>9.4472547759599497</v>
      </c>
    </row>
    <row r="2913" spans="1:6">
      <c r="A2913" s="1">
        <v>9130033</v>
      </c>
      <c r="B2913">
        <v>2.1126298009523925E-3</v>
      </c>
      <c r="C2913" s="1">
        <v>3</v>
      </c>
      <c r="D2913" s="1">
        <v>312</v>
      </c>
      <c r="E2913" s="2">
        <v>42825</v>
      </c>
      <c r="F2913" s="6">
        <v>125.34557449107876</v>
      </c>
    </row>
    <row r="2914" spans="1:6">
      <c r="A2914" s="1">
        <v>9130036</v>
      </c>
      <c r="B2914">
        <v>4.0501677469597208E-2</v>
      </c>
      <c r="C2914" s="1">
        <v>1</v>
      </c>
      <c r="D2914" s="1">
        <v>592</v>
      </c>
      <c r="E2914" s="2">
        <v>43007</v>
      </c>
      <c r="F2914" s="6">
        <v>20.247708514448487</v>
      </c>
    </row>
    <row r="2915" spans="1:6">
      <c r="A2915" s="1">
        <v>9130039</v>
      </c>
      <c r="B2915">
        <v>0.95374443227319461</v>
      </c>
      <c r="C2915" s="1">
        <v>1</v>
      </c>
      <c r="D2915" s="1">
        <v>149</v>
      </c>
      <c r="E2915" s="2">
        <v>43100</v>
      </c>
      <c r="F2915" s="6">
        <v>15.617918432446295</v>
      </c>
    </row>
    <row r="2916" spans="1:6">
      <c r="A2916" s="1">
        <v>9130042</v>
      </c>
      <c r="B2916">
        <v>5.4107073248174098E-3</v>
      </c>
      <c r="C2916" s="1">
        <v>8</v>
      </c>
      <c r="D2916" s="1">
        <v>259</v>
      </c>
      <c r="E2916" s="2">
        <v>43203</v>
      </c>
      <c r="F2916" s="6">
        <v>79.775474914329806</v>
      </c>
    </row>
    <row r="2917" spans="1:6">
      <c r="A2917" s="1">
        <v>9130045</v>
      </c>
      <c r="B2917">
        <v>0.92991886428898718</v>
      </c>
      <c r="C2917" s="1">
        <v>17</v>
      </c>
      <c r="D2917" s="1">
        <v>176</v>
      </c>
      <c r="E2917" s="2">
        <v>42866</v>
      </c>
      <c r="F2917" s="6">
        <v>82.649320483838864</v>
      </c>
    </row>
    <row r="2918" spans="1:6">
      <c r="A2918" s="1">
        <v>9130048</v>
      </c>
      <c r="B2918">
        <v>0.74305302973223031</v>
      </c>
      <c r="C2918" s="1">
        <v>80</v>
      </c>
      <c r="D2918" s="1">
        <v>263</v>
      </c>
      <c r="E2918" s="2">
        <v>43412</v>
      </c>
      <c r="F2918" s="6">
        <v>105.50634308812552</v>
      </c>
    </row>
    <row r="2919" spans="1:6">
      <c r="A2919" s="1">
        <v>9130051</v>
      </c>
      <c r="B2919">
        <v>0.42856258827715665</v>
      </c>
      <c r="C2919" s="1">
        <v>3</v>
      </c>
      <c r="D2919" s="1">
        <v>139</v>
      </c>
      <c r="E2919" s="2">
        <v>43015</v>
      </c>
      <c r="F2919" s="6">
        <v>10.154633295807942</v>
      </c>
    </row>
    <row r="2920" spans="1:6">
      <c r="A2920" s="1">
        <v>9130054</v>
      </c>
      <c r="B2920">
        <v>8.5190081101938486E-2</v>
      </c>
      <c r="C2920" s="1">
        <v>30</v>
      </c>
      <c r="D2920" s="1">
        <v>254</v>
      </c>
      <c r="E2920" s="2">
        <v>43054</v>
      </c>
      <c r="F2920" s="6">
        <v>178.41134468625214</v>
      </c>
    </row>
    <row r="2921" spans="1:6">
      <c r="A2921" s="1">
        <v>9130057</v>
      </c>
      <c r="B2921">
        <v>0.24573984014066164</v>
      </c>
      <c r="C2921" s="1">
        <v>72</v>
      </c>
      <c r="D2921" s="1">
        <v>75</v>
      </c>
      <c r="E2921" s="2">
        <v>43140</v>
      </c>
      <c r="F2921" s="6">
        <v>27.971307525594611</v>
      </c>
    </row>
    <row r="2922" spans="1:6">
      <c r="A2922" s="1">
        <v>9130060</v>
      </c>
      <c r="B2922">
        <v>0.53838309567994957</v>
      </c>
      <c r="C2922" s="1">
        <v>7</v>
      </c>
      <c r="D2922" s="1">
        <v>462</v>
      </c>
      <c r="E2922" s="2">
        <v>43138</v>
      </c>
      <c r="F2922" s="6">
        <v>438.59167933405706</v>
      </c>
    </row>
    <row r="2923" spans="1:6">
      <c r="A2923" s="1">
        <v>9130063</v>
      </c>
      <c r="B2923">
        <v>0.92024391865580246</v>
      </c>
      <c r="C2923" s="1">
        <v>163</v>
      </c>
      <c r="D2923" s="1">
        <v>258</v>
      </c>
      <c r="E2923" s="2">
        <v>43374</v>
      </c>
      <c r="F2923" s="6">
        <v>13.008284518355667</v>
      </c>
    </row>
    <row r="2924" spans="1:6">
      <c r="A2924" s="1">
        <v>9130066</v>
      </c>
      <c r="B2924">
        <v>0.24870413385546253</v>
      </c>
      <c r="C2924" s="1">
        <v>7</v>
      </c>
      <c r="D2924" s="1">
        <v>258</v>
      </c>
      <c r="E2924" s="2">
        <v>43400</v>
      </c>
      <c r="F2924" s="6">
        <v>17.482638209344813</v>
      </c>
    </row>
    <row r="2925" spans="1:6">
      <c r="A2925" s="1">
        <v>9130069</v>
      </c>
      <c r="B2925">
        <v>0.49747694071411774</v>
      </c>
      <c r="C2925" s="1">
        <v>51</v>
      </c>
      <c r="D2925" s="1">
        <v>139</v>
      </c>
      <c r="E2925" s="2">
        <v>43135</v>
      </c>
      <c r="F2925" s="6">
        <v>17.325062271670184</v>
      </c>
    </row>
    <row r="2926" spans="1:6">
      <c r="A2926" s="1">
        <v>9130072</v>
      </c>
      <c r="B2926">
        <v>0.48976053260098895</v>
      </c>
      <c r="C2926" s="1">
        <v>94</v>
      </c>
      <c r="D2926" s="1">
        <v>492</v>
      </c>
      <c r="E2926" s="2">
        <v>43479</v>
      </c>
      <c r="F2926" s="6">
        <v>33.909741388612012</v>
      </c>
    </row>
    <row r="2927" spans="1:6">
      <c r="A2927" s="1">
        <v>9130075</v>
      </c>
      <c r="B2927">
        <v>0.1577585400772511</v>
      </c>
      <c r="C2927" s="1">
        <v>3</v>
      </c>
      <c r="D2927" s="1">
        <v>227</v>
      </c>
      <c r="E2927" s="2">
        <v>42819</v>
      </c>
      <c r="F2927" s="6">
        <v>105.15690512482179</v>
      </c>
    </row>
    <row r="2928" spans="1:6">
      <c r="A2928" s="1">
        <v>9130078</v>
      </c>
      <c r="B2928">
        <v>0.64099113579468892</v>
      </c>
      <c r="C2928" s="1">
        <v>3</v>
      </c>
      <c r="D2928" s="1">
        <v>258</v>
      </c>
      <c r="E2928" s="2">
        <v>43354</v>
      </c>
      <c r="F2928" s="6">
        <v>38.947607298855957</v>
      </c>
    </row>
    <row r="2929" spans="1:6">
      <c r="A2929" s="1">
        <v>9130081</v>
      </c>
      <c r="B2929">
        <v>1.2326516565129841E-2</v>
      </c>
      <c r="C2929" s="1">
        <v>170</v>
      </c>
      <c r="D2929" s="1">
        <v>592</v>
      </c>
      <c r="E2929" s="2">
        <v>43393</v>
      </c>
      <c r="F2929" s="6">
        <v>93.599793687185397</v>
      </c>
    </row>
    <row r="2930" spans="1:6">
      <c r="A2930" s="1">
        <v>9130084</v>
      </c>
      <c r="B2930">
        <v>1.0994409900963564E-2</v>
      </c>
      <c r="C2930" s="1">
        <v>106</v>
      </c>
      <c r="D2930" s="1">
        <v>176</v>
      </c>
      <c r="E2930" s="2">
        <v>43063</v>
      </c>
      <c r="F2930" s="6">
        <v>7.0406283702575934</v>
      </c>
    </row>
    <row r="2931" spans="1:6">
      <c r="A2931" s="1">
        <v>9130087</v>
      </c>
      <c r="B2931">
        <v>0.54943831590909065</v>
      </c>
      <c r="C2931" s="1">
        <v>14</v>
      </c>
      <c r="D2931" s="1">
        <v>155</v>
      </c>
      <c r="E2931" s="2">
        <v>42852</v>
      </c>
      <c r="F2931" s="6">
        <v>10.1823010627513</v>
      </c>
    </row>
    <row r="2932" spans="1:6">
      <c r="A2932" s="1">
        <v>9130090</v>
      </c>
      <c r="B2932">
        <v>0.40372651184735597</v>
      </c>
      <c r="C2932" s="1">
        <v>171</v>
      </c>
      <c r="D2932" s="1">
        <v>146</v>
      </c>
      <c r="E2932" s="2">
        <v>42855</v>
      </c>
      <c r="F2932" s="6">
        <v>9.2542014440713523</v>
      </c>
    </row>
    <row r="2933" spans="1:6">
      <c r="A2933" s="1">
        <v>9130093</v>
      </c>
      <c r="B2933">
        <v>0.58067440094072376</v>
      </c>
      <c r="C2933" s="1">
        <v>6</v>
      </c>
      <c r="D2933" s="1">
        <v>359</v>
      </c>
      <c r="E2933" s="2">
        <v>43133</v>
      </c>
      <c r="F2933" s="6">
        <v>61.032483727729776</v>
      </c>
    </row>
    <row r="2934" spans="1:6">
      <c r="A2934" s="1">
        <v>9130096</v>
      </c>
      <c r="B2934">
        <v>0.70382980138792672</v>
      </c>
      <c r="C2934" s="1">
        <v>3</v>
      </c>
      <c r="D2934" s="1">
        <v>41</v>
      </c>
      <c r="E2934" s="2">
        <v>43414</v>
      </c>
      <c r="F2934" s="6">
        <v>60.811848199855596</v>
      </c>
    </row>
    <row r="2935" spans="1:6">
      <c r="A2935" s="1">
        <v>9130099</v>
      </c>
      <c r="B2935">
        <v>0.91604749417952769</v>
      </c>
      <c r="C2935" s="1">
        <v>298</v>
      </c>
      <c r="D2935" s="1">
        <v>458</v>
      </c>
      <c r="E2935" s="2">
        <v>43362</v>
      </c>
      <c r="F2935" s="6">
        <v>38.177584060121333</v>
      </c>
    </row>
    <row r="2936" spans="1:6">
      <c r="A2936" s="1">
        <v>9130102</v>
      </c>
      <c r="B2936">
        <v>0.8171979482792483</v>
      </c>
      <c r="C2936" s="1">
        <v>43</v>
      </c>
      <c r="D2936" s="1">
        <v>176</v>
      </c>
      <c r="E2936" s="2">
        <v>42814</v>
      </c>
      <c r="F2936" s="6">
        <v>37.27529192168479</v>
      </c>
    </row>
    <row r="2937" spans="1:6">
      <c r="A2937" s="1">
        <v>9130105</v>
      </c>
      <c r="B2937">
        <v>0.89569752905155298</v>
      </c>
      <c r="C2937" s="1">
        <v>93</v>
      </c>
      <c r="D2937" s="1">
        <v>258</v>
      </c>
      <c r="E2937" s="2">
        <v>43164</v>
      </c>
      <c r="F2937" s="6">
        <v>42.396858624844143</v>
      </c>
    </row>
    <row r="2938" spans="1:6">
      <c r="A2938" s="1">
        <v>9130108</v>
      </c>
      <c r="B2938">
        <v>0.86135779697927439</v>
      </c>
      <c r="C2938" s="1">
        <v>27</v>
      </c>
      <c r="D2938" s="1">
        <v>415</v>
      </c>
      <c r="E2938" s="2">
        <v>43008</v>
      </c>
      <c r="F2938" s="6">
        <v>154.96278724604323</v>
      </c>
    </row>
    <row r="2939" spans="1:6">
      <c r="A2939" s="1">
        <v>9130111</v>
      </c>
      <c r="B2939">
        <v>0.85861147298539242</v>
      </c>
      <c r="C2939" s="1">
        <v>7</v>
      </c>
      <c r="D2939" s="1">
        <v>163</v>
      </c>
      <c r="E2939" s="2">
        <v>43032</v>
      </c>
      <c r="F2939" s="6">
        <v>63.640650860846044</v>
      </c>
    </row>
    <row r="2940" spans="1:6">
      <c r="A2940" s="1">
        <v>9130114</v>
      </c>
      <c r="B2940">
        <v>0.38290910339499751</v>
      </c>
      <c r="C2940" s="1">
        <v>61</v>
      </c>
      <c r="D2940" s="1">
        <v>420</v>
      </c>
      <c r="E2940" s="2">
        <v>43034</v>
      </c>
      <c r="F2940" s="6">
        <v>46.55888726610813</v>
      </c>
    </row>
    <row r="2941" spans="1:6">
      <c r="A2941" s="1">
        <v>9130117</v>
      </c>
      <c r="B2941">
        <v>0.87470535897572699</v>
      </c>
      <c r="C2941" s="1">
        <v>14</v>
      </c>
      <c r="D2941" s="1">
        <v>509</v>
      </c>
      <c r="E2941" s="2">
        <v>43488</v>
      </c>
      <c r="F2941" s="6">
        <v>118.97599980487911</v>
      </c>
    </row>
    <row r="2942" spans="1:6">
      <c r="A2942" s="1">
        <v>9130120</v>
      </c>
      <c r="B2942">
        <v>0.41502960399477828</v>
      </c>
      <c r="C2942" s="1">
        <v>32</v>
      </c>
      <c r="D2942" s="1">
        <v>495</v>
      </c>
      <c r="E2942" s="2">
        <v>43307</v>
      </c>
      <c r="F2942" s="6">
        <v>110.35030167707183</v>
      </c>
    </row>
    <row r="2943" spans="1:6">
      <c r="A2943" s="1">
        <v>9130123</v>
      </c>
      <c r="B2943">
        <v>0.76748045899091899</v>
      </c>
      <c r="C2943" s="1">
        <v>1</v>
      </c>
      <c r="D2943" s="1">
        <v>275</v>
      </c>
      <c r="E2943" s="2">
        <v>43038</v>
      </c>
      <c r="F2943" s="6">
        <v>47.655231739468896</v>
      </c>
    </row>
    <row r="2944" spans="1:6">
      <c r="A2944" s="1">
        <v>9130126</v>
      </c>
      <c r="B2944">
        <v>0.6808528142315835</v>
      </c>
      <c r="C2944" s="1">
        <v>131</v>
      </c>
      <c r="D2944" s="1">
        <v>176</v>
      </c>
      <c r="E2944" s="2">
        <v>43346</v>
      </c>
      <c r="F2944" s="6">
        <v>32.109895670842391</v>
      </c>
    </row>
    <row r="2945" spans="1:6">
      <c r="A2945" s="1">
        <v>9130129</v>
      </c>
      <c r="B2945">
        <v>0.77737117113852294</v>
      </c>
      <c r="C2945" s="1">
        <v>271</v>
      </c>
      <c r="D2945" s="1">
        <v>258</v>
      </c>
      <c r="E2945" s="2">
        <v>43191</v>
      </c>
      <c r="F2945" s="6">
        <v>28.075162780915871</v>
      </c>
    </row>
    <row r="2946" spans="1:6">
      <c r="A2946" s="1">
        <v>9130132</v>
      </c>
      <c r="B2946">
        <v>0.85121809404662896</v>
      </c>
      <c r="C2946" s="1">
        <v>1</v>
      </c>
      <c r="D2946" s="1">
        <v>486</v>
      </c>
      <c r="E2946" s="2">
        <v>43272</v>
      </c>
      <c r="F2946" s="6">
        <v>170.17081284635393</v>
      </c>
    </row>
    <row r="2947" spans="1:6">
      <c r="A2947" s="1">
        <v>9130135</v>
      </c>
      <c r="B2947">
        <v>0.67909612559749744</v>
      </c>
      <c r="C2947" s="1">
        <v>140</v>
      </c>
      <c r="D2947" s="1">
        <v>591</v>
      </c>
      <c r="E2947" s="2">
        <v>42867</v>
      </c>
      <c r="F2947" s="6">
        <v>15.851189867939084</v>
      </c>
    </row>
    <row r="2948" spans="1:6">
      <c r="A2948" s="1">
        <v>9130138</v>
      </c>
      <c r="B2948">
        <v>0.89937169306538278</v>
      </c>
      <c r="C2948" s="1">
        <v>10</v>
      </c>
      <c r="D2948" s="1">
        <v>592</v>
      </c>
      <c r="E2948" s="2">
        <v>43443</v>
      </c>
      <c r="F2948" s="6">
        <v>50.680244083726727</v>
      </c>
    </row>
    <row r="2949" spans="1:6">
      <c r="A2949" s="1">
        <v>9130141</v>
      </c>
      <c r="B2949">
        <v>0.38888928091639563</v>
      </c>
      <c r="C2949" s="1">
        <v>8</v>
      </c>
      <c r="D2949" s="1">
        <v>510</v>
      </c>
      <c r="E2949" s="2">
        <v>42737</v>
      </c>
      <c r="F2949" s="6">
        <v>91.245634744845276</v>
      </c>
    </row>
    <row r="2950" spans="1:6">
      <c r="A2950" s="1">
        <v>9130144</v>
      </c>
      <c r="B2950">
        <v>0.8126173321850978</v>
      </c>
      <c r="C2950" s="1">
        <v>46</v>
      </c>
      <c r="D2950" s="1">
        <v>510</v>
      </c>
      <c r="E2950" s="2">
        <v>43332</v>
      </c>
      <c r="F2950" s="6">
        <v>17.372181351590374</v>
      </c>
    </row>
    <row r="2951" spans="1:6">
      <c r="A2951" s="1">
        <v>9130147</v>
      </c>
      <c r="B2951">
        <v>0.20167423834748333</v>
      </c>
      <c r="C2951" s="1">
        <v>42</v>
      </c>
      <c r="D2951" s="1">
        <v>492</v>
      </c>
      <c r="E2951" s="2">
        <v>42932</v>
      </c>
      <c r="F2951" s="6">
        <v>128.47656911297813</v>
      </c>
    </row>
    <row r="2952" spans="1:6">
      <c r="A2952" s="1">
        <v>9130150</v>
      </c>
      <c r="B2952">
        <v>0.27589433877676794</v>
      </c>
      <c r="C2952" s="1">
        <v>40</v>
      </c>
      <c r="D2952" s="1">
        <v>540</v>
      </c>
      <c r="E2952" s="2">
        <v>43266</v>
      </c>
      <c r="F2952" s="6">
        <v>28.24018148938617</v>
      </c>
    </row>
    <row r="2953" spans="1:6">
      <c r="A2953" s="1">
        <v>9130153</v>
      </c>
      <c r="B2953">
        <v>0.30043689994268385</v>
      </c>
      <c r="C2953" s="1">
        <v>5</v>
      </c>
      <c r="D2953" s="1">
        <v>471</v>
      </c>
      <c r="E2953" s="2">
        <v>42816</v>
      </c>
      <c r="F2953" s="6">
        <v>105.17847841706818</v>
      </c>
    </row>
    <row r="2954" spans="1:6">
      <c r="A2954" s="1">
        <v>9130156</v>
      </c>
      <c r="B2954">
        <v>0.76671215746742272</v>
      </c>
      <c r="C2954" s="1">
        <v>152</v>
      </c>
      <c r="D2954" s="1">
        <v>258</v>
      </c>
      <c r="E2954" s="2">
        <v>43020</v>
      </c>
      <c r="F2954" s="6">
        <v>3.1377520841746223</v>
      </c>
    </row>
    <row r="2955" spans="1:6">
      <c r="A2955" s="1">
        <v>9130159</v>
      </c>
      <c r="B2955">
        <v>0.47543477393545663</v>
      </c>
      <c r="C2955" s="1">
        <v>8</v>
      </c>
      <c r="D2955" s="1">
        <v>90</v>
      </c>
      <c r="E2955" s="2">
        <v>43255</v>
      </c>
      <c r="F2955" s="6">
        <v>83.336991814668238</v>
      </c>
    </row>
    <row r="2956" spans="1:6">
      <c r="A2956" s="1">
        <v>9130162</v>
      </c>
      <c r="B2956">
        <v>0.78850794692993098</v>
      </c>
      <c r="C2956" s="1">
        <v>5</v>
      </c>
      <c r="D2956" s="1">
        <v>253</v>
      </c>
      <c r="E2956" s="2">
        <v>43108</v>
      </c>
      <c r="F2956" s="6">
        <v>184.83301193685998</v>
      </c>
    </row>
    <row r="2957" spans="1:6">
      <c r="A2957" s="1">
        <v>9130165</v>
      </c>
      <c r="B2957">
        <v>0.12165870813011004</v>
      </c>
      <c r="C2957" s="1">
        <v>1</v>
      </c>
      <c r="D2957" s="1">
        <v>495</v>
      </c>
      <c r="E2957" s="2">
        <v>43212</v>
      </c>
      <c r="F2957" s="6">
        <v>15.194502616441007</v>
      </c>
    </row>
    <row r="2958" spans="1:6">
      <c r="A2958" s="1">
        <v>9130168</v>
      </c>
      <c r="B2958">
        <v>0.51885432449335589</v>
      </c>
      <c r="C2958" s="1">
        <v>1</v>
      </c>
      <c r="D2958" s="1">
        <v>38</v>
      </c>
      <c r="E2958" s="2">
        <v>43073</v>
      </c>
      <c r="F2958" s="6">
        <v>74.66587611128854</v>
      </c>
    </row>
    <row r="2959" spans="1:6">
      <c r="A2959" s="1">
        <v>9130171</v>
      </c>
      <c r="B2959">
        <v>6.0212472210341428E-2</v>
      </c>
      <c r="C2959" s="1">
        <v>122</v>
      </c>
      <c r="D2959" s="1">
        <v>585</v>
      </c>
      <c r="E2959" s="2">
        <v>43317</v>
      </c>
      <c r="F2959" s="6">
        <v>6.0711708256948631</v>
      </c>
    </row>
    <row r="2960" spans="1:6">
      <c r="A2960" s="1">
        <v>9130174</v>
      </c>
      <c r="B2960">
        <v>0.23203656035555342</v>
      </c>
      <c r="C2960" s="1">
        <v>42</v>
      </c>
      <c r="D2960" s="1">
        <v>176</v>
      </c>
      <c r="E2960" s="2">
        <v>43420</v>
      </c>
      <c r="F2960" s="6">
        <v>57.238286137031501</v>
      </c>
    </row>
    <row r="2961" spans="1:6">
      <c r="A2961" s="1">
        <v>9130177</v>
      </c>
      <c r="B2961">
        <v>0.69879641533067316</v>
      </c>
      <c r="C2961" s="1">
        <v>128</v>
      </c>
      <c r="D2961" s="1">
        <v>334</v>
      </c>
      <c r="E2961" s="2">
        <v>42965</v>
      </c>
      <c r="F2961" s="6">
        <v>19.52087795253642</v>
      </c>
    </row>
    <row r="2962" spans="1:6">
      <c r="A2962" s="1">
        <v>9130180</v>
      </c>
      <c r="B2962">
        <v>2.9517027961442843E-2</v>
      </c>
      <c r="C2962" s="1">
        <v>4</v>
      </c>
      <c r="D2962" s="1">
        <v>176</v>
      </c>
      <c r="E2962" s="2">
        <v>42990</v>
      </c>
      <c r="F2962" s="6">
        <v>7.6931845572614863</v>
      </c>
    </row>
    <row r="2963" spans="1:6">
      <c r="A2963" s="1">
        <v>9130183</v>
      </c>
      <c r="B2963">
        <v>0.60635578170462079</v>
      </c>
      <c r="C2963" s="1">
        <v>32</v>
      </c>
      <c r="D2963" s="1">
        <v>38</v>
      </c>
      <c r="E2963" s="2">
        <v>43330</v>
      </c>
      <c r="F2963" s="6">
        <v>36.354864113324872</v>
      </c>
    </row>
    <row r="2964" spans="1:6">
      <c r="A2964" s="1">
        <v>9130186</v>
      </c>
      <c r="B2964">
        <v>0.49268289887964456</v>
      </c>
      <c r="C2964" s="1">
        <v>288</v>
      </c>
      <c r="D2964" s="1">
        <v>395</v>
      </c>
      <c r="E2964" s="2">
        <v>42781</v>
      </c>
      <c r="F2964" s="6">
        <v>157.48278344880688</v>
      </c>
    </row>
    <row r="2965" spans="1:6">
      <c r="A2965" s="1">
        <v>9130189</v>
      </c>
      <c r="B2965">
        <v>0.20961113554226207</v>
      </c>
      <c r="C2965" s="1">
        <v>280</v>
      </c>
      <c r="D2965" s="1">
        <v>176</v>
      </c>
      <c r="E2965" s="2">
        <v>43316</v>
      </c>
      <c r="F2965" s="6">
        <v>220.22458344298025</v>
      </c>
    </row>
    <row r="2966" spans="1:6">
      <c r="A2966" s="1">
        <v>9130192</v>
      </c>
      <c r="B2966">
        <v>0.61280991084576575</v>
      </c>
      <c r="C2966" s="1">
        <v>51</v>
      </c>
      <c r="D2966" s="1">
        <v>176</v>
      </c>
      <c r="E2966" s="2">
        <v>43334</v>
      </c>
      <c r="F2966" s="6">
        <v>110.8813785743617</v>
      </c>
    </row>
    <row r="2967" spans="1:6">
      <c r="A2967" s="1">
        <v>9130195</v>
      </c>
      <c r="B2967">
        <v>0.56806115897301535</v>
      </c>
      <c r="C2967" s="1">
        <v>75</v>
      </c>
      <c r="D2967" s="1">
        <v>577</v>
      </c>
      <c r="E2967" s="2">
        <v>42848</v>
      </c>
      <c r="F2967" s="6">
        <v>16.270838066668865</v>
      </c>
    </row>
    <row r="2968" spans="1:6">
      <c r="A2968" s="1">
        <v>9130198</v>
      </c>
      <c r="B2968">
        <v>0.47068525807195827</v>
      </c>
      <c r="C2968" s="1">
        <v>5</v>
      </c>
      <c r="D2968" s="1">
        <v>318</v>
      </c>
      <c r="E2968" s="2">
        <v>43318</v>
      </c>
      <c r="F2968" s="6">
        <v>6.1026047434359985</v>
      </c>
    </row>
    <row r="2969" spans="1:6">
      <c r="A2969" s="1">
        <v>9130201</v>
      </c>
      <c r="B2969">
        <v>0.31127055144592186</v>
      </c>
      <c r="C2969" s="1">
        <v>7</v>
      </c>
      <c r="D2969" s="1">
        <v>592</v>
      </c>
      <c r="E2969" s="2">
        <v>43083</v>
      </c>
      <c r="F2969" s="6">
        <v>3.4618410772000643</v>
      </c>
    </row>
    <row r="2970" spans="1:6">
      <c r="A2970" s="1">
        <v>9130204</v>
      </c>
      <c r="B2970">
        <v>0.67186315577946221</v>
      </c>
      <c r="C2970" s="1">
        <v>59</v>
      </c>
      <c r="D2970" s="1">
        <v>38</v>
      </c>
      <c r="E2970" s="2">
        <v>43148</v>
      </c>
      <c r="F2970" s="6">
        <v>3.9313885729689932</v>
      </c>
    </row>
    <row r="2971" spans="1:6">
      <c r="A2971" s="1">
        <v>9130207</v>
      </c>
      <c r="B2971">
        <v>0.53557907815654882</v>
      </c>
      <c r="C2971" s="1">
        <v>49</v>
      </c>
      <c r="D2971" s="1">
        <v>458</v>
      </c>
      <c r="E2971" s="2">
        <v>42799</v>
      </c>
      <c r="F2971" s="6">
        <v>15.203672580569798</v>
      </c>
    </row>
    <row r="2972" spans="1:6">
      <c r="A2972" s="1">
        <v>9130210</v>
      </c>
      <c r="B2972">
        <v>0.6330637115982467</v>
      </c>
      <c r="C2972" s="1">
        <v>177</v>
      </c>
      <c r="D2972" s="1">
        <v>40</v>
      </c>
      <c r="E2972" s="2">
        <v>42741</v>
      </c>
      <c r="F2972" s="6">
        <v>7.1564243701094652</v>
      </c>
    </row>
    <row r="2973" spans="1:6">
      <c r="A2973" s="1">
        <v>9130213</v>
      </c>
      <c r="B2973">
        <v>0.87718292621824656</v>
      </c>
      <c r="C2973" s="1">
        <v>143</v>
      </c>
      <c r="D2973" s="1">
        <v>564</v>
      </c>
      <c r="E2973" s="2">
        <v>43407</v>
      </c>
      <c r="F2973" s="6">
        <v>5.5380836446344155</v>
      </c>
    </row>
    <row r="2974" spans="1:6">
      <c r="A2974" s="1">
        <v>9130216</v>
      </c>
      <c r="B2974">
        <v>0.87881187144834616</v>
      </c>
      <c r="C2974" s="1">
        <v>68</v>
      </c>
      <c r="D2974" s="1">
        <v>90</v>
      </c>
      <c r="E2974" s="2">
        <v>43082</v>
      </c>
      <c r="F2974" s="6">
        <v>74.467867390089268</v>
      </c>
    </row>
    <row r="2975" spans="1:6">
      <c r="A2975" s="1">
        <v>9130219</v>
      </c>
      <c r="B2975">
        <v>0.2373258464658754</v>
      </c>
      <c r="C2975" s="1">
        <v>20</v>
      </c>
      <c r="D2975" s="1">
        <v>564</v>
      </c>
      <c r="E2975" s="2">
        <v>42755</v>
      </c>
      <c r="F2975" s="6">
        <v>234.50037806743074</v>
      </c>
    </row>
    <row r="2976" spans="1:6">
      <c r="A2976" s="1">
        <v>9130222</v>
      </c>
      <c r="B2976">
        <v>0.10428408245276366</v>
      </c>
      <c r="C2976" s="1">
        <v>63</v>
      </c>
      <c r="D2976" s="1">
        <v>427</v>
      </c>
      <c r="E2976" s="2">
        <v>43478</v>
      </c>
      <c r="F2976" s="6">
        <v>137.94219011578502</v>
      </c>
    </row>
    <row r="2977" spans="1:6">
      <c r="A2977" s="1">
        <v>9130225</v>
      </c>
      <c r="B2977">
        <v>0.76240595726793114</v>
      </c>
      <c r="C2977" s="1">
        <v>1</v>
      </c>
      <c r="D2977" s="1">
        <v>417</v>
      </c>
      <c r="E2977" s="2">
        <v>43010</v>
      </c>
      <c r="F2977" s="6">
        <v>76.423196536521658</v>
      </c>
    </row>
    <row r="2978" spans="1:6">
      <c r="A2978" s="1">
        <v>9130228</v>
      </c>
      <c r="B2978">
        <v>0.76295817237472496</v>
      </c>
      <c r="C2978" s="1">
        <v>2</v>
      </c>
      <c r="D2978" s="1">
        <v>176</v>
      </c>
      <c r="E2978" s="2">
        <v>43337</v>
      </c>
      <c r="F2978" s="6">
        <v>55.989889104904307</v>
      </c>
    </row>
    <row r="2979" spans="1:6">
      <c r="A2979" s="1">
        <v>9130231</v>
      </c>
      <c r="B2979">
        <v>0.96702811900856012</v>
      </c>
      <c r="C2979" s="1">
        <v>56</v>
      </c>
      <c r="D2979" s="1">
        <v>564</v>
      </c>
      <c r="E2979" s="2">
        <v>43283</v>
      </c>
      <c r="F2979" s="6">
        <v>4.0191975394992516</v>
      </c>
    </row>
    <row r="2980" spans="1:6">
      <c r="A2980" s="1">
        <v>9130234</v>
      </c>
      <c r="B2980">
        <v>0.30902962560896508</v>
      </c>
      <c r="C2980" s="1">
        <v>219</v>
      </c>
      <c r="D2980" s="1">
        <v>510</v>
      </c>
      <c r="E2980" s="2">
        <v>43118</v>
      </c>
      <c r="F2980" s="6">
        <v>35.632085172668376</v>
      </c>
    </row>
    <row r="2981" spans="1:6">
      <c r="A2981" s="1">
        <v>9130237</v>
      </c>
      <c r="B2981">
        <v>0.84192766029777488</v>
      </c>
      <c r="C2981" s="1">
        <v>45</v>
      </c>
      <c r="D2981" s="1">
        <v>572</v>
      </c>
      <c r="E2981" s="2">
        <v>42907</v>
      </c>
      <c r="F2981" s="6">
        <v>59.515929107769367</v>
      </c>
    </row>
    <row r="2982" spans="1:6">
      <c r="A2982" s="1">
        <v>9130240</v>
      </c>
      <c r="B2982">
        <v>0.63614555170626841</v>
      </c>
      <c r="C2982" s="1">
        <v>4</v>
      </c>
      <c r="D2982" s="1">
        <v>564</v>
      </c>
      <c r="E2982" s="2">
        <v>43225</v>
      </c>
      <c r="F2982" s="6">
        <v>66.750395231316844</v>
      </c>
    </row>
    <row r="2983" spans="1:6">
      <c r="A2983" s="1">
        <v>9130243</v>
      </c>
      <c r="B2983">
        <v>0.85228705070573252</v>
      </c>
      <c r="C2983" s="1">
        <v>119</v>
      </c>
      <c r="D2983" s="1">
        <v>149</v>
      </c>
      <c r="E2983" s="2">
        <v>43019</v>
      </c>
      <c r="F2983" s="6">
        <v>160.26633470177973</v>
      </c>
    </row>
    <row r="2984" spans="1:6">
      <c r="A2984" s="1">
        <v>9130246</v>
      </c>
      <c r="B2984">
        <v>0.44424054408910985</v>
      </c>
      <c r="C2984" s="1">
        <v>2</v>
      </c>
      <c r="D2984" s="1">
        <v>225</v>
      </c>
      <c r="E2984" s="2">
        <v>43194</v>
      </c>
      <c r="F2984" s="6">
        <v>13.130623560893948</v>
      </c>
    </row>
    <row r="2985" spans="1:6">
      <c r="A2985" s="1">
        <v>9130249</v>
      </c>
      <c r="B2985">
        <v>0.73545909187790548</v>
      </c>
      <c r="C2985" s="1">
        <v>41</v>
      </c>
      <c r="D2985" s="1">
        <v>90</v>
      </c>
      <c r="E2985" s="2">
        <v>42894</v>
      </c>
      <c r="F2985" s="6">
        <v>304.67642644914889</v>
      </c>
    </row>
    <row r="2986" spans="1:6">
      <c r="A2986" s="1">
        <v>9130252</v>
      </c>
      <c r="B2986">
        <v>0.63311965765908873</v>
      </c>
      <c r="C2986" s="1">
        <v>2</v>
      </c>
      <c r="D2986" s="1">
        <v>541</v>
      </c>
      <c r="E2986" s="2">
        <v>42899</v>
      </c>
      <c r="F2986" s="6">
        <v>122.17283889788139</v>
      </c>
    </row>
    <row r="2987" spans="1:6">
      <c r="A2987" s="1">
        <v>9130255</v>
      </c>
      <c r="B2987">
        <v>0.14318070845575426</v>
      </c>
      <c r="C2987" s="1">
        <v>7</v>
      </c>
      <c r="D2987" s="1">
        <v>489</v>
      </c>
      <c r="E2987" s="2">
        <v>43109</v>
      </c>
      <c r="F2987" s="6">
        <v>52.800740854913741</v>
      </c>
    </row>
    <row r="2988" spans="1:6">
      <c r="A2988" s="1">
        <v>9130258</v>
      </c>
      <c r="B2988">
        <v>0.25554955527456757</v>
      </c>
      <c r="C2988" s="1">
        <v>26</v>
      </c>
      <c r="D2988" s="1">
        <v>361</v>
      </c>
      <c r="E2988" s="2">
        <v>43306</v>
      </c>
      <c r="F2988" s="6">
        <v>64.323261616146951</v>
      </c>
    </row>
    <row r="2989" spans="1:6">
      <c r="A2989" s="1">
        <v>9130261</v>
      </c>
      <c r="B2989">
        <v>0.9514865526752766</v>
      </c>
      <c r="C2989" s="1">
        <v>14</v>
      </c>
      <c r="D2989" s="1">
        <v>451</v>
      </c>
      <c r="E2989" s="2">
        <v>42746</v>
      </c>
      <c r="F2989" s="6">
        <v>75.87755518205698</v>
      </c>
    </row>
    <row r="2990" spans="1:6">
      <c r="A2990" s="1">
        <v>9130264</v>
      </c>
      <c r="B2990">
        <v>0.24040740270566663</v>
      </c>
      <c r="C2990" s="1">
        <v>302</v>
      </c>
      <c r="D2990" s="1">
        <v>146</v>
      </c>
      <c r="E2990" s="2">
        <v>42769</v>
      </c>
      <c r="F2990" s="6">
        <v>3.2896869565027167</v>
      </c>
    </row>
    <row r="2991" spans="1:6">
      <c r="A2991" s="1">
        <v>9130267</v>
      </c>
      <c r="B2991">
        <v>0.31254799657766652</v>
      </c>
      <c r="C2991" s="1">
        <v>23</v>
      </c>
      <c r="D2991" s="1">
        <v>258</v>
      </c>
      <c r="E2991" s="2">
        <v>42952</v>
      </c>
      <c r="F2991" s="6">
        <v>240.42263260437451</v>
      </c>
    </row>
    <row r="2992" spans="1:6">
      <c r="A2992" s="1">
        <v>9130270</v>
      </c>
      <c r="B2992">
        <v>0.5894005148079049</v>
      </c>
      <c r="C2992" s="1">
        <v>5</v>
      </c>
      <c r="D2992" s="1">
        <v>509</v>
      </c>
      <c r="E2992" s="2">
        <v>43248</v>
      </c>
      <c r="F2992" s="6">
        <v>35.039161874549229</v>
      </c>
    </row>
    <row r="2993" spans="1:6">
      <c r="A2993" s="1">
        <v>9130273</v>
      </c>
      <c r="B2993">
        <v>0.24374606266375398</v>
      </c>
      <c r="C2993" s="1">
        <v>108</v>
      </c>
      <c r="D2993" s="1">
        <v>139</v>
      </c>
      <c r="E2993" s="2">
        <v>42846</v>
      </c>
      <c r="F2993" s="6">
        <v>7.6527181357203622</v>
      </c>
    </row>
    <row r="2994" spans="1:6">
      <c r="A2994" s="1">
        <v>9130276</v>
      </c>
      <c r="B2994">
        <v>0.13986684565567697</v>
      </c>
      <c r="C2994" s="1">
        <v>151</v>
      </c>
      <c r="D2994" s="1">
        <v>575</v>
      </c>
      <c r="E2994" s="2">
        <v>43452</v>
      </c>
      <c r="F2994" s="6">
        <v>233.29876706823265</v>
      </c>
    </row>
    <row r="2995" spans="1:6">
      <c r="A2995" s="1">
        <v>9130279</v>
      </c>
      <c r="B2995">
        <v>0.11345505050599214</v>
      </c>
      <c r="C2995" s="1">
        <v>106</v>
      </c>
      <c r="D2995" s="1">
        <v>214</v>
      </c>
      <c r="E2995" s="2">
        <v>43494</v>
      </c>
      <c r="F2995" s="6">
        <v>220.02821965659584</v>
      </c>
    </row>
    <row r="2996" spans="1:6">
      <c r="A2996" s="1">
        <v>9130282</v>
      </c>
      <c r="B2996">
        <v>0.66128334649357023</v>
      </c>
      <c r="C2996" s="1">
        <v>52</v>
      </c>
      <c r="D2996" s="1">
        <v>495</v>
      </c>
      <c r="E2996" s="2">
        <v>43492</v>
      </c>
      <c r="F2996" s="6">
        <v>9.9160657926336846</v>
      </c>
    </row>
    <row r="2997" spans="1:6">
      <c r="A2997" s="1">
        <v>9130285</v>
      </c>
      <c r="B2997">
        <v>9.9111799173251525E-3</v>
      </c>
      <c r="C2997" s="1">
        <v>4</v>
      </c>
      <c r="D2997" s="1">
        <v>41</v>
      </c>
      <c r="E2997" s="2">
        <v>43315</v>
      </c>
      <c r="F2997" s="6">
        <v>7.1025392743219715</v>
      </c>
    </row>
    <row r="2998" spans="1:6">
      <c r="A2998" s="1">
        <v>9130288</v>
      </c>
      <c r="B2998">
        <v>0.34510676955429287</v>
      </c>
      <c r="C2998" s="1">
        <v>3</v>
      </c>
      <c r="D2998" s="1">
        <v>182</v>
      </c>
      <c r="E2998" s="2">
        <v>43414</v>
      </c>
      <c r="F2998" s="6">
        <v>62.931018986043902</v>
      </c>
    </row>
    <row r="2999" spans="1:6">
      <c r="A2999" s="1">
        <v>9130291</v>
      </c>
      <c r="B2999">
        <v>0.5036345050832014</v>
      </c>
      <c r="C2999" s="1">
        <v>3</v>
      </c>
      <c r="D2999" s="1">
        <v>220</v>
      </c>
      <c r="E2999" s="2">
        <v>43197</v>
      </c>
      <c r="F2999" s="6">
        <v>20.563399965542427</v>
      </c>
    </row>
    <row r="3000" spans="1:6">
      <c r="A3000" s="1">
        <v>9130294</v>
      </c>
      <c r="B3000">
        <v>0.89082413434480501</v>
      </c>
      <c r="C3000" s="1">
        <v>23</v>
      </c>
      <c r="D3000" s="1">
        <v>44</v>
      </c>
      <c r="E3000" s="2">
        <v>42964</v>
      </c>
      <c r="F3000" s="6">
        <v>27.899785312087889</v>
      </c>
    </row>
  </sheetData>
  <mergeCells count="5">
    <mergeCell ref="I5:J5"/>
    <mergeCell ref="I4:J4"/>
    <mergeCell ref="I9:J9"/>
    <mergeCell ref="I10:J10"/>
    <mergeCell ref="H1:M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teData">
                <anchor moveWithCells="1" sizeWithCells="1">
                  <from>
                    <xdr:col>11</xdr:col>
                    <xdr:colOff>7620</xdr:colOff>
                    <xdr:row>5</xdr:row>
                    <xdr:rowOff>99060</xdr:rowOff>
                  </from>
                  <to>
                    <xdr:col>11</xdr:col>
                    <xdr:colOff>1653540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xData">
                <anchor moveWithCells="1" sizeWithCells="1">
                  <from>
                    <xdr:col>11</xdr:col>
                    <xdr:colOff>7620</xdr:colOff>
                    <xdr:row>8</xdr:row>
                    <xdr:rowOff>152400</xdr:rowOff>
                  </from>
                  <to>
                    <xdr:col>11</xdr:col>
                    <xdr:colOff>1661160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tabSelected="1" workbookViewId="0">
      <selection activeCell="J9" sqref="J9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0" t="s">
        <v>35</v>
      </c>
      <c r="B1" s="40"/>
      <c r="C1" s="40"/>
      <c r="D1" s="40"/>
      <c r="E1" s="40"/>
      <c r="F1" s="40"/>
      <c r="G1" s="40"/>
      <c r="H1" s="40"/>
      <c r="I1" s="40"/>
      <c r="J1" s="40"/>
    </row>
    <row r="2" spans="1:14">
      <c r="A2" s="41" t="s">
        <v>36</v>
      </c>
      <c r="B2" s="41"/>
      <c r="C2" s="41"/>
      <c r="D2" s="41"/>
      <c r="E2" s="41"/>
      <c r="F2" s="41"/>
      <c r="G2" s="41"/>
      <c r="H2" s="41"/>
      <c r="I2" s="41"/>
      <c r="J2" s="41"/>
    </row>
    <row r="3" spans="1:14">
      <c r="A3" s="41" t="s">
        <v>37</v>
      </c>
      <c r="B3" s="41"/>
      <c r="C3" s="41"/>
      <c r="D3" s="41"/>
      <c r="E3" s="41"/>
      <c r="F3" s="41"/>
      <c r="G3" s="41"/>
      <c r="H3" s="41"/>
      <c r="I3" s="41"/>
      <c r="J3" s="41"/>
    </row>
    <row r="4" spans="1:14">
      <c r="A4" s="41" t="s">
        <v>38</v>
      </c>
      <c r="B4" s="41"/>
      <c r="C4" s="41"/>
      <c r="D4" s="41"/>
      <c r="E4" s="41"/>
      <c r="F4" s="41"/>
      <c r="G4" s="41"/>
      <c r="H4" s="41"/>
      <c r="I4" s="41"/>
      <c r="J4" s="41"/>
    </row>
    <row r="5" spans="1:14">
      <c r="A5" s="3" t="s">
        <v>0</v>
      </c>
      <c r="B5" s="4" t="s">
        <v>4</v>
      </c>
      <c r="C5" s="3" t="s">
        <v>13</v>
      </c>
      <c r="D5" s="3" t="s">
        <v>32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176</v>
      </c>
      <c r="B6" s="8">
        <f>_xlfn.MAXIFS(Transactions[Transaction Date], Transactions[CustomerID],A6)</f>
        <v>43495</v>
      </c>
      <c r="C6" s="1">
        <f t="shared" ref="C6:C69" si="0">(MAX(DATEDIF(B6,"03/01/2019","ym"),1))</f>
        <v>1</v>
      </c>
      <c r="D6" s="1">
        <f>COUNTIF(Transactions[CustomerID],"="&amp;A6)</f>
        <v>185</v>
      </c>
      <c r="E6" s="9">
        <f>IF(_xlfn.MAXIFS(Transactions[Transaction Amount], Transactions[CustomerID],A6)/'Customer Profiles'!$M$10&lt;=10,_xlfn.MAXIFS(Transactions[Transaction Amount], Transactions[CustomerID],A6)/'Customer Profiles'!$M$10,10)</f>
        <v>9.5704378930952405</v>
      </c>
      <c r="F6" s="1">
        <f t="shared" ref="F6:F69" si="1">IF(ROUND(C6,2)&lt;=10,ROUND(C6,2),10)</f>
        <v>1</v>
      </c>
      <c r="G6" s="1">
        <f t="shared" ref="G6:G69" si="2">IF(ROUND(D6/$M$6,2)&lt;=10,ROUND(D6/$M$6,2),10)</f>
        <v>10</v>
      </c>
      <c r="H6" s="1">
        <f t="shared" ref="H6:H69" si="3">IF(ROUND(E6*$K$8+F6*$K$6+G6*$K$7,2)&lt;1,1,ROUND(E6*$K$8+F6*$K$6+G6*$K$7,2))</f>
        <v>6.13</v>
      </c>
      <c r="J6" s="15" t="s">
        <v>2</v>
      </c>
      <c r="K6" s="14">
        <v>-0.33</v>
      </c>
      <c r="M6" s="24">
        <f>ROUND(AVERAGE(D6:D605),2)</f>
        <v>5</v>
      </c>
    </row>
    <row r="7" spans="1:14">
      <c r="A7" s="1">
        <v>510</v>
      </c>
      <c r="B7" s="8">
        <f>_xlfn.MAXIFS(Transactions[Transaction Date], Transactions[CustomerID],A7)</f>
        <v>43497</v>
      </c>
      <c r="C7" s="1">
        <f t="shared" si="0"/>
        <v>1</v>
      </c>
      <c r="D7" s="1">
        <f>COUNTIF(Transactions[CustomerID],"="&amp;A7)</f>
        <v>145</v>
      </c>
      <c r="E7" s="9">
        <f>IF(_xlfn.MAXIFS(Transactions[Transaction Amount], Transactions[CustomerID],A7)/'Customer Profiles'!$M$10&lt;=10,_xlfn.MAXIFS(Transactions[Transaction Amount], Transactions[CustomerID],A7)/'Customer Profiles'!$M$10,10)</f>
        <v>8.5356038277130128</v>
      </c>
      <c r="F7" s="1">
        <f t="shared" si="1"/>
        <v>1</v>
      </c>
      <c r="G7" s="1">
        <f t="shared" si="2"/>
        <v>10</v>
      </c>
      <c r="H7" s="1">
        <f t="shared" si="3"/>
        <v>5.79</v>
      </c>
      <c r="J7" s="15" t="s">
        <v>5</v>
      </c>
      <c r="K7" s="14">
        <v>0.33</v>
      </c>
      <c r="M7" s="25" t="s">
        <v>12</v>
      </c>
    </row>
    <row r="8" spans="1:14">
      <c r="A8" s="1">
        <v>258</v>
      </c>
      <c r="B8" s="8">
        <f>_xlfn.MAXIFS(Transactions[Transaction Date], Transactions[CustomerID],A8)</f>
        <v>43492</v>
      </c>
      <c r="C8" s="1">
        <f t="shared" si="0"/>
        <v>1</v>
      </c>
      <c r="D8" s="1">
        <f>COUNTIF(Transactions[CustomerID],"="&amp;A8)</f>
        <v>98</v>
      </c>
      <c r="E8" s="9">
        <f>IF(_xlfn.MAXIFS(Transactions[Transaction Amount], Transactions[CustomerID],A8)/'Customer Profiles'!$M$10&lt;=10,_xlfn.MAXIFS(Transactions[Transaction Amount], Transactions[CustomerID],A8)/'Customer Profiles'!$M$10,10)</f>
        <v>8.8011119496407382</v>
      </c>
      <c r="F8" s="1">
        <f t="shared" si="1"/>
        <v>1</v>
      </c>
      <c r="G8" s="1">
        <f t="shared" si="2"/>
        <v>10</v>
      </c>
      <c r="H8" s="1">
        <f t="shared" si="3"/>
        <v>5.87</v>
      </c>
      <c r="J8" s="16" t="s">
        <v>6</v>
      </c>
      <c r="K8" s="19">
        <v>0.33</v>
      </c>
      <c r="M8" s="24">
        <f>ROUND(AVERAGE(C6:C303),2)</f>
        <v>4.1399999999999997</v>
      </c>
    </row>
    <row r="9" spans="1:14">
      <c r="A9" s="1">
        <v>458</v>
      </c>
      <c r="B9" s="8">
        <f>_xlfn.MAXIFS(Transactions[Transaction Date], Transactions[CustomerID],A9)</f>
        <v>43487</v>
      </c>
      <c r="C9" s="1">
        <f t="shared" si="0"/>
        <v>1</v>
      </c>
      <c r="D9" s="1">
        <f>COUNTIF(Transactions[CustomerID],"="&amp;A9)</f>
        <v>43</v>
      </c>
      <c r="E9" s="9">
        <f>IF(_xlfn.MAXIFS(Transactions[Transaction Amount], Transactions[CustomerID],A9)/'Customer Profiles'!$M$10&lt;=10,_xlfn.MAXIFS(Transactions[Transaction Amount], Transactions[CustomerID],A9)/'Customer Profiles'!$M$10,10)</f>
        <v>8.2158433907239168</v>
      </c>
      <c r="F9" s="1">
        <f t="shared" si="1"/>
        <v>1</v>
      </c>
      <c r="G9" s="1">
        <f t="shared" si="2"/>
        <v>8.6</v>
      </c>
      <c r="H9" s="1">
        <f t="shared" si="3"/>
        <v>5.22</v>
      </c>
      <c r="M9" s="25" t="s">
        <v>27</v>
      </c>
    </row>
    <row r="10" spans="1:14">
      <c r="A10" s="1">
        <v>495</v>
      </c>
      <c r="B10" s="8">
        <f>_xlfn.MAXIFS(Transactions[Transaction Date], Transactions[CustomerID],A10)</f>
        <v>43492</v>
      </c>
      <c r="C10" s="1">
        <f t="shared" si="0"/>
        <v>1</v>
      </c>
      <c r="D10" s="1">
        <f>COUNTIF(Transactions[CustomerID],"="&amp;A10)</f>
        <v>41</v>
      </c>
      <c r="E10" s="9">
        <f>IF(_xlfn.MAXIFS(Transactions[Transaction Amount], Transactions[CustomerID],A10)/'Customer Profiles'!$M$10&lt;=10,_xlfn.MAXIFS(Transactions[Transaction Amount], Transactions[CustomerID],A10)/'Customer Profiles'!$M$10,10)</f>
        <v>10</v>
      </c>
      <c r="F10" s="1">
        <f t="shared" si="1"/>
        <v>1</v>
      </c>
      <c r="G10" s="1">
        <f t="shared" si="2"/>
        <v>8.1999999999999993</v>
      </c>
      <c r="H10" s="1">
        <f t="shared" si="3"/>
        <v>5.68</v>
      </c>
      <c r="M10" s="23">
        <f>ROUND(AVERAGE(Transactions[Transaction Amount]),2)</f>
        <v>69.91</v>
      </c>
    </row>
    <row r="11" spans="1:14">
      <c r="A11" s="1">
        <v>89</v>
      </c>
      <c r="B11" s="8">
        <f>_xlfn.MAXIFS(Transactions[Transaction Date], Transactions[CustomerID],A11)</f>
        <v>43242</v>
      </c>
      <c r="C11" s="1">
        <f t="shared" si="0"/>
        <v>9</v>
      </c>
      <c r="D11" s="1">
        <f>COUNTIF(Transactions[CustomerID],"="&amp;A11)</f>
        <v>4</v>
      </c>
      <c r="E11" s="9">
        <f>IF(_xlfn.MAXIFS(Transactions[Transaction Amount], Transactions[CustomerID],A11)/'Customer Profiles'!$M$10&lt;=10,_xlfn.MAXIFS(Transactions[Transaction Amount], Transactions[CustomerID],A11)/'Customer Profiles'!$M$10,10)</f>
        <v>1.8218241085488283</v>
      </c>
      <c r="F11" s="1">
        <f t="shared" si="1"/>
        <v>9</v>
      </c>
      <c r="G11" s="1">
        <f t="shared" si="2"/>
        <v>0.8</v>
      </c>
      <c r="H11" s="1">
        <f t="shared" si="3"/>
        <v>1</v>
      </c>
      <c r="M11" s="1"/>
    </row>
    <row r="12" spans="1:14" ht="15.6">
      <c r="A12" s="1">
        <v>592</v>
      </c>
      <c r="B12" s="8">
        <f>_xlfn.MAXIFS(Transactions[Transaction Date], Transactions[CustomerID],A12)</f>
        <v>43496</v>
      </c>
      <c r="C12" s="1">
        <f t="shared" si="0"/>
        <v>1</v>
      </c>
      <c r="D12" s="1">
        <f>COUNTIF(Transactions[CustomerID],"="&amp;A12)</f>
        <v>81</v>
      </c>
      <c r="E12" s="9">
        <f>IF(_xlfn.MAXIFS(Transactions[Transaction Amount], Transactions[CustomerID],A12)/'Customer Profiles'!$M$10&lt;=10,_xlfn.MAXIFS(Transactions[Transaction Amount], Transactions[CustomerID],A12)/'Customer Profiles'!$M$10,10)</f>
        <v>4.5059366181450757</v>
      </c>
      <c r="F12" s="1">
        <f t="shared" si="1"/>
        <v>1</v>
      </c>
      <c r="G12" s="1">
        <f t="shared" si="2"/>
        <v>10</v>
      </c>
      <c r="H12" s="1">
        <f t="shared" si="3"/>
        <v>4.46</v>
      </c>
      <c r="J12" s="36" t="s">
        <v>19</v>
      </c>
      <c r="K12" s="39"/>
      <c r="L12" s="39"/>
      <c r="M12" s="39"/>
      <c r="N12" s="37"/>
    </row>
    <row r="13" spans="1:14">
      <c r="A13" s="1">
        <v>146</v>
      </c>
      <c r="B13" s="8">
        <f>_xlfn.MAXIFS(Transactions[Transaction Date], Transactions[CustomerID],A13)</f>
        <v>43491</v>
      </c>
      <c r="C13" s="1">
        <f t="shared" si="0"/>
        <v>1</v>
      </c>
      <c r="D13" s="1">
        <f>COUNTIF(Transactions[CustomerID],"="&amp;A13)</f>
        <v>42</v>
      </c>
      <c r="E13" s="9">
        <f>IF(_xlfn.MAXIFS(Transactions[Transaction Amount], Transactions[CustomerID],A13)/'Customer Profiles'!$M$10&lt;=10,_xlfn.MAXIFS(Transactions[Transaction Amount], Transactions[CustomerID],A13)/'Customer Profiles'!$M$10,10)</f>
        <v>4.7097474169620801</v>
      </c>
      <c r="F13" s="1">
        <f t="shared" si="1"/>
        <v>1</v>
      </c>
      <c r="G13" s="1">
        <f t="shared" si="2"/>
        <v>8.4</v>
      </c>
      <c r="H13" s="1">
        <f t="shared" si="3"/>
        <v>4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597</v>
      </c>
      <c r="B14" s="8">
        <f>_xlfn.MAXIFS(Transactions[Transaction Date], Transactions[CustomerID],A14)</f>
        <v>43496</v>
      </c>
      <c r="C14" s="1">
        <f t="shared" si="0"/>
        <v>1</v>
      </c>
      <c r="D14" s="1">
        <f>COUNTIF(Transactions[CustomerID],"="&amp;A14)</f>
        <v>37</v>
      </c>
      <c r="E14" s="9">
        <f>IF(_xlfn.MAXIFS(Transactions[Transaction Amount], Transactions[CustomerID],A14)/'Customer Profiles'!$M$10&lt;=10,_xlfn.MAXIFS(Transactions[Transaction Amount], Transactions[CustomerID],A14)/'Customer Profiles'!$M$10,10)</f>
        <v>3.8139834206011578</v>
      </c>
      <c r="F14" s="1">
        <f t="shared" si="1"/>
        <v>1</v>
      </c>
      <c r="G14" s="1">
        <f t="shared" si="2"/>
        <v>7.4</v>
      </c>
      <c r="H14" s="1">
        <f t="shared" si="3"/>
        <v>3.37</v>
      </c>
      <c r="J14" s="15" t="s">
        <v>26</v>
      </c>
      <c r="L14" s="1">
        <v>0.5</v>
      </c>
      <c r="M14" s="1">
        <f>PERCENTILE(H6:H302,L14)</f>
        <v>1</v>
      </c>
      <c r="N14" s="14">
        <f>COUNTIF($H$6:$H$605,"&gt;"&amp;M14)</f>
        <v>81</v>
      </c>
    </row>
    <row r="15" spans="1:14">
      <c r="A15" s="1">
        <v>564</v>
      </c>
      <c r="B15" s="8">
        <f>_xlfn.MAXIFS(Transactions[Transaction Date], Transactions[CustomerID],A15)</f>
        <v>43496</v>
      </c>
      <c r="C15" s="1">
        <f t="shared" si="0"/>
        <v>1</v>
      </c>
      <c r="D15" s="1">
        <f>COUNTIF(Transactions[CustomerID],"="&amp;A15)</f>
        <v>81</v>
      </c>
      <c r="E15" s="9">
        <f>IF(_xlfn.MAXIFS(Transactions[Transaction Amount], Transactions[CustomerID],A15)/'Customer Profiles'!$M$10&lt;=10,_xlfn.MAXIFS(Transactions[Transaction Amount], Transactions[CustomerID],A15)/'Customer Profiles'!$M$10,10)</f>
        <v>3.8078291454663638</v>
      </c>
      <c r="F15" s="1">
        <f t="shared" si="1"/>
        <v>1</v>
      </c>
      <c r="G15" s="1">
        <f t="shared" si="2"/>
        <v>10</v>
      </c>
      <c r="H15" s="1">
        <f t="shared" si="3"/>
        <v>4.2300000000000004</v>
      </c>
      <c r="J15" s="15" t="s">
        <v>21</v>
      </c>
      <c r="K15" s="10"/>
      <c r="L15" s="1">
        <v>0.75</v>
      </c>
      <c r="M15" s="1">
        <f>PERCENTILE(H7:H303,L15)</f>
        <v>1</v>
      </c>
      <c r="N15" s="14">
        <f>COUNTIF($H$6:$H$605,"&gt;"&amp;M15)</f>
        <v>81</v>
      </c>
    </row>
    <row r="16" spans="1:14">
      <c r="A16" s="1">
        <v>108</v>
      </c>
      <c r="B16" s="8">
        <f>_xlfn.MAXIFS(Transactions[Transaction Date], Transactions[CustomerID],A16)</f>
        <v>43163</v>
      </c>
      <c r="C16" s="1">
        <f t="shared" si="0"/>
        <v>11</v>
      </c>
      <c r="D16" s="1">
        <f>COUNTIF(Transactions[CustomerID],"="&amp;A16)</f>
        <v>2</v>
      </c>
      <c r="E16" s="9">
        <f>IF(_xlfn.MAXIFS(Transactions[Transaction Amount], Transactions[CustomerID],A16)/'Customer Profiles'!$M$10&lt;=10,_xlfn.MAXIFS(Transactions[Transaction Amount], Transactions[CustomerID],A16)/'Customer Profiles'!$M$10,10)</f>
        <v>3.9639240970207799</v>
      </c>
      <c r="F16" s="1">
        <f t="shared" si="1"/>
        <v>10</v>
      </c>
      <c r="G16" s="1">
        <f t="shared" si="2"/>
        <v>0.4</v>
      </c>
      <c r="H16" s="1">
        <f t="shared" si="3"/>
        <v>1</v>
      </c>
      <c r="J16" s="15" t="s">
        <v>22</v>
      </c>
      <c r="K16" s="11"/>
      <c r="L16" s="1">
        <v>0.9</v>
      </c>
      <c r="M16" s="1">
        <f>PERCENTILE(H8:H402,L16)</f>
        <v>1.9120000000000004</v>
      </c>
      <c r="N16" s="14">
        <f>COUNTIF($H$6:$H$605,"&gt;"&amp;M16)</f>
        <v>42</v>
      </c>
    </row>
    <row r="17" spans="1:14">
      <c r="A17" s="1">
        <v>15</v>
      </c>
      <c r="B17" s="8">
        <f>_xlfn.MAXIFS(Transactions[Transaction Date], Transactions[CustomerID],A17)</f>
        <v>43274</v>
      </c>
      <c r="C17" s="1">
        <f t="shared" si="0"/>
        <v>8</v>
      </c>
      <c r="D17" s="1">
        <f>COUNTIF(Transactions[CustomerID],"="&amp;A17)</f>
        <v>1</v>
      </c>
      <c r="E17" s="9">
        <f>IF(_xlfn.MAXIFS(Transactions[Transaction Amount], Transactions[CustomerID],A17)/'Customer Profiles'!$M$10&lt;=10,_xlfn.MAXIFS(Transactions[Transaction Amount], Transactions[CustomerID],A17)/'Customer Profiles'!$M$10,10)</f>
        <v>1.2092472626914788</v>
      </c>
      <c r="F17" s="1">
        <f t="shared" si="1"/>
        <v>8</v>
      </c>
      <c r="G17" s="1">
        <f t="shared" si="2"/>
        <v>0.2</v>
      </c>
      <c r="H17" s="1">
        <f t="shared" si="3"/>
        <v>1</v>
      </c>
      <c r="J17" s="16" t="s">
        <v>20</v>
      </c>
      <c r="K17" s="17"/>
      <c r="L17" s="18">
        <v>0.95</v>
      </c>
      <c r="M17" s="18">
        <f>PERCENTILE(H9:H606,L17)</f>
        <v>2.2339999999999987</v>
      </c>
      <c r="N17" s="19">
        <f>COUNTIF($H$6:$H$605,"&gt;"&amp;M17)</f>
        <v>33</v>
      </c>
    </row>
    <row r="18" spans="1:14">
      <c r="A18" s="1">
        <v>296</v>
      </c>
      <c r="B18" s="8">
        <f>_xlfn.MAXIFS(Transactions[Transaction Date], Transactions[CustomerID],A18)</f>
        <v>43490</v>
      </c>
      <c r="C18" s="1">
        <f t="shared" si="0"/>
        <v>1</v>
      </c>
      <c r="D18" s="1">
        <f>COUNTIF(Transactions[CustomerID],"="&amp;A18)</f>
        <v>7</v>
      </c>
      <c r="E18" s="9">
        <f>IF(_xlfn.MAXIFS(Transactions[Transaction Amount], Transactions[CustomerID],A18)/'Customer Profiles'!$M$10&lt;=10,_xlfn.MAXIFS(Transactions[Transaction Amount], Transactions[CustomerID],A18)/'Customer Profiles'!$M$10,10)</f>
        <v>3.7842190886475691</v>
      </c>
      <c r="F18" s="1">
        <f t="shared" si="1"/>
        <v>1</v>
      </c>
      <c r="G18" s="1">
        <f t="shared" si="2"/>
        <v>1.4</v>
      </c>
      <c r="H18" s="1">
        <f t="shared" si="3"/>
        <v>1.38</v>
      </c>
    </row>
    <row r="19" spans="1:14">
      <c r="A19" s="1">
        <v>182</v>
      </c>
      <c r="B19" s="8">
        <f>_xlfn.MAXIFS(Transactions[Transaction Date], Transactions[CustomerID],A19)</f>
        <v>43479</v>
      </c>
      <c r="C19" s="1">
        <f t="shared" si="0"/>
        <v>1</v>
      </c>
      <c r="D19" s="1">
        <f>COUNTIF(Transactions[CustomerID],"="&amp;A19)</f>
        <v>53</v>
      </c>
      <c r="E19" s="9">
        <f>IF(_xlfn.MAXIFS(Transactions[Transaction Amount], Transactions[CustomerID],A19)/'Customer Profiles'!$M$10&lt;=10,_xlfn.MAXIFS(Transactions[Transaction Amount], Transactions[CustomerID],A19)/'Customer Profiles'!$M$10,10)</f>
        <v>6.77819269676906</v>
      </c>
      <c r="F19" s="1">
        <f t="shared" si="1"/>
        <v>1</v>
      </c>
      <c r="G19" s="1">
        <f t="shared" si="2"/>
        <v>10</v>
      </c>
      <c r="H19" s="1">
        <f t="shared" si="3"/>
        <v>5.21</v>
      </c>
    </row>
    <row r="20" spans="1:14">
      <c r="A20" s="1">
        <v>90</v>
      </c>
      <c r="B20" s="8">
        <f>_xlfn.MAXIFS(Transactions[Transaction Date], Transactions[CustomerID],A20)</f>
        <v>43497</v>
      </c>
      <c r="C20" s="1">
        <f t="shared" si="0"/>
        <v>1</v>
      </c>
      <c r="D20" s="1">
        <f>COUNTIF(Transactions[CustomerID],"="&amp;A20)</f>
        <v>28</v>
      </c>
      <c r="E20" s="9">
        <f>IF(_xlfn.MAXIFS(Transactions[Transaction Amount], Transactions[CustomerID],A20)/'Customer Profiles'!$M$10&lt;=10,_xlfn.MAXIFS(Transactions[Transaction Amount], Transactions[CustomerID],A20)/'Customer Profiles'!$M$10,10)</f>
        <v>4.3581236797189087</v>
      </c>
      <c r="F20" s="1">
        <f t="shared" si="1"/>
        <v>1</v>
      </c>
      <c r="G20" s="1">
        <f t="shared" si="2"/>
        <v>5.6</v>
      </c>
      <c r="H20" s="1">
        <f t="shared" si="3"/>
        <v>2.96</v>
      </c>
    </row>
    <row r="21" spans="1:14">
      <c r="A21" s="1">
        <v>417</v>
      </c>
      <c r="B21" s="8">
        <f>_xlfn.MAXIFS(Transactions[Transaction Date], Transactions[CustomerID],A21)</f>
        <v>43370</v>
      </c>
      <c r="C21" s="1">
        <f t="shared" si="0"/>
        <v>5</v>
      </c>
      <c r="D21" s="1">
        <f>COUNTIF(Transactions[CustomerID],"="&amp;A21)</f>
        <v>12</v>
      </c>
      <c r="E21" s="9">
        <f>IF(_xlfn.MAXIFS(Transactions[Transaction Amount], Transactions[CustomerID],A21)/'Customer Profiles'!$M$10&lt;=10,_xlfn.MAXIFS(Transactions[Transaction Amount], Transactions[CustomerID],A21)/'Customer Profiles'!$M$10,10)</f>
        <v>3.4425996487632844</v>
      </c>
      <c r="F21" s="1">
        <f t="shared" si="1"/>
        <v>5</v>
      </c>
      <c r="G21" s="1">
        <f t="shared" si="2"/>
        <v>2.4</v>
      </c>
      <c r="H21" s="1">
        <f t="shared" si="3"/>
        <v>1</v>
      </c>
    </row>
    <row r="22" spans="1:14">
      <c r="A22" s="1">
        <v>575</v>
      </c>
      <c r="B22" s="8">
        <f>_xlfn.MAXIFS(Transactions[Transaction Date], Transactions[CustomerID],A22)</f>
        <v>43474</v>
      </c>
      <c r="C22" s="1">
        <f t="shared" si="0"/>
        <v>1</v>
      </c>
      <c r="D22" s="1">
        <f>COUNTIF(Transactions[CustomerID],"="&amp;A22)</f>
        <v>23</v>
      </c>
      <c r="E22" s="9">
        <f>IF(_xlfn.MAXIFS(Transactions[Transaction Amount], Transactions[CustomerID],A22)/'Customer Profiles'!$M$10&lt;=10,_xlfn.MAXIFS(Transactions[Transaction Amount], Transactions[CustomerID],A22)/'Customer Profiles'!$M$10,10)</f>
        <v>4.1580937654937529</v>
      </c>
      <c r="F22" s="1">
        <f t="shared" si="1"/>
        <v>1</v>
      </c>
      <c r="G22" s="1">
        <f t="shared" si="2"/>
        <v>4.5999999999999996</v>
      </c>
      <c r="H22" s="1">
        <f t="shared" si="3"/>
        <v>2.56</v>
      </c>
    </row>
    <row r="23" spans="1:14">
      <c r="A23" s="1">
        <v>22</v>
      </c>
      <c r="B23" s="8">
        <f>_xlfn.MAXIFS(Transactions[Transaction Date], Transactions[CustomerID],A23)</f>
        <v>43489</v>
      </c>
      <c r="C23" s="1">
        <f t="shared" si="0"/>
        <v>1</v>
      </c>
      <c r="D23" s="1">
        <f>COUNTIF(Transactions[CustomerID],"="&amp;A23)</f>
        <v>45</v>
      </c>
      <c r="E23" s="9">
        <f>IF(_xlfn.MAXIFS(Transactions[Transaction Amount], Transactions[CustomerID],A23)/'Customer Profiles'!$M$10&lt;=10,_xlfn.MAXIFS(Transactions[Transaction Amount], Transactions[CustomerID],A23)/'Customer Profiles'!$M$10,10)</f>
        <v>4.2067003637678626</v>
      </c>
      <c r="F23" s="1">
        <f t="shared" si="1"/>
        <v>1</v>
      </c>
      <c r="G23" s="1">
        <f t="shared" si="2"/>
        <v>9</v>
      </c>
      <c r="H23" s="1">
        <f t="shared" si="3"/>
        <v>4.03</v>
      </c>
    </row>
    <row r="24" spans="1:14">
      <c r="A24" s="1">
        <v>134</v>
      </c>
      <c r="B24" s="8">
        <f>_xlfn.MAXIFS(Transactions[Transaction Date], Transactions[CustomerID],A24)</f>
        <v>43279</v>
      </c>
      <c r="C24" s="1">
        <f t="shared" si="0"/>
        <v>8</v>
      </c>
      <c r="D24" s="1">
        <f>COUNTIF(Transactions[CustomerID],"="&amp;A24)</f>
        <v>6</v>
      </c>
      <c r="E24" s="9">
        <f>IF(_xlfn.MAXIFS(Transactions[Transaction Amount], Transactions[CustomerID],A24)/'Customer Profiles'!$M$10&lt;=10,_xlfn.MAXIFS(Transactions[Transaction Amount], Transactions[CustomerID],A24)/'Customer Profiles'!$M$10,10)</f>
        <v>3.8385668979161673</v>
      </c>
      <c r="F24" s="1">
        <f t="shared" si="1"/>
        <v>8</v>
      </c>
      <c r="G24" s="1">
        <f t="shared" si="2"/>
        <v>1.2</v>
      </c>
      <c r="H24" s="1">
        <f t="shared" si="3"/>
        <v>1</v>
      </c>
    </row>
    <row r="25" spans="1:14">
      <c r="A25" s="1">
        <v>93</v>
      </c>
      <c r="B25" s="8">
        <f>_xlfn.MAXIFS(Transactions[Transaction Date], Transactions[CustomerID],A25)</f>
        <v>43092</v>
      </c>
      <c r="C25" s="1">
        <f t="shared" si="0"/>
        <v>2</v>
      </c>
      <c r="D25" s="1">
        <f>COUNTIF(Transactions[CustomerID],"="&amp;A25)</f>
        <v>1</v>
      </c>
      <c r="E25" s="9">
        <f>IF(_xlfn.MAXIFS(Transactions[Transaction Amount], Transactions[CustomerID],A25)/'Customer Profiles'!$M$10&lt;=10,_xlfn.MAXIFS(Transactions[Transaction Amount], Transactions[CustomerID],A25)/'Customer Profiles'!$M$10,10)</f>
        <v>2.3020454817451701</v>
      </c>
      <c r="F25" s="1">
        <f t="shared" si="1"/>
        <v>2</v>
      </c>
      <c r="G25" s="1">
        <f t="shared" si="2"/>
        <v>0.2</v>
      </c>
      <c r="H25" s="1">
        <f t="shared" si="3"/>
        <v>1</v>
      </c>
    </row>
    <row r="26" spans="1:14">
      <c r="A26" s="1">
        <v>541</v>
      </c>
      <c r="B26" s="8">
        <f>_xlfn.MAXIFS(Transactions[Transaction Date], Transactions[CustomerID],A26)</f>
        <v>43473</v>
      </c>
      <c r="C26" s="1">
        <f t="shared" si="0"/>
        <v>1</v>
      </c>
      <c r="D26" s="1">
        <f>COUNTIF(Transactions[CustomerID],"="&amp;A26)</f>
        <v>39</v>
      </c>
      <c r="E26" s="9">
        <f>IF(_xlfn.MAXIFS(Transactions[Transaction Amount], Transactions[CustomerID],A26)/'Customer Profiles'!$M$10&lt;=10,_xlfn.MAXIFS(Transactions[Transaction Amount], Transactions[CustomerID],A26)/'Customer Profiles'!$M$10,10)</f>
        <v>5.0563168484845402</v>
      </c>
      <c r="F26" s="1">
        <f t="shared" si="1"/>
        <v>1</v>
      </c>
      <c r="G26" s="1">
        <f t="shared" si="2"/>
        <v>7.8</v>
      </c>
      <c r="H26" s="1">
        <f t="shared" si="3"/>
        <v>3.91</v>
      </c>
    </row>
    <row r="27" spans="1:14">
      <c r="A27" s="1">
        <v>149</v>
      </c>
      <c r="B27" s="8">
        <f>_xlfn.MAXIFS(Transactions[Transaction Date], Transactions[CustomerID],A27)</f>
        <v>43489</v>
      </c>
      <c r="C27" s="1">
        <f t="shared" si="0"/>
        <v>1</v>
      </c>
      <c r="D27" s="1">
        <f>COUNTIF(Transactions[CustomerID],"="&amp;A27)</f>
        <v>41</v>
      </c>
      <c r="E27" s="9">
        <f>IF(_xlfn.MAXIFS(Transactions[Transaction Amount], Transactions[CustomerID],A27)/'Customer Profiles'!$M$10&lt;=10,_xlfn.MAXIFS(Transactions[Transaction Amount], Transactions[CustomerID],A27)/'Customer Profiles'!$M$10,10)</f>
        <v>5.432798947274585</v>
      </c>
      <c r="F27" s="1">
        <f t="shared" si="1"/>
        <v>1</v>
      </c>
      <c r="G27" s="1">
        <f t="shared" si="2"/>
        <v>8.1999999999999993</v>
      </c>
      <c r="H27" s="1">
        <f t="shared" si="3"/>
        <v>4.17</v>
      </c>
    </row>
    <row r="28" spans="1:14">
      <c r="A28" s="1">
        <v>358</v>
      </c>
      <c r="B28" s="8">
        <f>_xlfn.MAXIFS(Transactions[Transaction Date], Transactions[CustomerID],A28)</f>
        <v>43483</v>
      </c>
      <c r="C28" s="1">
        <f t="shared" si="0"/>
        <v>1</v>
      </c>
      <c r="D28" s="1">
        <f>COUNTIF(Transactions[CustomerID],"="&amp;A28)</f>
        <v>27</v>
      </c>
      <c r="E28" s="9">
        <f>IF(_xlfn.MAXIFS(Transactions[Transaction Amount], Transactions[CustomerID],A28)/'Customer Profiles'!$M$10&lt;=10,_xlfn.MAXIFS(Transactions[Transaction Amount], Transactions[CustomerID],A28)/'Customer Profiles'!$M$10,10)</f>
        <v>3.9270790298562401</v>
      </c>
      <c r="F28" s="1">
        <f t="shared" si="1"/>
        <v>1</v>
      </c>
      <c r="G28" s="1">
        <f t="shared" si="2"/>
        <v>5.4</v>
      </c>
      <c r="H28" s="1">
        <f t="shared" si="3"/>
        <v>2.75</v>
      </c>
    </row>
    <row r="29" spans="1:14">
      <c r="A29" s="1">
        <v>169</v>
      </c>
      <c r="B29" s="8">
        <f>_xlfn.MAXIFS(Transactions[Transaction Date], Transactions[CustomerID],A29)</f>
        <v>43494</v>
      </c>
      <c r="C29" s="1">
        <f t="shared" si="0"/>
        <v>1</v>
      </c>
      <c r="D29" s="1">
        <f>COUNTIF(Transactions[CustomerID],"="&amp;A29)</f>
        <v>12</v>
      </c>
      <c r="E29" s="9">
        <f>IF(_xlfn.MAXIFS(Transactions[Transaction Amount], Transactions[CustomerID],A29)/'Customer Profiles'!$M$10&lt;=10,_xlfn.MAXIFS(Transactions[Transaction Amount], Transactions[CustomerID],A29)/'Customer Profiles'!$M$10,10)</f>
        <v>4.0475170863515064</v>
      </c>
      <c r="F29" s="1">
        <f t="shared" si="1"/>
        <v>1</v>
      </c>
      <c r="G29" s="1">
        <f t="shared" si="2"/>
        <v>2.4</v>
      </c>
      <c r="H29" s="1">
        <f t="shared" si="3"/>
        <v>1.8</v>
      </c>
    </row>
    <row r="30" spans="1:14">
      <c r="A30" s="1">
        <v>150</v>
      </c>
      <c r="B30" s="8">
        <f>_xlfn.MAXIFS(Transactions[Transaction Date], Transactions[CustomerID],A30)</f>
        <v>42806</v>
      </c>
      <c r="C30" s="1">
        <f t="shared" si="0"/>
        <v>11</v>
      </c>
      <c r="D30" s="1">
        <f>COUNTIF(Transactions[CustomerID],"="&amp;A30)</f>
        <v>1</v>
      </c>
      <c r="E30" s="9">
        <f>IF(_xlfn.MAXIFS(Transactions[Transaction Amount], Transactions[CustomerID],A30)/'Customer Profiles'!$M$10&lt;=10,_xlfn.MAXIFS(Transactions[Transaction Amount], Transactions[CustomerID],A30)/'Customer Profiles'!$M$10,10)</f>
        <v>0.95970204889760347</v>
      </c>
      <c r="F30" s="1">
        <f t="shared" si="1"/>
        <v>10</v>
      </c>
      <c r="G30" s="1">
        <f t="shared" si="2"/>
        <v>0.2</v>
      </c>
      <c r="H30" s="1">
        <f t="shared" si="3"/>
        <v>1</v>
      </c>
    </row>
    <row r="31" spans="1:14">
      <c r="A31" s="1">
        <v>492</v>
      </c>
      <c r="B31" s="8">
        <f>_xlfn.MAXIFS(Transactions[Transaction Date], Transactions[CustomerID],A31)</f>
        <v>43479</v>
      </c>
      <c r="C31" s="1">
        <f t="shared" si="0"/>
        <v>1</v>
      </c>
      <c r="D31" s="1">
        <f>COUNTIF(Transactions[CustomerID],"="&amp;A31)</f>
        <v>33</v>
      </c>
      <c r="E31" s="9">
        <f>IF(_xlfn.MAXIFS(Transactions[Transaction Amount], Transactions[CustomerID],A31)/'Customer Profiles'!$M$10&lt;=10,_xlfn.MAXIFS(Transactions[Transaction Amount], Transactions[CustomerID],A31)/'Customer Profiles'!$M$10,10)</f>
        <v>2.5934817703896211</v>
      </c>
      <c r="F31" s="1">
        <f t="shared" si="1"/>
        <v>1</v>
      </c>
      <c r="G31" s="1">
        <f t="shared" si="2"/>
        <v>6.6</v>
      </c>
      <c r="H31" s="1">
        <f t="shared" si="3"/>
        <v>2.7</v>
      </c>
    </row>
    <row r="32" spans="1:14">
      <c r="A32" s="1">
        <v>38</v>
      </c>
      <c r="B32" s="8">
        <f>_xlfn.MAXIFS(Transactions[Transaction Date], Transactions[CustomerID],A32)</f>
        <v>43490</v>
      </c>
      <c r="C32" s="1">
        <f t="shared" si="0"/>
        <v>1</v>
      </c>
      <c r="D32" s="1">
        <f>COUNTIF(Transactions[CustomerID],"="&amp;A32)</f>
        <v>24</v>
      </c>
      <c r="E32" s="9">
        <f>IF(_xlfn.MAXIFS(Transactions[Transaction Amount], Transactions[CustomerID],A32)/'Customer Profiles'!$M$10&lt;=10,_xlfn.MAXIFS(Transactions[Transaction Amount], Transactions[CustomerID],A32)/'Customer Profiles'!$M$10,10)</f>
        <v>2.5928445378814553</v>
      </c>
      <c r="F32" s="1">
        <f t="shared" si="1"/>
        <v>1</v>
      </c>
      <c r="G32" s="1">
        <f t="shared" si="2"/>
        <v>4.8</v>
      </c>
      <c r="H32" s="1">
        <f t="shared" si="3"/>
        <v>2.11</v>
      </c>
    </row>
    <row r="33" spans="1:8">
      <c r="A33" s="1">
        <v>139</v>
      </c>
      <c r="B33" s="8">
        <f>_xlfn.MAXIFS(Transactions[Transaction Date], Transactions[CustomerID],A33)</f>
        <v>43488</v>
      </c>
      <c r="C33" s="1">
        <f t="shared" si="0"/>
        <v>1</v>
      </c>
      <c r="D33" s="1">
        <f>COUNTIF(Transactions[CustomerID],"="&amp;A33)</f>
        <v>31</v>
      </c>
      <c r="E33" s="9">
        <f>IF(_xlfn.MAXIFS(Transactions[Transaction Amount], Transactions[CustomerID],A33)/'Customer Profiles'!$M$10&lt;=10,_xlfn.MAXIFS(Transactions[Transaction Amount], Transactions[CustomerID],A33)/'Customer Profiles'!$M$10,10)</f>
        <v>4.6681010976682895</v>
      </c>
      <c r="F33" s="1">
        <f t="shared" si="1"/>
        <v>1</v>
      </c>
      <c r="G33" s="1">
        <f t="shared" si="2"/>
        <v>6.2</v>
      </c>
      <c r="H33" s="1">
        <f t="shared" si="3"/>
        <v>3.26</v>
      </c>
    </row>
    <row r="34" spans="1:8">
      <c r="A34" s="1">
        <v>476</v>
      </c>
      <c r="B34" s="8">
        <f>_xlfn.MAXIFS(Transactions[Transaction Date], Transactions[CustomerID],A34)</f>
        <v>43494</v>
      </c>
      <c r="C34" s="1">
        <f t="shared" si="0"/>
        <v>1</v>
      </c>
      <c r="D34" s="1">
        <f>COUNTIF(Transactions[CustomerID],"="&amp;A34)</f>
        <v>2</v>
      </c>
      <c r="E34" s="9">
        <f>IF(_xlfn.MAXIFS(Transactions[Transaction Amount], Transactions[CustomerID],A34)/'Customer Profiles'!$M$10&lt;=10,_xlfn.MAXIFS(Transactions[Transaction Amount], Transactions[CustomerID],A34)/'Customer Profiles'!$M$10,10)</f>
        <v>0.54534110122923629</v>
      </c>
      <c r="F34" s="1">
        <f t="shared" si="1"/>
        <v>1</v>
      </c>
      <c r="G34" s="1">
        <f t="shared" si="2"/>
        <v>0.4</v>
      </c>
      <c r="H34" s="1">
        <f t="shared" si="3"/>
        <v>1</v>
      </c>
    </row>
    <row r="35" spans="1:8">
      <c r="A35" s="1">
        <v>334</v>
      </c>
      <c r="B35" s="8">
        <f>_xlfn.MAXIFS(Transactions[Transaction Date], Transactions[CustomerID],A35)</f>
        <v>43435</v>
      </c>
      <c r="C35" s="1">
        <f t="shared" si="0"/>
        <v>3</v>
      </c>
      <c r="D35" s="1">
        <f>COUNTIF(Transactions[CustomerID],"="&amp;A35)</f>
        <v>16</v>
      </c>
      <c r="E35" s="9">
        <f>IF(_xlfn.MAXIFS(Transactions[Transaction Amount], Transactions[CustomerID],A35)/'Customer Profiles'!$M$10&lt;=10,_xlfn.MAXIFS(Transactions[Transaction Amount], Transactions[CustomerID],A35)/'Customer Profiles'!$M$10,10)</f>
        <v>5.7580456134435458</v>
      </c>
      <c r="F35" s="1">
        <f t="shared" si="1"/>
        <v>3</v>
      </c>
      <c r="G35" s="1">
        <f t="shared" si="2"/>
        <v>3.2</v>
      </c>
      <c r="H35" s="1">
        <f t="shared" si="3"/>
        <v>1.97</v>
      </c>
    </row>
    <row r="36" spans="1:8">
      <c r="A36" s="1">
        <v>105</v>
      </c>
      <c r="B36" s="8">
        <f>_xlfn.MAXIFS(Transactions[Transaction Date], Transactions[CustomerID],A36)</f>
        <v>43413</v>
      </c>
      <c r="C36" s="1">
        <f t="shared" si="0"/>
        <v>3</v>
      </c>
      <c r="D36" s="1">
        <f>COUNTIF(Transactions[CustomerID],"="&amp;A36)</f>
        <v>2</v>
      </c>
      <c r="E36" s="9">
        <f>IF(_xlfn.MAXIFS(Transactions[Transaction Amount], Transactions[CustomerID],A36)/'Customer Profiles'!$M$10&lt;=10,_xlfn.MAXIFS(Transactions[Transaction Amount], Transactions[CustomerID],A36)/'Customer Profiles'!$M$10,10)</f>
        <v>0.5153597128363745</v>
      </c>
      <c r="F36" s="1">
        <f t="shared" si="1"/>
        <v>3</v>
      </c>
      <c r="G36" s="1">
        <f t="shared" si="2"/>
        <v>0.4</v>
      </c>
      <c r="H36" s="1">
        <f t="shared" si="3"/>
        <v>1</v>
      </c>
    </row>
    <row r="37" spans="1:8">
      <c r="A37" s="1">
        <v>573</v>
      </c>
      <c r="B37" s="8">
        <f>_xlfn.MAXIFS(Transactions[Transaction Date], Transactions[CustomerID],A37)</f>
        <v>43281</v>
      </c>
      <c r="C37" s="1">
        <f t="shared" si="0"/>
        <v>8</v>
      </c>
      <c r="D37" s="1">
        <f>COUNTIF(Transactions[CustomerID],"="&amp;A37)</f>
        <v>15</v>
      </c>
      <c r="E37" s="9">
        <f>IF(_xlfn.MAXIFS(Transactions[Transaction Amount], Transactions[CustomerID],A37)/'Customer Profiles'!$M$10&lt;=10,_xlfn.MAXIFS(Transactions[Transaction Amount], Transactions[CustomerID],A37)/'Customer Profiles'!$M$10,10)</f>
        <v>1.9510786052069489</v>
      </c>
      <c r="F37" s="1">
        <f t="shared" si="1"/>
        <v>8</v>
      </c>
      <c r="G37" s="1">
        <f t="shared" si="2"/>
        <v>3</v>
      </c>
      <c r="H37" s="1">
        <f t="shared" si="3"/>
        <v>1</v>
      </c>
    </row>
    <row r="38" spans="1:8">
      <c r="A38" s="1">
        <v>253</v>
      </c>
      <c r="B38" s="8">
        <f>_xlfn.MAXIFS(Transactions[Transaction Date], Transactions[CustomerID],A38)</f>
        <v>43108</v>
      </c>
      <c r="C38" s="1">
        <f t="shared" si="0"/>
        <v>1</v>
      </c>
      <c r="D38" s="1">
        <f>COUNTIF(Transactions[CustomerID],"="&amp;A38)</f>
        <v>4</v>
      </c>
      <c r="E38" s="9">
        <f>IF(_xlfn.MAXIFS(Transactions[Transaction Amount], Transactions[CustomerID],A38)/'Customer Profiles'!$M$10&lt;=10,_xlfn.MAXIFS(Transactions[Transaction Amount], Transactions[CustomerID],A38)/'Customer Profiles'!$M$10,10)</f>
        <v>2.6438708616343867</v>
      </c>
      <c r="F38" s="1">
        <f t="shared" si="1"/>
        <v>1</v>
      </c>
      <c r="G38" s="1">
        <f t="shared" si="2"/>
        <v>0.8</v>
      </c>
      <c r="H38" s="1">
        <f t="shared" si="3"/>
        <v>1</v>
      </c>
    </row>
    <row r="39" spans="1:8">
      <c r="A39" s="1">
        <v>451</v>
      </c>
      <c r="B39" s="8">
        <f>_xlfn.MAXIFS(Transactions[Transaction Date], Transactions[CustomerID],A39)</f>
        <v>43477</v>
      </c>
      <c r="C39" s="1">
        <f t="shared" si="0"/>
        <v>1</v>
      </c>
      <c r="D39" s="1">
        <f>COUNTIF(Transactions[CustomerID],"="&amp;A39)</f>
        <v>28</v>
      </c>
      <c r="E39" s="9">
        <f>IF(_xlfn.MAXIFS(Transactions[Transaction Amount], Transactions[CustomerID],A39)/'Customer Profiles'!$M$10&lt;=10,_xlfn.MAXIFS(Transactions[Transaction Amount], Transactions[CustomerID],A39)/'Customer Profiles'!$M$10,10)</f>
        <v>3.6392854061268185</v>
      </c>
      <c r="F39" s="1">
        <f t="shared" si="1"/>
        <v>1</v>
      </c>
      <c r="G39" s="1">
        <f t="shared" si="2"/>
        <v>5.6</v>
      </c>
      <c r="H39" s="1">
        <f t="shared" si="3"/>
        <v>2.72</v>
      </c>
    </row>
    <row r="40" spans="1:8">
      <c r="A40" s="1">
        <v>167</v>
      </c>
      <c r="B40" s="8">
        <f>_xlfn.MAXIFS(Transactions[Transaction Date], Transactions[CustomerID],A40)</f>
        <v>43463</v>
      </c>
      <c r="C40" s="1">
        <f t="shared" si="0"/>
        <v>2</v>
      </c>
      <c r="D40" s="1">
        <f>COUNTIF(Transactions[CustomerID],"="&amp;A40)</f>
        <v>6</v>
      </c>
      <c r="E40" s="9">
        <f>IF(_xlfn.MAXIFS(Transactions[Transaction Amount], Transactions[CustomerID],A40)/'Customer Profiles'!$M$10&lt;=10,_xlfn.MAXIFS(Transactions[Transaction Amount], Transactions[CustomerID],A40)/'Customer Profiles'!$M$10,10)</f>
        <v>1.7016887762059072</v>
      </c>
      <c r="F40" s="1">
        <f t="shared" si="1"/>
        <v>2</v>
      </c>
      <c r="G40" s="1">
        <f t="shared" si="2"/>
        <v>1.2</v>
      </c>
      <c r="H40" s="1">
        <f t="shared" si="3"/>
        <v>1</v>
      </c>
    </row>
    <row r="41" spans="1:8">
      <c r="A41" s="1">
        <v>359</v>
      </c>
      <c r="B41" s="8">
        <f>_xlfn.MAXIFS(Transactions[Transaction Date], Transactions[CustomerID],A41)</f>
        <v>43488</v>
      </c>
      <c r="C41" s="1">
        <f t="shared" si="0"/>
        <v>1</v>
      </c>
      <c r="D41" s="1">
        <f>COUNTIF(Transactions[CustomerID],"="&amp;A41)</f>
        <v>37</v>
      </c>
      <c r="E41" s="9">
        <f>IF(_xlfn.MAXIFS(Transactions[Transaction Amount], Transactions[CustomerID],A41)/'Customer Profiles'!$M$10&lt;=10,_xlfn.MAXIFS(Transactions[Transaction Amount], Transactions[CustomerID],A41)/'Customer Profiles'!$M$10,10)</f>
        <v>4.9617125969825056</v>
      </c>
      <c r="F41" s="1">
        <f t="shared" si="1"/>
        <v>1</v>
      </c>
      <c r="G41" s="1">
        <f t="shared" si="2"/>
        <v>7.4</v>
      </c>
      <c r="H41" s="1">
        <f t="shared" si="3"/>
        <v>3.75</v>
      </c>
    </row>
    <row r="42" spans="1:8">
      <c r="A42" s="1">
        <v>388</v>
      </c>
      <c r="B42" s="8">
        <f>_xlfn.MAXIFS(Transactions[Transaction Date], Transactions[CustomerID],A42)</f>
        <v>43234</v>
      </c>
      <c r="C42" s="1">
        <f t="shared" si="0"/>
        <v>9</v>
      </c>
      <c r="D42" s="1">
        <f>COUNTIF(Transactions[CustomerID],"="&amp;A42)</f>
        <v>2</v>
      </c>
      <c r="E42" s="9">
        <f>IF(_xlfn.MAXIFS(Transactions[Transaction Amount], Transactions[CustomerID],A42)/'Customer Profiles'!$M$10&lt;=10,_xlfn.MAXIFS(Transactions[Transaction Amount], Transactions[CustomerID],A42)/'Customer Profiles'!$M$10,10)</f>
        <v>0.98562133693067711</v>
      </c>
      <c r="F42" s="1">
        <f t="shared" si="1"/>
        <v>9</v>
      </c>
      <c r="G42" s="1">
        <f t="shared" si="2"/>
        <v>0.4</v>
      </c>
      <c r="H42" s="1">
        <f t="shared" si="3"/>
        <v>1</v>
      </c>
    </row>
    <row r="43" spans="1:8">
      <c r="A43" s="1">
        <v>248</v>
      </c>
      <c r="B43" s="8">
        <f>_xlfn.MAXIFS(Transactions[Transaction Date], Transactions[CustomerID],A43)</f>
        <v>43448</v>
      </c>
      <c r="C43" s="1">
        <f t="shared" si="0"/>
        <v>2</v>
      </c>
      <c r="D43" s="1">
        <f>COUNTIF(Transactions[CustomerID],"="&amp;A43)</f>
        <v>18</v>
      </c>
      <c r="E43" s="9">
        <f>IF(_xlfn.MAXIFS(Transactions[Transaction Amount], Transactions[CustomerID],A43)/'Customer Profiles'!$M$10&lt;=10,_xlfn.MAXIFS(Transactions[Transaction Amount], Transactions[CustomerID],A43)/'Customer Profiles'!$M$10,10)</f>
        <v>4.5561562996810157</v>
      </c>
      <c r="F43" s="1">
        <f t="shared" si="1"/>
        <v>2</v>
      </c>
      <c r="G43" s="1">
        <f t="shared" si="2"/>
        <v>3.6</v>
      </c>
      <c r="H43" s="1">
        <f t="shared" si="3"/>
        <v>2.0299999999999998</v>
      </c>
    </row>
    <row r="44" spans="1:8">
      <c r="A44" s="1">
        <v>368</v>
      </c>
      <c r="B44" s="8">
        <f>_xlfn.MAXIFS(Transactions[Transaction Date], Transactions[CustomerID],A44)</f>
        <v>43452</v>
      </c>
      <c r="C44" s="1">
        <f t="shared" si="0"/>
        <v>2</v>
      </c>
      <c r="D44" s="1">
        <f>COUNTIF(Transactions[CustomerID],"="&amp;A44)</f>
        <v>13</v>
      </c>
      <c r="E44" s="9">
        <f>IF(_xlfn.MAXIFS(Transactions[Transaction Amount], Transactions[CustomerID],A44)/'Customer Profiles'!$M$10&lt;=10,_xlfn.MAXIFS(Transactions[Transaction Amount], Transactions[CustomerID],A44)/'Customer Profiles'!$M$10,10)</f>
        <v>1.8657168985221162</v>
      </c>
      <c r="F44" s="1">
        <f t="shared" si="1"/>
        <v>2</v>
      </c>
      <c r="G44" s="1">
        <f t="shared" si="2"/>
        <v>2.6</v>
      </c>
      <c r="H44" s="1">
        <f t="shared" si="3"/>
        <v>1</v>
      </c>
    </row>
    <row r="45" spans="1:8">
      <c r="A45" s="1">
        <v>514</v>
      </c>
      <c r="B45" s="8">
        <f>_xlfn.MAXIFS(Transactions[Transaction Date], Transactions[CustomerID],A45)</f>
        <v>43491</v>
      </c>
      <c r="C45" s="1">
        <f t="shared" si="0"/>
        <v>1</v>
      </c>
      <c r="D45" s="1">
        <f>COUNTIF(Transactions[CustomerID],"="&amp;A45)</f>
        <v>11</v>
      </c>
      <c r="E45" s="9">
        <f>IF(_xlfn.MAXIFS(Transactions[Transaction Amount], Transactions[CustomerID],A45)/'Customer Profiles'!$M$10&lt;=10,_xlfn.MAXIFS(Transactions[Transaction Amount], Transactions[CustomerID],A45)/'Customer Profiles'!$M$10,10)</f>
        <v>2.5885498865057701</v>
      </c>
      <c r="F45" s="1">
        <f t="shared" si="1"/>
        <v>1</v>
      </c>
      <c r="G45" s="1">
        <f t="shared" si="2"/>
        <v>2.2000000000000002</v>
      </c>
      <c r="H45" s="1">
        <f t="shared" si="3"/>
        <v>1.25</v>
      </c>
    </row>
    <row r="46" spans="1:8">
      <c r="A46" s="1">
        <v>40</v>
      </c>
      <c r="B46" s="8">
        <f>_xlfn.MAXIFS(Transactions[Transaction Date], Transactions[CustomerID],A46)</f>
        <v>43489</v>
      </c>
      <c r="C46" s="1">
        <f t="shared" si="0"/>
        <v>1</v>
      </c>
      <c r="D46" s="1">
        <f>COUNTIF(Transactions[CustomerID],"="&amp;A46)</f>
        <v>16</v>
      </c>
      <c r="E46" s="9">
        <f>IF(_xlfn.MAXIFS(Transactions[Transaction Amount], Transactions[CustomerID],A46)/'Customer Profiles'!$M$10&lt;=10,_xlfn.MAXIFS(Transactions[Transaction Amount], Transactions[CustomerID],A46)/'Customer Profiles'!$M$10,10)</f>
        <v>3.0992923821468379</v>
      </c>
      <c r="F46" s="1">
        <f t="shared" si="1"/>
        <v>1</v>
      </c>
      <c r="G46" s="1">
        <f t="shared" si="2"/>
        <v>3.2</v>
      </c>
      <c r="H46" s="1">
        <f t="shared" si="3"/>
        <v>1.75</v>
      </c>
    </row>
    <row r="47" spans="1:8">
      <c r="A47" s="1">
        <v>487</v>
      </c>
      <c r="B47" s="8">
        <f>_xlfn.MAXIFS(Transactions[Transaction Date], Transactions[CustomerID],A47)</f>
        <v>43497</v>
      </c>
      <c r="C47" s="1">
        <f t="shared" si="0"/>
        <v>1</v>
      </c>
      <c r="D47" s="1">
        <f>COUNTIF(Transactions[CustomerID],"="&amp;A47)</f>
        <v>15</v>
      </c>
      <c r="E47" s="9">
        <f>IF(_xlfn.MAXIFS(Transactions[Transaction Amount], Transactions[CustomerID],A47)/'Customer Profiles'!$M$10&lt;=10,_xlfn.MAXIFS(Transactions[Transaction Amount], Transactions[CustomerID],A47)/'Customer Profiles'!$M$10,10)</f>
        <v>4.8099360423858304</v>
      </c>
      <c r="F47" s="1">
        <f t="shared" si="1"/>
        <v>1</v>
      </c>
      <c r="G47" s="1">
        <f t="shared" si="2"/>
        <v>3</v>
      </c>
      <c r="H47" s="1">
        <f t="shared" si="3"/>
        <v>2.25</v>
      </c>
    </row>
    <row r="48" spans="1:8">
      <c r="A48" s="1">
        <v>207</v>
      </c>
      <c r="B48" s="8">
        <f>_xlfn.MAXIFS(Transactions[Transaction Date], Transactions[CustomerID],A48)</f>
        <v>42837</v>
      </c>
      <c r="C48" s="1">
        <f t="shared" si="0"/>
        <v>10</v>
      </c>
      <c r="D48" s="1">
        <f>COUNTIF(Transactions[CustomerID],"="&amp;A48)</f>
        <v>1</v>
      </c>
      <c r="E48" s="9">
        <f>IF(_xlfn.MAXIFS(Transactions[Transaction Amount], Transactions[CustomerID],A48)/'Customer Profiles'!$M$10&lt;=10,_xlfn.MAXIFS(Transactions[Transaction Amount], Transactions[CustomerID],A48)/'Customer Profiles'!$M$10,10)</f>
        <v>0.68120077061405571</v>
      </c>
      <c r="F48" s="1">
        <f t="shared" si="1"/>
        <v>10</v>
      </c>
      <c r="G48" s="1">
        <f t="shared" si="2"/>
        <v>0.2</v>
      </c>
      <c r="H48" s="1">
        <f t="shared" si="3"/>
        <v>1</v>
      </c>
    </row>
    <row r="49" spans="1:8">
      <c r="A49" s="1">
        <v>391</v>
      </c>
      <c r="B49" s="8">
        <f>_xlfn.MAXIFS(Transactions[Transaction Date], Transactions[CustomerID],A49)</f>
        <v>43470</v>
      </c>
      <c r="C49" s="1">
        <f t="shared" si="0"/>
        <v>1</v>
      </c>
      <c r="D49" s="1">
        <f>COUNTIF(Transactions[CustomerID],"="&amp;A49)</f>
        <v>7</v>
      </c>
      <c r="E49" s="9">
        <f>IF(_xlfn.MAXIFS(Transactions[Transaction Amount], Transactions[CustomerID],A49)/'Customer Profiles'!$M$10&lt;=10,_xlfn.MAXIFS(Transactions[Transaction Amount], Transactions[CustomerID],A49)/'Customer Profiles'!$M$10,10)</f>
        <v>0.92076658313855175</v>
      </c>
      <c r="F49" s="1">
        <f t="shared" si="1"/>
        <v>1</v>
      </c>
      <c r="G49" s="1">
        <f t="shared" si="2"/>
        <v>1.4</v>
      </c>
      <c r="H49" s="1">
        <f t="shared" si="3"/>
        <v>1</v>
      </c>
    </row>
    <row r="50" spans="1:8">
      <c r="A50" s="1">
        <v>548</v>
      </c>
      <c r="B50" s="8">
        <f>_xlfn.MAXIFS(Transactions[Transaction Date], Transactions[CustomerID],A50)</f>
        <v>43463</v>
      </c>
      <c r="C50" s="1">
        <f t="shared" si="0"/>
        <v>2</v>
      </c>
      <c r="D50" s="1">
        <f>COUNTIF(Transactions[CustomerID],"="&amp;A50)</f>
        <v>23</v>
      </c>
      <c r="E50" s="9">
        <f>IF(_xlfn.MAXIFS(Transactions[Transaction Amount], Transactions[CustomerID],A50)/'Customer Profiles'!$M$10&lt;=10,_xlfn.MAXIFS(Transactions[Transaction Amount], Transactions[CustomerID],A50)/'Customer Profiles'!$M$10,10)</f>
        <v>2.5796635506569658</v>
      </c>
      <c r="F50" s="1">
        <f t="shared" si="1"/>
        <v>2</v>
      </c>
      <c r="G50" s="1">
        <f t="shared" si="2"/>
        <v>4.5999999999999996</v>
      </c>
      <c r="H50" s="1">
        <f t="shared" si="3"/>
        <v>1.71</v>
      </c>
    </row>
    <row r="51" spans="1:8">
      <c r="A51" s="1">
        <v>145</v>
      </c>
      <c r="B51" s="8">
        <f>_xlfn.MAXIFS(Transactions[Transaction Date], Transactions[CustomerID],A51)</f>
        <v>43424</v>
      </c>
      <c r="C51" s="1">
        <f t="shared" si="0"/>
        <v>3</v>
      </c>
      <c r="D51" s="1">
        <f>COUNTIF(Transactions[CustomerID],"="&amp;A51)</f>
        <v>24</v>
      </c>
      <c r="E51" s="9">
        <f>IF(_xlfn.MAXIFS(Transactions[Transaction Amount], Transactions[CustomerID],A51)/'Customer Profiles'!$M$10&lt;=10,_xlfn.MAXIFS(Transactions[Transaction Amount], Transactions[CustomerID],A51)/'Customer Profiles'!$M$10,10)</f>
        <v>3.8527845844606268</v>
      </c>
      <c r="F51" s="1">
        <f t="shared" si="1"/>
        <v>3</v>
      </c>
      <c r="G51" s="1">
        <f t="shared" si="2"/>
        <v>4.8</v>
      </c>
      <c r="H51" s="1">
        <f t="shared" si="3"/>
        <v>1.87</v>
      </c>
    </row>
    <row r="52" spans="1:8">
      <c r="A52" s="1">
        <v>335</v>
      </c>
      <c r="B52" s="8">
        <f>_xlfn.MAXIFS(Transactions[Transaction Date], Transactions[CustomerID],A52)</f>
        <v>43214</v>
      </c>
      <c r="C52" s="1">
        <f t="shared" si="0"/>
        <v>10</v>
      </c>
      <c r="D52" s="1">
        <f>COUNTIF(Transactions[CustomerID],"="&amp;A52)</f>
        <v>2</v>
      </c>
      <c r="E52" s="9">
        <f>IF(_xlfn.MAXIFS(Transactions[Transaction Amount], Transactions[CustomerID],A52)/'Customer Profiles'!$M$10&lt;=10,_xlfn.MAXIFS(Transactions[Transaction Amount], Transactions[CustomerID],A52)/'Customer Profiles'!$M$10,10)</f>
        <v>0.83367637361534752</v>
      </c>
      <c r="F52" s="1">
        <f t="shared" si="1"/>
        <v>10</v>
      </c>
      <c r="G52" s="1">
        <f t="shared" si="2"/>
        <v>0.4</v>
      </c>
      <c r="H52" s="1">
        <f t="shared" si="3"/>
        <v>1</v>
      </c>
    </row>
    <row r="53" spans="1:8">
      <c r="A53" s="1">
        <v>78</v>
      </c>
      <c r="B53" s="8">
        <f>_xlfn.MAXIFS(Transactions[Transaction Date], Transactions[CustomerID],A53)</f>
        <v>43273</v>
      </c>
      <c r="C53" s="1">
        <f t="shared" si="0"/>
        <v>8</v>
      </c>
      <c r="D53" s="1">
        <f>COUNTIF(Transactions[CustomerID],"="&amp;A53)</f>
        <v>6</v>
      </c>
      <c r="E53" s="9">
        <f>IF(_xlfn.MAXIFS(Transactions[Transaction Amount], Transactions[CustomerID],A53)/'Customer Profiles'!$M$10&lt;=10,_xlfn.MAXIFS(Transactions[Transaction Amount], Transactions[CustomerID],A53)/'Customer Profiles'!$M$10,10)</f>
        <v>1.9767699220079382</v>
      </c>
      <c r="F53" s="1">
        <f t="shared" si="1"/>
        <v>8</v>
      </c>
      <c r="G53" s="1">
        <f t="shared" si="2"/>
        <v>1.2</v>
      </c>
      <c r="H53" s="1">
        <f t="shared" si="3"/>
        <v>1</v>
      </c>
    </row>
    <row r="54" spans="1:8">
      <c r="A54" s="1">
        <v>326</v>
      </c>
      <c r="B54" s="8">
        <f>_xlfn.MAXIFS(Transactions[Transaction Date], Transactions[CustomerID],A54)</f>
        <v>43488</v>
      </c>
      <c r="C54" s="1">
        <f t="shared" si="0"/>
        <v>1</v>
      </c>
      <c r="D54" s="1">
        <f>COUNTIF(Transactions[CustomerID],"="&amp;A54)</f>
        <v>16</v>
      </c>
      <c r="E54" s="9">
        <f>IF(_xlfn.MAXIFS(Transactions[Transaction Amount], Transactions[CustomerID],A54)/'Customer Profiles'!$M$10&lt;=10,_xlfn.MAXIFS(Transactions[Transaction Amount], Transactions[CustomerID],A54)/'Customer Profiles'!$M$10,10)</f>
        <v>3.4931193416436406</v>
      </c>
      <c r="F54" s="1">
        <f t="shared" si="1"/>
        <v>1</v>
      </c>
      <c r="G54" s="1">
        <f t="shared" si="2"/>
        <v>3.2</v>
      </c>
      <c r="H54" s="1">
        <f t="shared" si="3"/>
        <v>1.88</v>
      </c>
    </row>
    <row r="55" spans="1:8">
      <c r="A55" s="1">
        <v>88</v>
      </c>
      <c r="B55" s="8">
        <f>_xlfn.MAXIFS(Transactions[Transaction Date], Transactions[CustomerID],A55)</f>
        <v>43491</v>
      </c>
      <c r="C55" s="1">
        <f t="shared" si="0"/>
        <v>1</v>
      </c>
      <c r="D55" s="1">
        <f>COUNTIF(Transactions[CustomerID],"="&amp;A55)</f>
        <v>31</v>
      </c>
      <c r="E55" s="9">
        <f>IF(_xlfn.MAXIFS(Transactions[Transaction Amount], Transactions[CustomerID],A55)/'Customer Profiles'!$M$10&lt;=10,_xlfn.MAXIFS(Transactions[Transaction Amount], Transactions[CustomerID],A55)/'Customer Profiles'!$M$10,10)</f>
        <v>3.9405435868393321</v>
      </c>
      <c r="F55" s="1">
        <f t="shared" si="1"/>
        <v>1</v>
      </c>
      <c r="G55" s="1">
        <f t="shared" si="2"/>
        <v>6.2</v>
      </c>
      <c r="H55" s="1">
        <f t="shared" si="3"/>
        <v>3.02</v>
      </c>
    </row>
    <row r="56" spans="1:8">
      <c r="A56" s="1">
        <v>376</v>
      </c>
      <c r="B56" s="8">
        <f>_xlfn.MAXIFS(Transactions[Transaction Date], Transactions[CustomerID],A56)</f>
        <v>43305</v>
      </c>
      <c r="C56" s="1">
        <f t="shared" si="0"/>
        <v>7</v>
      </c>
      <c r="D56" s="1">
        <f>COUNTIF(Transactions[CustomerID],"="&amp;A56)</f>
        <v>2</v>
      </c>
      <c r="E56" s="9">
        <f>IF(_xlfn.MAXIFS(Transactions[Transaction Amount], Transactions[CustomerID],A56)/'Customer Profiles'!$M$10&lt;=10,_xlfn.MAXIFS(Transactions[Transaction Amount], Transactions[CustomerID],A56)/'Customer Profiles'!$M$10,10)</f>
        <v>0.2705526545797311</v>
      </c>
      <c r="F56" s="1">
        <f t="shared" si="1"/>
        <v>7</v>
      </c>
      <c r="G56" s="1">
        <f t="shared" si="2"/>
        <v>0.4</v>
      </c>
      <c r="H56" s="1">
        <f t="shared" si="3"/>
        <v>1</v>
      </c>
    </row>
    <row r="57" spans="1:8">
      <c r="A57" s="1">
        <v>263</v>
      </c>
      <c r="B57" s="8">
        <f>_xlfn.MAXIFS(Transactions[Transaction Date], Transactions[CustomerID],A57)</f>
        <v>43474</v>
      </c>
      <c r="C57" s="1">
        <f t="shared" si="0"/>
        <v>1</v>
      </c>
      <c r="D57" s="1">
        <f>COUNTIF(Transactions[CustomerID],"="&amp;A57)</f>
        <v>24</v>
      </c>
      <c r="E57" s="9">
        <f>IF(_xlfn.MAXIFS(Transactions[Transaction Amount], Transactions[CustomerID],A57)/'Customer Profiles'!$M$10&lt;=10,_xlfn.MAXIFS(Transactions[Transaction Amount], Transactions[CustomerID],A57)/'Customer Profiles'!$M$10,10)</f>
        <v>2.9526885016741731</v>
      </c>
      <c r="F57" s="1">
        <f t="shared" si="1"/>
        <v>1</v>
      </c>
      <c r="G57" s="1">
        <f t="shared" si="2"/>
        <v>4.8</v>
      </c>
      <c r="H57" s="1">
        <f t="shared" si="3"/>
        <v>2.23</v>
      </c>
    </row>
    <row r="58" spans="1:8">
      <c r="A58" s="1">
        <v>420</v>
      </c>
      <c r="B58" s="8">
        <f>_xlfn.MAXIFS(Transactions[Transaction Date], Transactions[CustomerID],A58)</f>
        <v>43485</v>
      </c>
      <c r="C58" s="1">
        <f t="shared" si="0"/>
        <v>1</v>
      </c>
      <c r="D58" s="1">
        <f>COUNTIF(Transactions[CustomerID],"="&amp;A58)</f>
        <v>25</v>
      </c>
      <c r="E58" s="9">
        <f>IF(_xlfn.MAXIFS(Transactions[Transaction Amount], Transactions[CustomerID],A58)/'Customer Profiles'!$M$10&lt;=10,_xlfn.MAXIFS(Transactions[Transaction Amount], Transactions[CustomerID],A58)/'Customer Profiles'!$M$10,10)</f>
        <v>9.8176839105240337</v>
      </c>
      <c r="F58" s="1">
        <f t="shared" si="1"/>
        <v>1</v>
      </c>
      <c r="G58" s="1">
        <f t="shared" si="2"/>
        <v>5</v>
      </c>
      <c r="H58" s="1">
        <f t="shared" si="3"/>
        <v>4.5599999999999996</v>
      </c>
    </row>
    <row r="59" spans="1:8">
      <c r="A59" s="1">
        <v>234</v>
      </c>
      <c r="B59" s="8">
        <f>_xlfn.MAXIFS(Transactions[Transaction Date], Transactions[CustomerID],A59)</f>
        <v>43213</v>
      </c>
      <c r="C59" s="1">
        <f t="shared" si="0"/>
        <v>10</v>
      </c>
      <c r="D59" s="1">
        <f>COUNTIF(Transactions[CustomerID],"="&amp;A59)</f>
        <v>3</v>
      </c>
      <c r="E59" s="9">
        <f>IF(_xlfn.MAXIFS(Transactions[Transaction Amount], Transactions[CustomerID],A59)/'Customer Profiles'!$M$10&lt;=10,_xlfn.MAXIFS(Transactions[Transaction Amount], Transactions[CustomerID],A59)/'Customer Profiles'!$M$10,10)</f>
        <v>1.04655921301423</v>
      </c>
      <c r="F59" s="1">
        <f t="shared" si="1"/>
        <v>10</v>
      </c>
      <c r="G59" s="1">
        <f t="shared" si="2"/>
        <v>0.6</v>
      </c>
      <c r="H59" s="1">
        <f t="shared" si="3"/>
        <v>1</v>
      </c>
    </row>
    <row r="60" spans="1:8">
      <c r="A60" s="1">
        <v>365</v>
      </c>
      <c r="B60" s="8">
        <f>_xlfn.MAXIFS(Transactions[Transaction Date], Transactions[CustomerID],A60)</f>
        <v>43461</v>
      </c>
      <c r="C60" s="1">
        <f t="shared" si="0"/>
        <v>2</v>
      </c>
      <c r="D60" s="1">
        <f>COUNTIF(Transactions[CustomerID],"="&amp;A60)</f>
        <v>5</v>
      </c>
      <c r="E60" s="9">
        <f>IF(_xlfn.MAXIFS(Transactions[Transaction Amount], Transactions[CustomerID],A60)/'Customer Profiles'!$M$10&lt;=10,_xlfn.MAXIFS(Transactions[Transaction Amount], Transactions[CustomerID],A60)/'Customer Profiles'!$M$10,10)</f>
        <v>1.4174002326065145</v>
      </c>
      <c r="F60" s="1">
        <f t="shared" si="1"/>
        <v>2</v>
      </c>
      <c r="G60" s="1">
        <f t="shared" si="2"/>
        <v>1</v>
      </c>
      <c r="H60" s="1">
        <f t="shared" si="3"/>
        <v>1</v>
      </c>
    </row>
    <row r="61" spans="1:8">
      <c r="A61" s="1">
        <v>163</v>
      </c>
      <c r="B61" s="8">
        <f>_xlfn.MAXIFS(Transactions[Transaction Date], Transactions[CustomerID],A61)</f>
        <v>43275</v>
      </c>
      <c r="C61" s="1">
        <f t="shared" si="0"/>
        <v>8</v>
      </c>
      <c r="D61" s="1">
        <f>COUNTIF(Transactions[CustomerID],"="&amp;A61)</f>
        <v>8</v>
      </c>
      <c r="E61" s="9">
        <f>IF(_xlfn.MAXIFS(Transactions[Transaction Amount], Transactions[CustomerID],A61)/'Customer Profiles'!$M$10&lt;=10,_xlfn.MAXIFS(Transactions[Transaction Amount], Transactions[CustomerID],A61)/'Customer Profiles'!$M$10,10)</f>
        <v>3.0484469047510645</v>
      </c>
      <c r="F61" s="1">
        <f t="shared" si="1"/>
        <v>8</v>
      </c>
      <c r="G61" s="1">
        <f t="shared" si="2"/>
        <v>1.6</v>
      </c>
      <c r="H61" s="1">
        <f t="shared" si="3"/>
        <v>1</v>
      </c>
    </row>
    <row r="62" spans="1:8">
      <c r="A62" s="1">
        <v>273</v>
      </c>
      <c r="B62" s="8">
        <f>_xlfn.MAXIFS(Transactions[Transaction Date], Transactions[CustomerID],A62)</f>
        <v>43491</v>
      </c>
      <c r="C62" s="1">
        <f t="shared" si="0"/>
        <v>1</v>
      </c>
      <c r="D62" s="1">
        <f>COUNTIF(Transactions[CustomerID],"="&amp;A62)</f>
        <v>9</v>
      </c>
      <c r="E62" s="9">
        <f>IF(_xlfn.MAXIFS(Transactions[Transaction Amount], Transactions[CustomerID],A62)/'Customer Profiles'!$M$10&lt;=10,_xlfn.MAXIFS(Transactions[Transaction Amount], Transactions[CustomerID],A62)/'Customer Profiles'!$M$10,10)</f>
        <v>1.9150418524964079</v>
      </c>
      <c r="F62" s="1">
        <f t="shared" si="1"/>
        <v>1</v>
      </c>
      <c r="G62" s="1">
        <f t="shared" si="2"/>
        <v>1.8</v>
      </c>
      <c r="H62" s="1">
        <f t="shared" si="3"/>
        <v>1</v>
      </c>
    </row>
    <row r="63" spans="1:8">
      <c r="A63" s="1">
        <v>64</v>
      </c>
      <c r="B63" s="8">
        <f>_xlfn.MAXIFS(Transactions[Transaction Date], Transactions[CustomerID],A63)</f>
        <v>43230</v>
      </c>
      <c r="C63" s="1">
        <f t="shared" si="0"/>
        <v>9</v>
      </c>
      <c r="D63" s="1">
        <f>COUNTIF(Transactions[CustomerID],"="&amp;A63)</f>
        <v>3</v>
      </c>
      <c r="E63" s="9">
        <f>IF(_xlfn.MAXIFS(Transactions[Transaction Amount], Transactions[CustomerID],A63)/'Customer Profiles'!$M$10&lt;=10,_xlfn.MAXIFS(Transactions[Transaction Amount], Transactions[CustomerID],A63)/'Customer Profiles'!$M$10,10)</f>
        <v>3.1420783687376912</v>
      </c>
      <c r="F63" s="1">
        <f t="shared" si="1"/>
        <v>9</v>
      </c>
      <c r="G63" s="1">
        <f t="shared" si="2"/>
        <v>0.6</v>
      </c>
      <c r="H63" s="1">
        <f t="shared" si="3"/>
        <v>1</v>
      </c>
    </row>
    <row r="64" spans="1:8">
      <c r="A64" s="1">
        <v>61</v>
      </c>
      <c r="B64" s="8">
        <f>_xlfn.MAXIFS(Transactions[Transaction Date], Transactions[CustomerID],A64)</f>
        <v>43275</v>
      </c>
      <c r="C64" s="1">
        <f t="shared" si="0"/>
        <v>8</v>
      </c>
      <c r="D64" s="1">
        <f>COUNTIF(Transactions[CustomerID],"="&amp;A64)</f>
        <v>4</v>
      </c>
      <c r="E64" s="9">
        <f>IF(_xlfn.MAXIFS(Transactions[Transaction Amount], Transactions[CustomerID],A64)/'Customer Profiles'!$M$10&lt;=10,_xlfn.MAXIFS(Transactions[Transaction Amount], Transactions[CustomerID],A64)/'Customer Profiles'!$M$10,10)</f>
        <v>1.3948068480483873</v>
      </c>
      <c r="F64" s="1">
        <f t="shared" si="1"/>
        <v>8</v>
      </c>
      <c r="G64" s="1">
        <f t="shared" si="2"/>
        <v>0.8</v>
      </c>
      <c r="H64" s="1">
        <f t="shared" si="3"/>
        <v>1</v>
      </c>
    </row>
    <row r="65" spans="1:8">
      <c r="A65" s="1">
        <v>75</v>
      </c>
      <c r="B65" s="8">
        <f>_xlfn.MAXIFS(Transactions[Transaction Date], Transactions[CustomerID],A65)</f>
        <v>43166</v>
      </c>
      <c r="C65" s="1">
        <f t="shared" si="0"/>
        <v>11</v>
      </c>
      <c r="D65" s="1">
        <f>COUNTIF(Transactions[CustomerID],"="&amp;A65)</f>
        <v>3</v>
      </c>
      <c r="E65" s="9">
        <f>IF(_xlfn.MAXIFS(Transactions[Transaction Amount], Transactions[CustomerID],A65)/'Customer Profiles'!$M$10&lt;=10,_xlfn.MAXIFS(Transactions[Transaction Amount], Transactions[CustomerID],A65)/'Customer Profiles'!$M$10,10)</f>
        <v>0.40010452761542858</v>
      </c>
      <c r="F65" s="1">
        <f t="shared" si="1"/>
        <v>10</v>
      </c>
      <c r="G65" s="1">
        <f t="shared" si="2"/>
        <v>0.6</v>
      </c>
      <c r="H65" s="1">
        <f t="shared" si="3"/>
        <v>1</v>
      </c>
    </row>
    <row r="66" spans="1:8">
      <c r="A66" s="1">
        <v>348</v>
      </c>
      <c r="B66" s="8">
        <f>_xlfn.MAXIFS(Transactions[Transaction Date], Transactions[CustomerID],A66)</f>
        <v>43468</v>
      </c>
      <c r="C66" s="1">
        <f t="shared" si="0"/>
        <v>1</v>
      </c>
      <c r="D66" s="1">
        <f>COUNTIF(Transactions[CustomerID],"="&amp;A66)</f>
        <v>32</v>
      </c>
      <c r="E66" s="9">
        <f>IF(_xlfn.MAXIFS(Transactions[Transaction Amount], Transactions[CustomerID],A66)/'Customer Profiles'!$M$10&lt;=10,_xlfn.MAXIFS(Transactions[Transaction Amount], Transactions[CustomerID],A66)/'Customer Profiles'!$M$10,10)</f>
        <v>3.8121620957972828</v>
      </c>
      <c r="F66" s="1">
        <f t="shared" si="1"/>
        <v>1</v>
      </c>
      <c r="G66" s="1">
        <f t="shared" si="2"/>
        <v>6.4</v>
      </c>
      <c r="H66" s="1">
        <f t="shared" si="3"/>
        <v>3.04</v>
      </c>
    </row>
    <row r="67" spans="1:8">
      <c r="A67" s="1">
        <v>126</v>
      </c>
      <c r="B67" s="8">
        <f>_xlfn.MAXIFS(Transactions[Transaction Date], Transactions[CustomerID],A67)</f>
        <v>43419</v>
      </c>
      <c r="C67" s="1">
        <f t="shared" si="0"/>
        <v>3</v>
      </c>
      <c r="D67" s="1">
        <f>COUNTIF(Transactions[CustomerID],"="&amp;A67)</f>
        <v>16</v>
      </c>
      <c r="E67" s="9">
        <f>IF(_xlfn.MAXIFS(Transactions[Transaction Amount], Transactions[CustomerID],A67)/'Customer Profiles'!$M$10&lt;=10,_xlfn.MAXIFS(Transactions[Transaction Amount], Transactions[CustomerID],A67)/'Customer Profiles'!$M$10,10)</f>
        <v>7.1903097498014912</v>
      </c>
      <c r="F67" s="1">
        <f t="shared" si="1"/>
        <v>3</v>
      </c>
      <c r="G67" s="1">
        <f t="shared" si="2"/>
        <v>3.2</v>
      </c>
      <c r="H67" s="1">
        <f t="shared" si="3"/>
        <v>2.44</v>
      </c>
    </row>
    <row r="68" spans="1:8">
      <c r="A68" s="1">
        <v>474</v>
      </c>
      <c r="B68" s="8">
        <f>_xlfn.MAXIFS(Transactions[Transaction Date], Transactions[CustomerID],A68)</f>
        <v>43399</v>
      </c>
      <c r="C68" s="1">
        <f t="shared" si="0"/>
        <v>4</v>
      </c>
      <c r="D68" s="1">
        <f>COUNTIF(Transactions[CustomerID],"="&amp;A68)</f>
        <v>8</v>
      </c>
      <c r="E68" s="9">
        <f>IF(_xlfn.MAXIFS(Transactions[Transaction Amount], Transactions[CustomerID],A68)/'Customer Profiles'!$M$10&lt;=10,_xlfn.MAXIFS(Transactions[Transaction Amount], Transactions[CustomerID],A68)/'Customer Profiles'!$M$10,10)</f>
        <v>2.6090153352709726</v>
      </c>
      <c r="F68" s="1">
        <f t="shared" si="1"/>
        <v>4</v>
      </c>
      <c r="G68" s="1">
        <f t="shared" si="2"/>
        <v>1.6</v>
      </c>
      <c r="H68" s="1">
        <f t="shared" si="3"/>
        <v>1</v>
      </c>
    </row>
    <row r="69" spans="1:8">
      <c r="A69" s="1">
        <v>396</v>
      </c>
      <c r="B69" s="8">
        <f>_xlfn.MAXIFS(Transactions[Transaction Date], Transactions[CustomerID],A69)</f>
        <v>42987</v>
      </c>
      <c r="C69" s="1">
        <f t="shared" si="0"/>
        <v>5</v>
      </c>
      <c r="D69" s="1">
        <f>COUNTIF(Transactions[CustomerID],"="&amp;A69)</f>
        <v>1</v>
      </c>
      <c r="E69" s="9">
        <f>IF(_xlfn.MAXIFS(Transactions[Transaction Amount], Transactions[CustomerID],A69)/'Customer Profiles'!$M$10&lt;=10,_xlfn.MAXIFS(Transactions[Transaction Amount], Transactions[CustomerID],A69)/'Customer Profiles'!$M$10,10)</f>
        <v>7.4431884835716958E-2</v>
      </c>
      <c r="F69" s="1">
        <f t="shared" si="1"/>
        <v>5</v>
      </c>
      <c r="G69" s="1">
        <f t="shared" si="2"/>
        <v>0.2</v>
      </c>
      <c r="H69" s="1">
        <f t="shared" si="3"/>
        <v>1</v>
      </c>
    </row>
    <row r="70" spans="1:8">
      <c r="A70" s="1">
        <v>598</v>
      </c>
      <c r="B70" s="8">
        <f>_xlfn.MAXIFS(Transactions[Transaction Date], Transactions[CustomerID],A70)</f>
        <v>43266</v>
      </c>
      <c r="C70" s="1">
        <f t="shared" ref="C70:C133" si="4">(MAX(DATEDIF(B70,"03/01/2019","ym"),1))</f>
        <v>8</v>
      </c>
      <c r="D70" s="1">
        <f>COUNTIF(Transactions[CustomerID],"="&amp;A70)</f>
        <v>2</v>
      </c>
      <c r="E70" s="9">
        <f>IF(_xlfn.MAXIFS(Transactions[Transaction Amount], Transactions[CustomerID],A70)/'Customer Profiles'!$M$10&lt;=10,_xlfn.MAXIFS(Transactions[Transaction Amount], Transactions[CustomerID],A70)/'Customer Profiles'!$M$10,10)</f>
        <v>1.4054363103956857</v>
      </c>
      <c r="F70" s="1">
        <f t="shared" ref="F70:F133" si="5">IF(ROUND(C70,2)&lt;=10,ROUND(C70,2),10)</f>
        <v>8</v>
      </c>
      <c r="G70" s="1">
        <f t="shared" ref="G70:G133" si="6">IF(ROUND(D70/$M$6,2)&lt;=10,ROUND(D70/$M$6,2),10)</f>
        <v>0.4</v>
      </c>
      <c r="H70" s="1">
        <f t="shared" ref="H70:H133" si="7">IF(ROUND(E70*$K$8+F70*$K$6+G70*$K$7,2)&lt;1,1,ROUND(E70*$K$8+F70*$K$6+G70*$K$7,2))</f>
        <v>1</v>
      </c>
    </row>
    <row r="71" spans="1:8">
      <c r="A71" s="1">
        <v>585</v>
      </c>
      <c r="B71" s="8">
        <f>_xlfn.MAXIFS(Transactions[Transaction Date], Transactions[CustomerID],A71)</f>
        <v>43463</v>
      </c>
      <c r="C71" s="1">
        <f t="shared" si="4"/>
        <v>2</v>
      </c>
      <c r="D71" s="1">
        <f>COUNTIF(Transactions[CustomerID],"="&amp;A71)</f>
        <v>9</v>
      </c>
      <c r="E71" s="9">
        <f>IF(_xlfn.MAXIFS(Transactions[Transaction Amount], Transactions[CustomerID],A71)/'Customer Profiles'!$M$10&lt;=10,_xlfn.MAXIFS(Transactions[Transaction Amount], Transactions[CustomerID],A71)/'Customer Profiles'!$M$10,10)</f>
        <v>1.8674643930755612</v>
      </c>
      <c r="F71" s="1">
        <f t="shared" si="5"/>
        <v>2</v>
      </c>
      <c r="G71" s="1">
        <f t="shared" si="6"/>
        <v>1.8</v>
      </c>
      <c r="H71" s="1">
        <f t="shared" si="7"/>
        <v>1</v>
      </c>
    </row>
    <row r="72" spans="1:8">
      <c r="A72" s="1">
        <v>116</v>
      </c>
      <c r="B72" s="8">
        <f>_xlfn.MAXIFS(Transactions[Transaction Date], Transactions[CustomerID],A72)</f>
        <v>43211</v>
      </c>
      <c r="C72" s="1">
        <f t="shared" si="4"/>
        <v>10</v>
      </c>
      <c r="D72" s="1">
        <f>COUNTIF(Transactions[CustomerID],"="&amp;A72)</f>
        <v>6</v>
      </c>
      <c r="E72" s="9">
        <f>IF(_xlfn.MAXIFS(Transactions[Transaction Amount], Transactions[CustomerID],A72)/'Customer Profiles'!$M$10&lt;=10,_xlfn.MAXIFS(Transactions[Transaction Amount], Transactions[CustomerID],A72)/'Customer Profiles'!$M$10,10)</f>
        <v>4.2142185043251477</v>
      </c>
      <c r="F72" s="1">
        <f t="shared" si="5"/>
        <v>10</v>
      </c>
      <c r="G72" s="1">
        <f t="shared" si="6"/>
        <v>1.2</v>
      </c>
      <c r="H72" s="1">
        <f t="shared" si="7"/>
        <v>1</v>
      </c>
    </row>
    <row r="73" spans="1:8">
      <c r="A73" s="1">
        <v>545</v>
      </c>
      <c r="B73" s="8">
        <f>_xlfn.MAXIFS(Transactions[Transaction Date], Transactions[CustomerID],A73)</f>
        <v>43418</v>
      </c>
      <c r="C73" s="1">
        <f t="shared" si="4"/>
        <v>3</v>
      </c>
      <c r="D73" s="1">
        <f>COUNTIF(Transactions[CustomerID],"="&amp;A73)</f>
        <v>1</v>
      </c>
      <c r="E73" s="9">
        <f>IF(_xlfn.MAXIFS(Transactions[Transaction Amount], Transactions[CustomerID],A73)/'Customer Profiles'!$M$10&lt;=10,_xlfn.MAXIFS(Transactions[Transaction Amount], Transactions[CustomerID],A73)/'Customer Profiles'!$M$10,10)</f>
        <v>0.12442703453833354</v>
      </c>
      <c r="F73" s="1">
        <f t="shared" si="5"/>
        <v>3</v>
      </c>
      <c r="G73" s="1">
        <f t="shared" si="6"/>
        <v>0.2</v>
      </c>
      <c r="H73" s="1">
        <f t="shared" si="7"/>
        <v>1</v>
      </c>
    </row>
    <row r="74" spans="1:8">
      <c r="A74" s="1">
        <v>197</v>
      </c>
      <c r="B74" s="8">
        <f>_xlfn.MAXIFS(Transactions[Transaction Date], Transactions[CustomerID],A74)</f>
        <v>43488</v>
      </c>
      <c r="C74" s="1">
        <f t="shared" si="4"/>
        <v>1</v>
      </c>
      <c r="D74" s="1">
        <f>COUNTIF(Transactions[CustomerID],"="&amp;A74)</f>
        <v>24</v>
      </c>
      <c r="E74" s="9">
        <f>IF(_xlfn.MAXIFS(Transactions[Transaction Amount], Transactions[CustomerID],A74)/'Customer Profiles'!$M$10&lt;=10,_xlfn.MAXIFS(Transactions[Transaction Amount], Transactions[CustomerID],A74)/'Customer Profiles'!$M$10,10)</f>
        <v>3.4316142704929598</v>
      </c>
      <c r="F74" s="1">
        <f t="shared" si="5"/>
        <v>1</v>
      </c>
      <c r="G74" s="1">
        <f t="shared" si="6"/>
        <v>4.8</v>
      </c>
      <c r="H74" s="1">
        <f t="shared" si="7"/>
        <v>2.39</v>
      </c>
    </row>
    <row r="75" spans="1:8">
      <c r="A75" s="1">
        <v>431</v>
      </c>
      <c r="B75" s="8">
        <f>_xlfn.MAXIFS(Transactions[Transaction Date], Transactions[CustomerID],A75)</f>
        <v>43415</v>
      </c>
      <c r="C75" s="1">
        <f t="shared" si="4"/>
        <v>3</v>
      </c>
      <c r="D75" s="1">
        <f>COUNTIF(Transactions[CustomerID],"="&amp;A75)</f>
        <v>23</v>
      </c>
      <c r="E75" s="9">
        <f>IF(_xlfn.MAXIFS(Transactions[Transaction Amount], Transactions[CustomerID],A75)/'Customer Profiles'!$M$10&lt;=10,_xlfn.MAXIFS(Transactions[Transaction Amount], Transactions[CustomerID],A75)/'Customer Profiles'!$M$10,10)</f>
        <v>6.6347138957456471</v>
      </c>
      <c r="F75" s="1">
        <f t="shared" si="5"/>
        <v>3</v>
      </c>
      <c r="G75" s="1">
        <f t="shared" si="6"/>
        <v>4.5999999999999996</v>
      </c>
      <c r="H75" s="1">
        <f t="shared" si="7"/>
        <v>2.72</v>
      </c>
    </row>
    <row r="76" spans="1:8">
      <c r="A76" s="1">
        <v>512</v>
      </c>
      <c r="B76" s="8">
        <f>_xlfn.MAXIFS(Transactions[Transaction Date], Transactions[CustomerID],A76)</f>
        <v>43451</v>
      </c>
      <c r="C76" s="1">
        <f t="shared" si="4"/>
        <v>2</v>
      </c>
      <c r="D76" s="1">
        <f>COUNTIF(Transactions[CustomerID],"="&amp;A76)</f>
        <v>10</v>
      </c>
      <c r="E76" s="9">
        <f>IF(_xlfn.MAXIFS(Transactions[Transaction Amount], Transactions[CustomerID],A76)/'Customer Profiles'!$M$10&lt;=10,_xlfn.MAXIFS(Transactions[Transaction Amount], Transactions[CustomerID],A76)/'Customer Profiles'!$M$10,10)</f>
        <v>3.0378168246514132</v>
      </c>
      <c r="F76" s="1">
        <f t="shared" si="5"/>
        <v>2</v>
      </c>
      <c r="G76" s="1">
        <f t="shared" si="6"/>
        <v>2</v>
      </c>
      <c r="H76" s="1">
        <f t="shared" si="7"/>
        <v>1</v>
      </c>
    </row>
    <row r="77" spans="1:8">
      <c r="A77" s="1">
        <v>383</v>
      </c>
      <c r="B77" s="8">
        <f>_xlfn.MAXIFS(Transactions[Transaction Date], Transactions[CustomerID],A77)</f>
        <v>43497</v>
      </c>
      <c r="C77" s="1">
        <f t="shared" si="4"/>
        <v>1</v>
      </c>
      <c r="D77" s="1">
        <f>COUNTIF(Transactions[CustomerID],"="&amp;A77)</f>
        <v>4</v>
      </c>
      <c r="E77" s="9">
        <f>IF(_xlfn.MAXIFS(Transactions[Transaction Amount], Transactions[CustomerID],A77)/'Customer Profiles'!$M$10&lt;=10,_xlfn.MAXIFS(Transactions[Transaction Amount], Transactions[CustomerID],A77)/'Customer Profiles'!$M$10,10)</f>
        <v>1.099400262558454</v>
      </c>
      <c r="F77" s="1">
        <f t="shared" si="5"/>
        <v>1</v>
      </c>
      <c r="G77" s="1">
        <f t="shared" si="6"/>
        <v>0.8</v>
      </c>
      <c r="H77" s="1">
        <f t="shared" si="7"/>
        <v>1</v>
      </c>
    </row>
    <row r="78" spans="1:8">
      <c r="A78" s="1">
        <v>162</v>
      </c>
      <c r="B78" s="8">
        <f>_xlfn.MAXIFS(Transactions[Transaction Date], Transactions[CustomerID],A78)</f>
        <v>43259</v>
      </c>
      <c r="C78" s="1">
        <f t="shared" si="4"/>
        <v>8</v>
      </c>
      <c r="D78" s="1">
        <f>COUNTIF(Transactions[CustomerID],"="&amp;A78)</f>
        <v>4</v>
      </c>
      <c r="E78" s="9">
        <f>IF(_xlfn.MAXIFS(Transactions[Transaction Amount], Transactions[CustomerID],A78)/'Customer Profiles'!$M$10&lt;=10,_xlfn.MAXIFS(Transactions[Transaction Amount], Transactions[CustomerID],A78)/'Customer Profiles'!$M$10,10)</f>
        <v>0.24964504012058558</v>
      </c>
      <c r="F78" s="1">
        <f t="shared" si="5"/>
        <v>8</v>
      </c>
      <c r="G78" s="1">
        <f t="shared" si="6"/>
        <v>0.8</v>
      </c>
      <c r="H78" s="1">
        <f t="shared" si="7"/>
        <v>1</v>
      </c>
    </row>
    <row r="79" spans="1:8">
      <c r="A79" s="1">
        <v>287</v>
      </c>
      <c r="B79" s="8">
        <f>_xlfn.MAXIFS(Transactions[Transaction Date], Transactions[CustomerID],A79)</f>
        <v>42928</v>
      </c>
      <c r="C79" s="1">
        <f t="shared" si="4"/>
        <v>7</v>
      </c>
      <c r="D79" s="1">
        <f>COUNTIF(Transactions[CustomerID],"="&amp;A79)</f>
        <v>1</v>
      </c>
      <c r="E79" s="9">
        <f>IF(_xlfn.MAXIFS(Transactions[Transaction Amount], Transactions[CustomerID],A79)/'Customer Profiles'!$M$10&lt;=10,_xlfn.MAXIFS(Transactions[Transaction Amount], Transactions[CustomerID],A79)/'Customer Profiles'!$M$10,10)</f>
        <v>2.0666365643850093</v>
      </c>
      <c r="F79" s="1">
        <f t="shared" si="5"/>
        <v>7</v>
      </c>
      <c r="G79" s="1">
        <f t="shared" si="6"/>
        <v>0.2</v>
      </c>
      <c r="H79" s="1">
        <f t="shared" si="7"/>
        <v>1</v>
      </c>
    </row>
    <row r="80" spans="1:8">
      <c r="A80" s="1">
        <v>551</v>
      </c>
      <c r="B80" s="8">
        <f>_xlfn.MAXIFS(Transactions[Transaction Date], Transactions[CustomerID],A80)</f>
        <v>43431</v>
      </c>
      <c r="C80" s="1">
        <f t="shared" si="4"/>
        <v>3</v>
      </c>
      <c r="D80" s="1">
        <f>COUNTIF(Transactions[CustomerID],"="&amp;A80)</f>
        <v>16</v>
      </c>
      <c r="E80" s="9">
        <f>IF(_xlfn.MAXIFS(Transactions[Transaction Amount], Transactions[CustomerID],A80)/'Customer Profiles'!$M$10&lt;=10,_xlfn.MAXIFS(Transactions[Transaction Amount], Transactions[CustomerID],A80)/'Customer Profiles'!$M$10,10)</f>
        <v>3.6296795342014314</v>
      </c>
      <c r="F80" s="1">
        <f t="shared" si="5"/>
        <v>3</v>
      </c>
      <c r="G80" s="1">
        <f t="shared" si="6"/>
        <v>3.2</v>
      </c>
      <c r="H80" s="1">
        <f t="shared" si="7"/>
        <v>1.26</v>
      </c>
    </row>
    <row r="81" spans="1:8">
      <c r="A81" s="1">
        <v>266</v>
      </c>
      <c r="B81" s="8">
        <f>_xlfn.MAXIFS(Transactions[Transaction Date], Transactions[CustomerID],A81)</f>
        <v>43427</v>
      </c>
      <c r="C81" s="1">
        <f t="shared" si="4"/>
        <v>3</v>
      </c>
      <c r="D81" s="1">
        <f>COUNTIF(Transactions[CustomerID],"="&amp;A81)</f>
        <v>3</v>
      </c>
      <c r="E81" s="9">
        <f>IF(_xlfn.MAXIFS(Transactions[Transaction Amount], Transactions[CustomerID],A81)/'Customer Profiles'!$M$10&lt;=10,_xlfn.MAXIFS(Transactions[Transaction Amount], Transactions[CustomerID],A81)/'Customer Profiles'!$M$10,10)</f>
        <v>0.97737200698041815</v>
      </c>
      <c r="F81" s="1">
        <f t="shared" si="5"/>
        <v>3</v>
      </c>
      <c r="G81" s="1">
        <f t="shared" si="6"/>
        <v>0.6</v>
      </c>
      <c r="H81" s="1">
        <f t="shared" si="7"/>
        <v>1</v>
      </c>
    </row>
    <row r="82" spans="1:8">
      <c r="A82" s="1">
        <v>12</v>
      </c>
      <c r="B82" s="8">
        <f>_xlfn.MAXIFS(Transactions[Transaction Date], Transactions[CustomerID],A82)</f>
        <v>43430</v>
      </c>
      <c r="C82" s="1">
        <f t="shared" si="4"/>
        <v>3</v>
      </c>
      <c r="D82" s="1">
        <f>COUNTIF(Transactions[CustomerID],"="&amp;A82)</f>
        <v>19</v>
      </c>
      <c r="E82" s="9">
        <f>IF(_xlfn.MAXIFS(Transactions[Transaction Amount], Transactions[CustomerID],A82)/'Customer Profiles'!$M$10&lt;=10,_xlfn.MAXIFS(Transactions[Transaction Amount], Transactions[CustomerID],A82)/'Customer Profiles'!$M$10,10)</f>
        <v>5.1780088632019821</v>
      </c>
      <c r="F82" s="1">
        <f t="shared" si="5"/>
        <v>3</v>
      </c>
      <c r="G82" s="1">
        <f t="shared" si="6"/>
        <v>3.8</v>
      </c>
      <c r="H82" s="1">
        <f t="shared" si="7"/>
        <v>1.97</v>
      </c>
    </row>
    <row r="83" spans="1:8">
      <c r="A83" s="1">
        <v>485</v>
      </c>
      <c r="B83" s="8">
        <f>_xlfn.MAXIFS(Transactions[Transaction Date], Transactions[CustomerID],A83)</f>
        <v>43431</v>
      </c>
      <c r="C83" s="1">
        <f t="shared" si="4"/>
        <v>3</v>
      </c>
      <c r="D83" s="1">
        <f>COUNTIF(Transactions[CustomerID],"="&amp;A83)</f>
        <v>7</v>
      </c>
      <c r="E83" s="9">
        <f>IF(_xlfn.MAXIFS(Transactions[Transaction Amount], Transactions[CustomerID],A83)/'Customer Profiles'!$M$10&lt;=10,_xlfn.MAXIFS(Transactions[Transaction Amount], Transactions[CustomerID],A83)/'Customer Profiles'!$M$10,10)</f>
        <v>1.3818257812037498</v>
      </c>
      <c r="F83" s="1">
        <f t="shared" si="5"/>
        <v>3</v>
      </c>
      <c r="G83" s="1">
        <f t="shared" si="6"/>
        <v>1.4</v>
      </c>
      <c r="H83" s="1">
        <f t="shared" si="7"/>
        <v>1</v>
      </c>
    </row>
    <row r="84" spans="1:8">
      <c r="A84" s="1">
        <v>448</v>
      </c>
      <c r="B84" s="8">
        <f>_xlfn.MAXIFS(Transactions[Transaction Date], Transactions[CustomerID],A84)</f>
        <v>43265</v>
      </c>
      <c r="C84" s="1">
        <f t="shared" si="4"/>
        <v>8</v>
      </c>
      <c r="D84" s="1">
        <f>COUNTIF(Transactions[CustomerID],"="&amp;A84)</f>
        <v>7</v>
      </c>
      <c r="E84" s="9">
        <f>IF(_xlfn.MAXIFS(Transactions[Transaction Amount], Transactions[CustomerID],A84)/'Customer Profiles'!$M$10&lt;=10,_xlfn.MAXIFS(Transactions[Transaction Amount], Transactions[CustomerID],A84)/'Customer Profiles'!$M$10,10)</f>
        <v>3.5603885966177331</v>
      </c>
      <c r="F84" s="1">
        <f t="shared" si="5"/>
        <v>8</v>
      </c>
      <c r="G84" s="1">
        <f t="shared" si="6"/>
        <v>1.4</v>
      </c>
      <c r="H84" s="1">
        <f t="shared" si="7"/>
        <v>1</v>
      </c>
    </row>
    <row r="85" spans="1:8">
      <c r="A85" s="1">
        <v>509</v>
      </c>
      <c r="B85" s="8">
        <f>_xlfn.MAXIFS(Transactions[Transaction Date], Transactions[CustomerID],A85)</f>
        <v>43492</v>
      </c>
      <c r="C85" s="1">
        <f t="shared" si="4"/>
        <v>1</v>
      </c>
      <c r="D85" s="1">
        <f>COUNTIF(Transactions[CustomerID],"="&amp;A85)</f>
        <v>23</v>
      </c>
      <c r="E85" s="9">
        <f>IF(_xlfn.MAXIFS(Transactions[Transaction Amount], Transactions[CustomerID],A85)/'Customer Profiles'!$M$10&lt;=10,_xlfn.MAXIFS(Transactions[Transaction Amount], Transactions[CustomerID],A85)/'Customer Profiles'!$M$10,10)</f>
        <v>3.8506829634921358</v>
      </c>
      <c r="F85" s="1">
        <f t="shared" si="5"/>
        <v>1</v>
      </c>
      <c r="G85" s="1">
        <f t="shared" si="6"/>
        <v>4.5999999999999996</v>
      </c>
      <c r="H85" s="1">
        <f t="shared" si="7"/>
        <v>2.46</v>
      </c>
    </row>
    <row r="86" spans="1:8">
      <c r="A86" s="1">
        <v>47</v>
      </c>
      <c r="B86" s="8">
        <f>_xlfn.MAXIFS(Transactions[Transaction Date], Transactions[CustomerID],A86)</f>
        <v>43448</v>
      </c>
      <c r="C86" s="1">
        <f t="shared" si="4"/>
        <v>2</v>
      </c>
      <c r="D86" s="1">
        <f>COUNTIF(Transactions[CustomerID],"="&amp;A86)</f>
        <v>17</v>
      </c>
      <c r="E86" s="9">
        <f>IF(_xlfn.MAXIFS(Transactions[Transaction Amount], Transactions[CustomerID],A86)/'Customer Profiles'!$M$10&lt;=10,_xlfn.MAXIFS(Transactions[Transaction Amount], Transactions[CustomerID],A86)/'Customer Profiles'!$M$10,10)</f>
        <v>1.3156939428991048</v>
      </c>
      <c r="F86" s="1">
        <f t="shared" si="5"/>
        <v>2</v>
      </c>
      <c r="G86" s="1">
        <f t="shared" si="6"/>
        <v>3.4</v>
      </c>
      <c r="H86" s="1">
        <f t="shared" si="7"/>
        <v>1</v>
      </c>
    </row>
    <row r="87" spans="1:8">
      <c r="A87" s="1">
        <v>544</v>
      </c>
      <c r="B87" s="8">
        <f>_xlfn.MAXIFS(Transactions[Transaction Date], Transactions[CustomerID],A87)</f>
        <v>43184</v>
      </c>
      <c r="C87" s="1">
        <f t="shared" si="4"/>
        <v>11</v>
      </c>
      <c r="D87" s="1">
        <f>COUNTIF(Transactions[CustomerID],"="&amp;A87)</f>
        <v>10</v>
      </c>
      <c r="E87" s="9">
        <f>IF(_xlfn.MAXIFS(Transactions[Transaction Amount], Transactions[CustomerID],A87)/'Customer Profiles'!$M$10&lt;=10,_xlfn.MAXIFS(Transactions[Transaction Amount], Transactions[CustomerID],A87)/'Customer Profiles'!$M$10,10)</f>
        <v>1.2200321332637185</v>
      </c>
      <c r="F87" s="1">
        <f t="shared" si="5"/>
        <v>10</v>
      </c>
      <c r="G87" s="1">
        <f t="shared" si="6"/>
        <v>2</v>
      </c>
      <c r="H87" s="1">
        <f t="shared" si="7"/>
        <v>1</v>
      </c>
    </row>
    <row r="88" spans="1:8">
      <c r="A88" s="1">
        <v>397</v>
      </c>
      <c r="B88" s="8">
        <f>_xlfn.MAXIFS(Transactions[Transaction Date], Transactions[CustomerID],A88)</f>
        <v>43464</v>
      </c>
      <c r="C88" s="1">
        <f t="shared" si="4"/>
        <v>2</v>
      </c>
      <c r="D88" s="1">
        <f>COUNTIF(Transactions[CustomerID],"="&amp;A88)</f>
        <v>2</v>
      </c>
      <c r="E88" s="9">
        <f>IF(_xlfn.MAXIFS(Transactions[Transaction Amount], Transactions[CustomerID],A88)/'Customer Profiles'!$M$10&lt;=10,_xlfn.MAXIFS(Transactions[Transaction Amount], Transactions[CustomerID],A88)/'Customer Profiles'!$M$10,10)</f>
        <v>0.19785308483995323</v>
      </c>
      <c r="F88" s="1">
        <f t="shared" si="5"/>
        <v>2</v>
      </c>
      <c r="G88" s="1">
        <f t="shared" si="6"/>
        <v>0.4</v>
      </c>
      <c r="H88" s="1">
        <f t="shared" si="7"/>
        <v>1</v>
      </c>
    </row>
    <row r="89" spans="1:8">
      <c r="A89" s="1">
        <v>468</v>
      </c>
      <c r="B89" s="8">
        <f>_xlfn.MAXIFS(Transactions[Transaction Date], Transactions[CustomerID],A89)</f>
        <v>43460</v>
      </c>
      <c r="C89" s="1">
        <f t="shared" si="4"/>
        <v>2</v>
      </c>
      <c r="D89" s="1">
        <f>COUNTIF(Transactions[CustomerID],"="&amp;A89)</f>
        <v>14</v>
      </c>
      <c r="E89" s="9">
        <f>IF(_xlfn.MAXIFS(Transactions[Transaction Amount], Transactions[CustomerID],A89)/'Customer Profiles'!$M$10&lt;=10,_xlfn.MAXIFS(Transactions[Transaction Amount], Transactions[CustomerID],A89)/'Customer Profiles'!$M$10,10)</f>
        <v>2.1409378120970084</v>
      </c>
      <c r="F89" s="1">
        <f t="shared" si="5"/>
        <v>2</v>
      </c>
      <c r="G89" s="1">
        <f t="shared" si="6"/>
        <v>2.8</v>
      </c>
      <c r="H89" s="1">
        <f t="shared" si="7"/>
        <v>1</v>
      </c>
    </row>
    <row r="90" spans="1:8">
      <c r="A90" s="1">
        <v>457</v>
      </c>
      <c r="B90" s="8">
        <f>_xlfn.MAXIFS(Transactions[Transaction Date], Transactions[CustomerID],A90)</f>
        <v>43402</v>
      </c>
      <c r="C90" s="1">
        <f t="shared" si="4"/>
        <v>4</v>
      </c>
      <c r="D90" s="1">
        <f>COUNTIF(Transactions[CustomerID],"="&amp;A90)</f>
        <v>6</v>
      </c>
      <c r="E90" s="9">
        <f>IF(_xlfn.MAXIFS(Transactions[Transaction Amount], Transactions[CustomerID],A90)/'Customer Profiles'!$M$10&lt;=10,_xlfn.MAXIFS(Transactions[Transaction Amount], Transactions[CustomerID],A90)/'Customer Profiles'!$M$10,10)</f>
        <v>2.0316064661549609</v>
      </c>
      <c r="F90" s="1">
        <f t="shared" si="5"/>
        <v>4</v>
      </c>
      <c r="G90" s="1">
        <f t="shared" si="6"/>
        <v>1.2</v>
      </c>
      <c r="H90" s="1">
        <f t="shared" si="7"/>
        <v>1</v>
      </c>
    </row>
    <row r="91" spans="1:8">
      <c r="A91" s="1">
        <v>27</v>
      </c>
      <c r="B91" s="8">
        <f>_xlfn.MAXIFS(Transactions[Transaction Date], Transactions[CustomerID],A91)</f>
        <v>43364</v>
      </c>
      <c r="C91" s="1">
        <f t="shared" si="4"/>
        <v>5</v>
      </c>
      <c r="D91" s="1">
        <f>COUNTIF(Transactions[CustomerID],"="&amp;A91)</f>
        <v>2</v>
      </c>
      <c r="E91" s="9">
        <f>IF(_xlfn.MAXIFS(Transactions[Transaction Amount], Transactions[CustomerID],A91)/'Customer Profiles'!$M$10&lt;=10,_xlfn.MAXIFS(Transactions[Transaction Amount], Transactions[CustomerID],A91)/'Customer Profiles'!$M$10,10)</f>
        <v>0.87437127672436243</v>
      </c>
      <c r="F91" s="1">
        <f t="shared" si="5"/>
        <v>5</v>
      </c>
      <c r="G91" s="1">
        <f t="shared" si="6"/>
        <v>0.4</v>
      </c>
      <c r="H91" s="1">
        <f t="shared" si="7"/>
        <v>1</v>
      </c>
    </row>
    <row r="92" spans="1:8">
      <c r="A92" s="1">
        <v>385</v>
      </c>
      <c r="B92" s="8">
        <f>_xlfn.MAXIFS(Transactions[Transaction Date], Transactions[CustomerID],A92)</f>
        <v>43476</v>
      </c>
      <c r="C92" s="1">
        <f t="shared" si="4"/>
        <v>1</v>
      </c>
      <c r="D92" s="1">
        <f>COUNTIF(Transactions[CustomerID],"="&amp;A92)</f>
        <v>1</v>
      </c>
      <c r="E92" s="9">
        <f>IF(_xlfn.MAXIFS(Transactions[Transaction Amount], Transactions[CustomerID],A92)/'Customer Profiles'!$M$10&lt;=10,_xlfn.MAXIFS(Transactions[Transaction Amount], Transactions[CustomerID],A92)/'Customer Profiles'!$M$10,10)</f>
        <v>1.312430247881472</v>
      </c>
      <c r="F92" s="1">
        <f t="shared" si="5"/>
        <v>1</v>
      </c>
      <c r="G92" s="1">
        <f t="shared" si="6"/>
        <v>0.2</v>
      </c>
      <c r="H92" s="1">
        <f t="shared" si="7"/>
        <v>1</v>
      </c>
    </row>
    <row r="93" spans="1:8">
      <c r="A93" s="1">
        <v>538</v>
      </c>
      <c r="B93" s="8">
        <f>_xlfn.MAXIFS(Transactions[Transaction Date], Transactions[CustomerID],A93)</f>
        <v>43164</v>
      </c>
      <c r="C93" s="1">
        <f t="shared" si="4"/>
        <v>11</v>
      </c>
      <c r="D93" s="1">
        <f>COUNTIF(Transactions[CustomerID],"="&amp;A93)</f>
        <v>1</v>
      </c>
      <c r="E93" s="9">
        <f>IF(_xlfn.MAXIFS(Transactions[Transaction Amount], Transactions[CustomerID],A93)/'Customer Profiles'!$M$10&lt;=10,_xlfn.MAXIFS(Transactions[Transaction Amount], Transactions[CustomerID],A93)/'Customer Profiles'!$M$10,10)</f>
        <v>0.73222774398999635</v>
      </c>
      <c r="F93" s="1">
        <f t="shared" si="5"/>
        <v>10</v>
      </c>
      <c r="G93" s="1">
        <f t="shared" si="6"/>
        <v>0.2</v>
      </c>
      <c r="H93" s="1">
        <f t="shared" si="7"/>
        <v>1</v>
      </c>
    </row>
    <row r="94" spans="1:8">
      <c r="A94" s="1">
        <v>390</v>
      </c>
      <c r="B94" s="8">
        <f>_xlfn.MAXIFS(Transactions[Transaction Date], Transactions[CustomerID],A94)</f>
        <v>43449</v>
      </c>
      <c r="C94" s="1">
        <f t="shared" si="4"/>
        <v>2</v>
      </c>
      <c r="D94" s="1">
        <f>COUNTIF(Transactions[CustomerID],"="&amp;A94)</f>
        <v>6</v>
      </c>
      <c r="E94" s="9">
        <f>IF(_xlfn.MAXIFS(Transactions[Transaction Amount], Transactions[CustomerID],A94)/'Customer Profiles'!$M$10&lt;=10,_xlfn.MAXIFS(Transactions[Transaction Amount], Transactions[CustomerID],A94)/'Customer Profiles'!$M$10,10)</f>
        <v>4.3803788907748826</v>
      </c>
      <c r="F94" s="1">
        <f t="shared" si="5"/>
        <v>2</v>
      </c>
      <c r="G94" s="1">
        <f t="shared" si="6"/>
        <v>1.2</v>
      </c>
      <c r="H94" s="1">
        <f t="shared" si="7"/>
        <v>1.18</v>
      </c>
    </row>
    <row r="95" spans="1:8">
      <c r="A95" s="1">
        <v>354</v>
      </c>
      <c r="B95" s="8">
        <f>_xlfn.MAXIFS(Transactions[Transaction Date], Transactions[CustomerID],A95)</f>
        <v>43125</v>
      </c>
      <c r="C95" s="1">
        <f t="shared" si="4"/>
        <v>1</v>
      </c>
      <c r="D95" s="1">
        <f>COUNTIF(Transactions[CustomerID],"="&amp;A95)</f>
        <v>1</v>
      </c>
      <c r="E95" s="9">
        <f>IF(_xlfn.MAXIFS(Transactions[Transaction Amount], Transactions[CustomerID],A95)/'Customer Profiles'!$M$10&lt;=10,_xlfn.MAXIFS(Transactions[Transaction Amount], Transactions[CustomerID],A95)/'Customer Profiles'!$M$10,10)</f>
        <v>0.52756358036004458</v>
      </c>
      <c r="F95" s="1">
        <f t="shared" si="5"/>
        <v>1</v>
      </c>
      <c r="G95" s="1">
        <f t="shared" si="6"/>
        <v>0.2</v>
      </c>
      <c r="H95" s="1">
        <f t="shared" si="7"/>
        <v>1</v>
      </c>
    </row>
    <row r="96" spans="1:8">
      <c r="A96" s="1">
        <v>115</v>
      </c>
      <c r="B96" s="8">
        <f>_xlfn.MAXIFS(Transactions[Transaction Date], Transactions[CustomerID],A96)</f>
        <v>43472</v>
      </c>
      <c r="C96" s="1">
        <f t="shared" si="4"/>
        <v>1</v>
      </c>
      <c r="D96" s="1">
        <f>COUNTIF(Transactions[CustomerID],"="&amp;A96)</f>
        <v>13</v>
      </c>
      <c r="E96" s="9">
        <f>IF(_xlfn.MAXIFS(Transactions[Transaction Amount], Transactions[CustomerID],A96)/'Customer Profiles'!$M$10&lt;=10,_xlfn.MAXIFS(Transactions[Transaction Amount], Transactions[CustomerID],A96)/'Customer Profiles'!$M$10,10)</f>
        <v>7.5827255231351929</v>
      </c>
      <c r="F96" s="1">
        <f t="shared" si="5"/>
        <v>1</v>
      </c>
      <c r="G96" s="1">
        <f t="shared" si="6"/>
        <v>2.6</v>
      </c>
      <c r="H96" s="1">
        <f t="shared" si="7"/>
        <v>3.03</v>
      </c>
    </row>
    <row r="97" spans="1:8">
      <c r="A97" s="1">
        <v>221</v>
      </c>
      <c r="B97" s="8">
        <f>_xlfn.MAXIFS(Transactions[Transaction Date], Transactions[CustomerID],A97)</f>
        <v>43439</v>
      </c>
      <c r="C97" s="1">
        <f t="shared" si="4"/>
        <v>2</v>
      </c>
      <c r="D97" s="1">
        <f>COUNTIF(Transactions[CustomerID],"="&amp;A97)</f>
        <v>13</v>
      </c>
      <c r="E97" s="9">
        <f>IF(_xlfn.MAXIFS(Transactions[Transaction Amount], Transactions[CustomerID],A97)/'Customer Profiles'!$M$10&lt;=10,_xlfn.MAXIFS(Transactions[Transaction Amount], Transactions[CustomerID],A97)/'Customer Profiles'!$M$10,10)</f>
        <v>4.9589695008869006</v>
      </c>
      <c r="F97" s="1">
        <f t="shared" si="5"/>
        <v>2</v>
      </c>
      <c r="G97" s="1">
        <f t="shared" si="6"/>
        <v>2.6</v>
      </c>
      <c r="H97" s="1">
        <f t="shared" si="7"/>
        <v>1.83</v>
      </c>
    </row>
    <row r="98" spans="1:8">
      <c r="A98" s="1">
        <v>319</v>
      </c>
      <c r="B98" s="8">
        <f>_xlfn.MAXIFS(Transactions[Transaction Date], Transactions[CustomerID],A98)</f>
        <v>43437</v>
      </c>
      <c r="C98" s="1">
        <f t="shared" si="4"/>
        <v>2</v>
      </c>
      <c r="D98" s="1">
        <f>COUNTIF(Transactions[CustomerID],"="&amp;A98)</f>
        <v>8</v>
      </c>
      <c r="E98" s="9">
        <f>IF(_xlfn.MAXIFS(Transactions[Transaction Amount], Transactions[CustomerID],A98)/'Customer Profiles'!$M$10&lt;=10,_xlfn.MAXIFS(Transactions[Transaction Amount], Transactions[CustomerID],A98)/'Customer Profiles'!$M$10,10)</f>
        <v>5.8810256180959195</v>
      </c>
      <c r="F98" s="1">
        <f t="shared" si="5"/>
        <v>2</v>
      </c>
      <c r="G98" s="1">
        <f t="shared" si="6"/>
        <v>1.6</v>
      </c>
      <c r="H98" s="1">
        <f t="shared" si="7"/>
        <v>1.81</v>
      </c>
    </row>
    <row r="99" spans="1:8">
      <c r="A99" s="1">
        <v>103</v>
      </c>
      <c r="B99" s="8">
        <f>_xlfn.MAXIFS(Transactions[Transaction Date], Transactions[CustomerID],A99)</f>
        <v>43298</v>
      </c>
      <c r="C99" s="1">
        <f t="shared" si="4"/>
        <v>7</v>
      </c>
      <c r="D99" s="1">
        <f>COUNTIF(Transactions[CustomerID],"="&amp;A99)</f>
        <v>7</v>
      </c>
      <c r="E99" s="9">
        <f>IF(_xlfn.MAXIFS(Transactions[Transaction Amount], Transactions[CustomerID],A99)/'Customer Profiles'!$M$10&lt;=10,_xlfn.MAXIFS(Transactions[Transaction Amount], Transactions[CustomerID],A99)/'Customer Profiles'!$M$10,10)</f>
        <v>4.2212281745761784</v>
      </c>
      <c r="F99" s="1">
        <f t="shared" si="5"/>
        <v>7</v>
      </c>
      <c r="G99" s="1">
        <f t="shared" si="6"/>
        <v>1.4</v>
      </c>
      <c r="H99" s="1">
        <f t="shared" si="7"/>
        <v>1</v>
      </c>
    </row>
    <row r="100" spans="1:8">
      <c r="A100" s="1">
        <v>563</v>
      </c>
      <c r="B100" s="8">
        <f>_xlfn.MAXIFS(Transactions[Transaction Date], Transactions[CustomerID],A100)</f>
        <v>42928</v>
      </c>
      <c r="C100" s="1">
        <f t="shared" si="4"/>
        <v>7</v>
      </c>
      <c r="D100" s="1">
        <f>COUNTIF(Transactions[CustomerID],"="&amp;A100)</f>
        <v>1</v>
      </c>
      <c r="E100" s="9">
        <f>IF(_xlfn.MAXIFS(Transactions[Transaction Amount], Transactions[CustomerID],A100)/'Customer Profiles'!$M$10&lt;=10,_xlfn.MAXIFS(Transactions[Transaction Amount], Transactions[CustomerID],A100)/'Customer Profiles'!$M$10,10)</f>
        <v>0.18283557369577857</v>
      </c>
      <c r="F100" s="1">
        <f t="shared" si="5"/>
        <v>7</v>
      </c>
      <c r="G100" s="1">
        <f t="shared" si="6"/>
        <v>0.2</v>
      </c>
      <c r="H100" s="1">
        <f t="shared" si="7"/>
        <v>1</v>
      </c>
    </row>
    <row r="101" spans="1:8">
      <c r="A101" s="1">
        <v>438</v>
      </c>
      <c r="B101" s="8">
        <f>_xlfn.MAXIFS(Transactions[Transaction Date], Transactions[CustomerID],A101)</f>
        <v>43468</v>
      </c>
      <c r="C101" s="1">
        <f t="shared" si="4"/>
        <v>1</v>
      </c>
      <c r="D101" s="1">
        <f>COUNTIF(Transactions[CustomerID],"="&amp;A101)</f>
        <v>7</v>
      </c>
      <c r="E101" s="9">
        <f>IF(_xlfn.MAXIFS(Transactions[Transaction Amount], Transactions[CustomerID],A101)/'Customer Profiles'!$M$10&lt;=10,_xlfn.MAXIFS(Transactions[Transaction Amount], Transactions[CustomerID],A101)/'Customer Profiles'!$M$10,10)</f>
        <v>3.2512660374751925</v>
      </c>
      <c r="F101" s="1">
        <f t="shared" si="5"/>
        <v>1</v>
      </c>
      <c r="G101" s="1">
        <f t="shared" si="6"/>
        <v>1.4</v>
      </c>
      <c r="H101" s="1">
        <f t="shared" si="7"/>
        <v>1.2</v>
      </c>
    </row>
    <row r="102" spans="1:8">
      <c r="A102" s="1">
        <v>520</v>
      </c>
      <c r="B102" s="8">
        <f>_xlfn.MAXIFS(Transactions[Transaction Date], Transactions[CustomerID],A102)</f>
        <v>43135</v>
      </c>
      <c r="C102" s="1">
        <f t="shared" si="4"/>
        <v>1</v>
      </c>
      <c r="D102" s="1">
        <f>COUNTIF(Transactions[CustomerID],"="&amp;A102)</f>
        <v>4</v>
      </c>
      <c r="E102" s="9">
        <f>IF(_xlfn.MAXIFS(Transactions[Transaction Amount], Transactions[CustomerID],A102)/'Customer Profiles'!$M$10&lt;=10,_xlfn.MAXIFS(Transactions[Transaction Amount], Transactions[CustomerID],A102)/'Customer Profiles'!$M$10,10)</f>
        <v>2.9596837020978621</v>
      </c>
      <c r="F102" s="1">
        <f t="shared" si="5"/>
        <v>1</v>
      </c>
      <c r="G102" s="1">
        <f t="shared" si="6"/>
        <v>0.8</v>
      </c>
      <c r="H102" s="1">
        <f t="shared" si="7"/>
        <v>1</v>
      </c>
    </row>
    <row r="103" spans="1:8">
      <c r="A103" s="1">
        <v>401</v>
      </c>
      <c r="B103" s="8">
        <f>_xlfn.MAXIFS(Transactions[Transaction Date], Transactions[CustomerID],A103)</f>
        <v>43495</v>
      </c>
      <c r="C103" s="1">
        <f t="shared" si="4"/>
        <v>1</v>
      </c>
      <c r="D103" s="1">
        <f>COUNTIF(Transactions[CustomerID],"="&amp;A103)</f>
        <v>3</v>
      </c>
      <c r="E103" s="9">
        <f>IF(_xlfn.MAXIFS(Transactions[Transaction Amount], Transactions[CustomerID],A103)/'Customer Profiles'!$M$10&lt;=10,_xlfn.MAXIFS(Transactions[Transaction Amount], Transactions[CustomerID],A103)/'Customer Profiles'!$M$10,10)</f>
        <v>0.67255682511370829</v>
      </c>
      <c r="F103" s="1">
        <f t="shared" si="5"/>
        <v>1</v>
      </c>
      <c r="G103" s="1">
        <f t="shared" si="6"/>
        <v>0.6</v>
      </c>
      <c r="H103" s="1">
        <f t="shared" si="7"/>
        <v>1</v>
      </c>
    </row>
    <row r="104" spans="1:8">
      <c r="A104" s="1">
        <v>178</v>
      </c>
      <c r="B104" s="8">
        <f>_xlfn.MAXIFS(Transactions[Transaction Date], Transactions[CustomerID],A104)</f>
        <v>43182</v>
      </c>
      <c r="C104" s="1">
        <f t="shared" si="4"/>
        <v>11</v>
      </c>
      <c r="D104" s="1">
        <f>COUNTIF(Transactions[CustomerID],"="&amp;A104)</f>
        <v>4</v>
      </c>
      <c r="E104" s="9">
        <f>IF(_xlfn.MAXIFS(Transactions[Transaction Amount], Transactions[CustomerID],A104)/'Customer Profiles'!$M$10&lt;=10,_xlfn.MAXIFS(Transactions[Transaction Amount], Transactions[CustomerID],A104)/'Customer Profiles'!$M$10,10)</f>
        <v>4.4884161190348539</v>
      </c>
      <c r="F104" s="1">
        <f t="shared" si="5"/>
        <v>10</v>
      </c>
      <c r="G104" s="1">
        <f t="shared" si="6"/>
        <v>0.8</v>
      </c>
      <c r="H104" s="1">
        <f t="shared" si="7"/>
        <v>1</v>
      </c>
    </row>
    <row r="105" spans="1:8">
      <c r="A105" s="1">
        <v>256</v>
      </c>
      <c r="B105" s="8">
        <f>_xlfn.MAXIFS(Transactions[Transaction Date], Transactions[CustomerID],A105)</f>
        <v>43360</v>
      </c>
      <c r="C105" s="1">
        <f t="shared" si="4"/>
        <v>5</v>
      </c>
      <c r="D105" s="1">
        <f>COUNTIF(Transactions[CustomerID],"="&amp;A105)</f>
        <v>1</v>
      </c>
      <c r="E105" s="9">
        <f>IF(_xlfn.MAXIFS(Transactions[Transaction Amount], Transactions[CustomerID],A105)/'Customer Profiles'!$M$10&lt;=10,_xlfn.MAXIFS(Transactions[Transaction Amount], Transactions[CustomerID],A105)/'Customer Profiles'!$M$10,10)</f>
        <v>0.86454286394598656</v>
      </c>
      <c r="F105" s="1">
        <f t="shared" si="5"/>
        <v>5</v>
      </c>
      <c r="G105" s="1">
        <f t="shared" si="6"/>
        <v>0.2</v>
      </c>
      <c r="H105" s="1">
        <f t="shared" si="7"/>
        <v>1</v>
      </c>
    </row>
    <row r="106" spans="1:8">
      <c r="A106" s="1">
        <v>599</v>
      </c>
      <c r="B106" s="8">
        <f>_xlfn.MAXIFS(Transactions[Transaction Date], Transactions[CustomerID],A106)</f>
        <v>43489</v>
      </c>
      <c r="C106" s="1">
        <f t="shared" si="4"/>
        <v>1</v>
      </c>
      <c r="D106" s="1">
        <f>COUNTIF(Transactions[CustomerID],"="&amp;A106)</f>
        <v>21</v>
      </c>
      <c r="E106" s="9">
        <f>IF(_xlfn.MAXIFS(Transactions[Transaction Amount], Transactions[CustomerID],A106)/'Customer Profiles'!$M$10&lt;=10,_xlfn.MAXIFS(Transactions[Transaction Amount], Transactions[CustomerID],A106)/'Customer Profiles'!$M$10,10)</f>
        <v>2.6188551415764074</v>
      </c>
      <c r="F106" s="1">
        <f t="shared" si="5"/>
        <v>1</v>
      </c>
      <c r="G106" s="1">
        <f t="shared" si="6"/>
        <v>4.2</v>
      </c>
      <c r="H106" s="1">
        <f t="shared" si="7"/>
        <v>1.92</v>
      </c>
    </row>
    <row r="107" spans="1:8">
      <c r="A107" s="1">
        <v>329</v>
      </c>
      <c r="B107" s="8">
        <f>_xlfn.MAXIFS(Transactions[Transaction Date], Transactions[CustomerID],A107)</f>
        <v>43386</v>
      </c>
      <c r="C107" s="1">
        <f t="shared" si="4"/>
        <v>4</v>
      </c>
      <c r="D107" s="1">
        <f>COUNTIF(Transactions[CustomerID],"="&amp;A107)</f>
        <v>11</v>
      </c>
      <c r="E107" s="9">
        <f>IF(_xlfn.MAXIFS(Transactions[Transaction Amount], Transactions[CustomerID],A107)/'Customer Profiles'!$M$10&lt;=10,_xlfn.MAXIFS(Transactions[Transaction Amount], Transactions[CustomerID],A107)/'Customer Profiles'!$M$10,10)</f>
        <v>1.3983866303507648</v>
      </c>
      <c r="F107" s="1">
        <f t="shared" si="5"/>
        <v>4</v>
      </c>
      <c r="G107" s="1">
        <f t="shared" si="6"/>
        <v>2.2000000000000002</v>
      </c>
      <c r="H107" s="1">
        <f t="shared" si="7"/>
        <v>1</v>
      </c>
    </row>
    <row r="108" spans="1:8">
      <c r="A108" s="1">
        <v>462</v>
      </c>
      <c r="B108" s="8">
        <f>_xlfn.MAXIFS(Transactions[Transaction Date], Transactions[CustomerID],A108)</f>
        <v>43496</v>
      </c>
      <c r="C108" s="1">
        <f t="shared" si="4"/>
        <v>1</v>
      </c>
      <c r="D108" s="1">
        <f>COUNTIF(Transactions[CustomerID],"="&amp;A108)</f>
        <v>8</v>
      </c>
      <c r="E108" s="9">
        <f>IF(_xlfn.MAXIFS(Transactions[Transaction Amount], Transactions[CustomerID],A108)/'Customer Profiles'!$M$10&lt;=10,_xlfn.MAXIFS(Transactions[Transaction Amount], Transactions[CustomerID],A108)/'Customer Profiles'!$M$10,10)</f>
        <v>6.2736615553433994</v>
      </c>
      <c r="F108" s="1">
        <f t="shared" si="5"/>
        <v>1</v>
      </c>
      <c r="G108" s="1">
        <f t="shared" si="6"/>
        <v>1.6</v>
      </c>
      <c r="H108" s="1">
        <f t="shared" si="7"/>
        <v>2.27</v>
      </c>
    </row>
    <row r="109" spans="1:8">
      <c r="A109" s="1">
        <v>77</v>
      </c>
      <c r="B109" s="8">
        <f>_xlfn.MAXIFS(Transactions[Transaction Date], Transactions[CustomerID],A109)</f>
        <v>43486</v>
      </c>
      <c r="C109" s="1">
        <f t="shared" si="4"/>
        <v>1</v>
      </c>
      <c r="D109" s="1">
        <f>COUNTIF(Transactions[CustomerID],"="&amp;A109)</f>
        <v>9</v>
      </c>
      <c r="E109" s="9">
        <f>IF(_xlfn.MAXIFS(Transactions[Transaction Amount], Transactions[CustomerID],A109)/'Customer Profiles'!$M$10&lt;=10,_xlfn.MAXIFS(Transactions[Transaction Amount], Transactions[CustomerID],A109)/'Customer Profiles'!$M$10,10)</f>
        <v>4.9476738655224022</v>
      </c>
      <c r="F109" s="1">
        <f t="shared" si="5"/>
        <v>1</v>
      </c>
      <c r="G109" s="1">
        <f t="shared" si="6"/>
        <v>1.8</v>
      </c>
      <c r="H109" s="1">
        <f t="shared" si="7"/>
        <v>1.9</v>
      </c>
    </row>
    <row r="110" spans="1:8">
      <c r="A110" s="1">
        <v>155</v>
      </c>
      <c r="B110" s="8">
        <f>_xlfn.MAXIFS(Transactions[Transaction Date], Transactions[CustomerID],A110)</f>
        <v>43494</v>
      </c>
      <c r="C110" s="1">
        <f t="shared" si="4"/>
        <v>1</v>
      </c>
      <c r="D110" s="1">
        <f>COUNTIF(Transactions[CustomerID],"="&amp;A110)</f>
        <v>9</v>
      </c>
      <c r="E110" s="9">
        <f>IF(_xlfn.MAXIFS(Transactions[Transaction Amount], Transactions[CustomerID],A110)/'Customer Profiles'!$M$10&lt;=10,_xlfn.MAXIFS(Transactions[Transaction Amount], Transactions[CustomerID],A110)/'Customer Profiles'!$M$10,10)</f>
        <v>2.9604280021446328</v>
      </c>
      <c r="F110" s="1">
        <f t="shared" si="5"/>
        <v>1</v>
      </c>
      <c r="G110" s="1">
        <f t="shared" si="6"/>
        <v>1.8</v>
      </c>
      <c r="H110" s="1">
        <f t="shared" si="7"/>
        <v>1.24</v>
      </c>
    </row>
    <row r="111" spans="1:8">
      <c r="A111" s="1">
        <v>366</v>
      </c>
      <c r="B111" s="8">
        <f>_xlfn.MAXIFS(Transactions[Transaction Date], Transactions[CustomerID],A111)</f>
        <v>43494</v>
      </c>
      <c r="C111" s="1">
        <f t="shared" si="4"/>
        <v>1</v>
      </c>
      <c r="D111" s="1">
        <f>COUNTIF(Transactions[CustomerID],"="&amp;A111)</f>
        <v>19</v>
      </c>
      <c r="E111" s="9">
        <f>IF(_xlfn.MAXIFS(Transactions[Transaction Amount], Transactions[CustomerID],A111)/'Customer Profiles'!$M$10&lt;=10,_xlfn.MAXIFS(Transactions[Transaction Amount], Transactions[CustomerID],A111)/'Customer Profiles'!$M$10,10)</f>
        <v>2.9638035645871894</v>
      </c>
      <c r="F111" s="1">
        <f t="shared" si="5"/>
        <v>1</v>
      </c>
      <c r="G111" s="1">
        <f t="shared" si="6"/>
        <v>3.8</v>
      </c>
      <c r="H111" s="1">
        <f t="shared" si="7"/>
        <v>1.9</v>
      </c>
    </row>
    <row r="112" spans="1:8">
      <c r="A112" s="1">
        <v>277</v>
      </c>
      <c r="B112" s="8">
        <f>_xlfn.MAXIFS(Transactions[Transaction Date], Transactions[CustomerID],A112)</f>
        <v>43134</v>
      </c>
      <c r="C112" s="1">
        <f t="shared" si="4"/>
        <v>1</v>
      </c>
      <c r="D112" s="1">
        <f>COUNTIF(Transactions[CustomerID],"="&amp;A112)</f>
        <v>1</v>
      </c>
      <c r="E112" s="9">
        <f>IF(_xlfn.MAXIFS(Transactions[Transaction Amount], Transactions[CustomerID],A112)/'Customer Profiles'!$M$10&lt;=10,_xlfn.MAXIFS(Transactions[Transaction Amount], Transactions[CustomerID],A112)/'Customer Profiles'!$M$10,10)</f>
        <v>0.19746741396897799</v>
      </c>
      <c r="F112" s="1">
        <f t="shared" si="5"/>
        <v>1</v>
      </c>
      <c r="G112" s="1">
        <f t="shared" si="6"/>
        <v>0.2</v>
      </c>
      <c r="H112" s="1">
        <f t="shared" si="7"/>
        <v>1</v>
      </c>
    </row>
    <row r="113" spans="1:8">
      <c r="A113" s="1">
        <v>62</v>
      </c>
      <c r="B113" s="8">
        <f>_xlfn.MAXIFS(Transactions[Transaction Date], Transactions[CustomerID],A113)</f>
        <v>43015</v>
      </c>
      <c r="C113" s="1">
        <f t="shared" si="4"/>
        <v>4</v>
      </c>
      <c r="D113" s="1">
        <f>COUNTIF(Transactions[CustomerID],"="&amp;A113)</f>
        <v>1</v>
      </c>
      <c r="E113" s="9">
        <f>IF(_xlfn.MAXIFS(Transactions[Transaction Amount], Transactions[CustomerID],A113)/'Customer Profiles'!$M$10&lt;=10,_xlfn.MAXIFS(Transactions[Transaction Amount], Transactions[CustomerID],A113)/'Customer Profiles'!$M$10,10)</f>
        <v>0.45781687226777362</v>
      </c>
      <c r="F113" s="1">
        <f t="shared" si="5"/>
        <v>4</v>
      </c>
      <c r="G113" s="1">
        <f t="shared" si="6"/>
        <v>0.2</v>
      </c>
      <c r="H113" s="1">
        <f t="shared" si="7"/>
        <v>1</v>
      </c>
    </row>
    <row r="114" spans="1:8">
      <c r="A114" s="1">
        <v>493</v>
      </c>
      <c r="B114" s="8">
        <f>_xlfn.MAXIFS(Transactions[Transaction Date], Transactions[CustomerID],A114)</f>
        <v>43460</v>
      </c>
      <c r="C114" s="1">
        <f t="shared" si="4"/>
        <v>2</v>
      </c>
      <c r="D114" s="1">
        <f>COUNTIF(Transactions[CustomerID],"="&amp;A114)</f>
        <v>7</v>
      </c>
      <c r="E114" s="9">
        <f>IF(_xlfn.MAXIFS(Transactions[Transaction Amount], Transactions[CustomerID],A114)/'Customer Profiles'!$M$10&lt;=10,_xlfn.MAXIFS(Transactions[Transaction Amount], Transactions[CustomerID],A114)/'Customer Profiles'!$M$10,10)</f>
        <v>2.0866384506815008</v>
      </c>
      <c r="F114" s="1">
        <f t="shared" si="5"/>
        <v>2</v>
      </c>
      <c r="G114" s="1">
        <f t="shared" si="6"/>
        <v>1.4</v>
      </c>
      <c r="H114" s="1">
        <f t="shared" si="7"/>
        <v>1</v>
      </c>
    </row>
    <row r="115" spans="1:8">
      <c r="A115" s="1">
        <v>220</v>
      </c>
      <c r="B115" s="8">
        <f>_xlfn.MAXIFS(Transactions[Transaction Date], Transactions[CustomerID],A115)</f>
        <v>43414</v>
      </c>
      <c r="C115" s="1">
        <f t="shared" si="4"/>
        <v>3</v>
      </c>
      <c r="D115" s="1">
        <f>COUNTIF(Transactions[CustomerID],"="&amp;A115)</f>
        <v>7</v>
      </c>
      <c r="E115" s="9">
        <f>IF(_xlfn.MAXIFS(Transactions[Transaction Amount], Transactions[CustomerID],A115)/'Customer Profiles'!$M$10&lt;=10,_xlfn.MAXIFS(Transactions[Transaction Amount], Transactions[CustomerID],A115)/'Customer Profiles'!$M$10,10)</f>
        <v>2.7505818733327061</v>
      </c>
      <c r="F115" s="1">
        <f t="shared" si="5"/>
        <v>3</v>
      </c>
      <c r="G115" s="1">
        <f t="shared" si="6"/>
        <v>1.4</v>
      </c>
      <c r="H115" s="1">
        <f t="shared" si="7"/>
        <v>1</v>
      </c>
    </row>
    <row r="116" spans="1:8">
      <c r="A116" s="1">
        <v>386</v>
      </c>
      <c r="B116" s="8">
        <f>_xlfn.MAXIFS(Transactions[Transaction Date], Transactions[CustomerID],A116)</f>
        <v>43230</v>
      </c>
      <c r="C116" s="1">
        <f t="shared" si="4"/>
        <v>9</v>
      </c>
      <c r="D116" s="1">
        <f>COUNTIF(Transactions[CustomerID],"="&amp;A116)</f>
        <v>1</v>
      </c>
      <c r="E116" s="9">
        <f>IF(_xlfn.MAXIFS(Transactions[Transaction Amount], Transactions[CustomerID],A116)/'Customer Profiles'!$M$10&lt;=10,_xlfn.MAXIFS(Transactions[Transaction Amount], Transactions[CustomerID],A116)/'Customer Profiles'!$M$10,10)</f>
        <v>0.39576887297616881</v>
      </c>
      <c r="F116" s="1">
        <f t="shared" si="5"/>
        <v>9</v>
      </c>
      <c r="G116" s="1">
        <f t="shared" si="6"/>
        <v>0.2</v>
      </c>
      <c r="H116" s="1">
        <f t="shared" si="7"/>
        <v>1</v>
      </c>
    </row>
    <row r="117" spans="1:8">
      <c r="A117" s="1">
        <v>430</v>
      </c>
      <c r="B117" s="8">
        <f>_xlfn.MAXIFS(Transactions[Transaction Date], Transactions[CustomerID],A117)</f>
        <v>43495</v>
      </c>
      <c r="C117" s="1">
        <f t="shared" si="4"/>
        <v>1</v>
      </c>
      <c r="D117" s="1">
        <f>COUNTIF(Transactions[CustomerID],"="&amp;A117)</f>
        <v>12</v>
      </c>
      <c r="E117" s="9">
        <f>IF(_xlfn.MAXIFS(Transactions[Transaction Amount], Transactions[CustomerID],A117)/'Customer Profiles'!$M$10&lt;=10,_xlfn.MAXIFS(Transactions[Transaction Amount], Transactions[CustomerID],A117)/'Customer Profiles'!$M$10,10)</f>
        <v>4.6000299755913741</v>
      </c>
      <c r="F117" s="1">
        <f t="shared" si="5"/>
        <v>1</v>
      </c>
      <c r="G117" s="1">
        <f t="shared" si="6"/>
        <v>2.4</v>
      </c>
      <c r="H117" s="1">
        <f t="shared" si="7"/>
        <v>1.98</v>
      </c>
    </row>
    <row r="118" spans="1:8">
      <c r="A118" s="1">
        <v>231</v>
      </c>
      <c r="B118" s="8">
        <f>_xlfn.MAXIFS(Transactions[Transaction Date], Transactions[CustomerID],A118)</f>
        <v>43329</v>
      </c>
      <c r="C118" s="1">
        <f t="shared" si="4"/>
        <v>6</v>
      </c>
      <c r="D118" s="1">
        <f>COUNTIF(Transactions[CustomerID],"="&amp;A118)</f>
        <v>6</v>
      </c>
      <c r="E118" s="9">
        <f>IF(_xlfn.MAXIFS(Transactions[Transaction Amount], Transactions[CustomerID],A118)/'Customer Profiles'!$M$10&lt;=10,_xlfn.MAXIFS(Transactions[Transaction Amount], Transactions[CustomerID],A118)/'Customer Profiles'!$M$10,10)</f>
        <v>2.9242360035566355</v>
      </c>
      <c r="F118" s="1">
        <f t="shared" si="5"/>
        <v>6</v>
      </c>
      <c r="G118" s="1">
        <f t="shared" si="6"/>
        <v>1.2</v>
      </c>
      <c r="H118" s="1">
        <f t="shared" si="7"/>
        <v>1</v>
      </c>
    </row>
    <row r="119" spans="1:8">
      <c r="A119" s="1">
        <v>435</v>
      </c>
      <c r="B119" s="8">
        <f>_xlfn.MAXIFS(Transactions[Transaction Date], Transactions[CustomerID],A119)</f>
        <v>42967</v>
      </c>
      <c r="C119" s="1">
        <f t="shared" si="4"/>
        <v>6</v>
      </c>
      <c r="D119" s="1">
        <f>COUNTIF(Transactions[CustomerID],"="&amp;A119)</f>
        <v>1</v>
      </c>
      <c r="E119" s="9">
        <f>IF(_xlfn.MAXIFS(Transactions[Transaction Amount], Transactions[CustomerID],A119)/'Customer Profiles'!$M$10&lt;=10,_xlfn.MAXIFS(Transactions[Transaction Amount], Transactions[CustomerID],A119)/'Customer Profiles'!$M$10,10)</f>
        <v>0.63070818680682128</v>
      </c>
      <c r="F119" s="1">
        <f t="shared" si="5"/>
        <v>6</v>
      </c>
      <c r="G119" s="1">
        <f t="shared" si="6"/>
        <v>0.2</v>
      </c>
      <c r="H119" s="1">
        <f t="shared" si="7"/>
        <v>1</v>
      </c>
    </row>
    <row r="120" spans="1:8">
      <c r="A120" s="1">
        <v>527</v>
      </c>
      <c r="B120" s="8">
        <f>_xlfn.MAXIFS(Transactions[Transaction Date], Transactions[CustomerID],A120)</f>
        <v>43194</v>
      </c>
      <c r="C120" s="1">
        <f t="shared" si="4"/>
        <v>10</v>
      </c>
      <c r="D120" s="1">
        <f>COUNTIF(Transactions[CustomerID],"="&amp;A120)</f>
        <v>2</v>
      </c>
      <c r="E120" s="9">
        <f>IF(_xlfn.MAXIFS(Transactions[Transaction Amount], Transactions[CustomerID],A120)/'Customer Profiles'!$M$10&lt;=10,_xlfn.MAXIFS(Transactions[Transaction Amount], Transactions[CustomerID],A120)/'Customer Profiles'!$M$10,10)</f>
        <v>1.1304550319688911</v>
      </c>
      <c r="F120" s="1">
        <f t="shared" si="5"/>
        <v>10</v>
      </c>
      <c r="G120" s="1">
        <f t="shared" si="6"/>
        <v>0.4</v>
      </c>
      <c r="H120" s="1">
        <f t="shared" si="7"/>
        <v>1</v>
      </c>
    </row>
    <row r="121" spans="1:8">
      <c r="A121" s="1">
        <v>521</v>
      </c>
      <c r="B121" s="8">
        <f>_xlfn.MAXIFS(Transactions[Transaction Date], Transactions[CustomerID],A121)</f>
        <v>43159</v>
      </c>
      <c r="C121" s="1">
        <f t="shared" si="4"/>
        <v>1</v>
      </c>
      <c r="D121" s="1">
        <f>COUNTIF(Transactions[CustomerID],"="&amp;A121)</f>
        <v>3</v>
      </c>
      <c r="E121" s="9">
        <f>IF(_xlfn.MAXIFS(Transactions[Transaction Amount], Transactions[CustomerID],A121)/'Customer Profiles'!$M$10&lt;=10,_xlfn.MAXIFS(Transactions[Transaction Amount], Transactions[CustomerID],A121)/'Customer Profiles'!$M$10,10)</f>
        <v>1.9124201450573528</v>
      </c>
      <c r="F121" s="1">
        <f t="shared" si="5"/>
        <v>1</v>
      </c>
      <c r="G121" s="1">
        <f t="shared" si="6"/>
        <v>0.6</v>
      </c>
      <c r="H121" s="1">
        <f t="shared" si="7"/>
        <v>1</v>
      </c>
    </row>
    <row r="122" spans="1:8">
      <c r="A122" s="1">
        <v>419</v>
      </c>
      <c r="B122" s="8">
        <f>_xlfn.MAXIFS(Transactions[Transaction Date], Transactions[CustomerID],A122)</f>
        <v>43360</v>
      </c>
      <c r="C122" s="1">
        <f t="shared" si="4"/>
        <v>5</v>
      </c>
      <c r="D122" s="1">
        <f>COUNTIF(Transactions[CustomerID],"="&amp;A122)</f>
        <v>1</v>
      </c>
      <c r="E122" s="9">
        <f>IF(_xlfn.MAXIFS(Transactions[Transaction Amount], Transactions[CustomerID],A122)/'Customer Profiles'!$M$10&lt;=10,_xlfn.MAXIFS(Transactions[Transaction Amount], Transactions[CustomerID],A122)/'Customer Profiles'!$M$10,10)</f>
        <v>4.5277574724233958</v>
      </c>
      <c r="F122" s="1">
        <f t="shared" si="5"/>
        <v>5</v>
      </c>
      <c r="G122" s="1">
        <f t="shared" si="6"/>
        <v>0.2</v>
      </c>
      <c r="H122" s="1">
        <f t="shared" si="7"/>
        <v>1</v>
      </c>
    </row>
    <row r="123" spans="1:8">
      <c r="A123" s="1">
        <v>488</v>
      </c>
      <c r="B123" s="8">
        <f>_xlfn.MAXIFS(Transactions[Transaction Date], Transactions[CustomerID],A123)</f>
        <v>43303</v>
      </c>
      <c r="C123" s="1">
        <f t="shared" si="4"/>
        <v>7</v>
      </c>
      <c r="D123" s="1">
        <f>COUNTIF(Transactions[CustomerID],"="&amp;A123)</f>
        <v>1</v>
      </c>
      <c r="E123" s="9">
        <f>IF(_xlfn.MAXIFS(Transactions[Transaction Amount], Transactions[CustomerID],A123)/'Customer Profiles'!$M$10&lt;=10,_xlfn.MAXIFS(Transactions[Transaction Amount], Transactions[CustomerID],A123)/'Customer Profiles'!$M$10,10)</f>
        <v>1.5093392295343719</v>
      </c>
      <c r="F123" s="1">
        <f t="shared" si="5"/>
        <v>7</v>
      </c>
      <c r="G123" s="1">
        <f t="shared" si="6"/>
        <v>0.2</v>
      </c>
      <c r="H123" s="1">
        <f t="shared" si="7"/>
        <v>1</v>
      </c>
    </row>
    <row r="124" spans="1:8">
      <c r="A124" s="1">
        <v>65</v>
      </c>
      <c r="B124" s="8">
        <f>_xlfn.MAXIFS(Transactions[Transaction Date], Transactions[CustomerID],A124)</f>
        <v>43485</v>
      </c>
      <c r="C124" s="1">
        <f t="shared" si="4"/>
        <v>1</v>
      </c>
      <c r="D124" s="1">
        <f>COUNTIF(Transactions[CustomerID],"="&amp;A124)</f>
        <v>2</v>
      </c>
      <c r="E124" s="9">
        <f>IF(_xlfn.MAXIFS(Transactions[Transaction Amount], Transactions[CustomerID],A124)/'Customer Profiles'!$M$10&lt;=10,_xlfn.MAXIFS(Transactions[Transaction Amount], Transactions[CustomerID],A124)/'Customer Profiles'!$M$10,10)</f>
        <v>4.4810866374075227</v>
      </c>
      <c r="F124" s="1">
        <f t="shared" si="5"/>
        <v>1</v>
      </c>
      <c r="G124" s="1">
        <f t="shared" si="6"/>
        <v>0.4</v>
      </c>
      <c r="H124" s="1">
        <f t="shared" si="7"/>
        <v>1.28</v>
      </c>
    </row>
    <row r="125" spans="1:8">
      <c r="A125" s="1">
        <v>44</v>
      </c>
      <c r="B125" s="8">
        <f>_xlfn.MAXIFS(Transactions[Transaction Date], Transactions[CustomerID],A125)</f>
        <v>43187</v>
      </c>
      <c r="C125" s="1">
        <f t="shared" si="4"/>
        <v>11</v>
      </c>
      <c r="D125" s="1">
        <f>COUNTIF(Transactions[CustomerID],"="&amp;A125)</f>
        <v>5</v>
      </c>
      <c r="E125" s="9">
        <f>IF(_xlfn.MAXIFS(Transactions[Transaction Amount], Transactions[CustomerID],A125)/'Customer Profiles'!$M$10&lt;=10,_xlfn.MAXIFS(Transactions[Transaction Amount], Transactions[CustomerID],A125)/'Customer Profiles'!$M$10,10)</f>
        <v>0.39908146634369746</v>
      </c>
      <c r="F125" s="1">
        <f t="shared" si="5"/>
        <v>10</v>
      </c>
      <c r="G125" s="1">
        <f t="shared" si="6"/>
        <v>1</v>
      </c>
      <c r="H125" s="1">
        <f t="shared" si="7"/>
        <v>1</v>
      </c>
    </row>
    <row r="126" spans="1:8">
      <c r="A126" s="1">
        <v>546</v>
      </c>
      <c r="B126" s="8">
        <f>_xlfn.MAXIFS(Transactions[Transaction Date], Transactions[CustomerID],A126)</f>
        <v>43484</v>
      </c>
      <c r="C126" s="1">
        <f t="shared" si="4"/>
        <v>1</v>
      </c>
      <c r="D126" s="1">
        <f>COUNTIF(Transactions[CustomerID],"="&amp;A126)</f>
        <v>13</v>
      </c>
      <c r="E126" s="9">
        <f>IF(_xlfn.MAXIFS(Transactions[Transaction Amount], Transactions[CustomerID],A126)/'Customer Profiles'!$M$10&lt;=10,_xlfn.MAXIFS(Transactions[Transaction Amount], Transactions[CustomerID],A126)/'Customer Profiles'!$M$10,10)</f>
        <v>1.9422278867174729</v>
      </c>
      <c r="F126" s="1">
        <f t="shared" si="5"/>
        <v>1</v>
      </c>
      <c r="G126" s="1">
        <f t="shared" si="6"/>
        <v>2.6</v>
      </c>
      <c r="H126" s="1">
        <f t="shared" si="7"/>
        <v>1.17</v>
      </c>
    </row>
    <row r="127" spans="1:8">
      <c r="A127" s="1">
        <v>394</v>
      </c>
      <c r="B127" s="8">
        <f>_xlfn.MAXIFS(Transactions[Transaction Date], Transactions[CustomerID],A127)</f>
        <v>43458</v>
      </c>
      <c r="C127" s="1">
        <f t="shared" si="4"/>
        <v>2</v>
      </c>
      <c r="D127" s="1">
        <f>COUNTIF(Transactions[CustomerID],"="&amp;A127)</f>
        <v>12</v>
      </c>
      <c r="E127" s="9">
        <f>IF(_xlfn.MAXIFS(Transactions[Transaction Amount], Transactions[CustomerID],A127)/'Customer Profiles'!$M$10&lt;=10,_xlfn.MAXIFS(Transactions[Transaction Amount], Transactions[CustomerID],A127)/'Customer Profiles'!$M$10,10)</f>
        <v>5.2171554521974919</v>
      </c>
      <c r="F127" s="1">
        <f t="shared" si="5"/>
        <v>2</v>
      </c>
      <c r="G127" s="1">
        <f t="shared" si="6"/>
        <v>2.4</v>
      </c>
      <c r="H127" s="1">
        <f t="shared" si="7"/>
        <v>1.85</v>
      </c>
    </row>
    <row r="128" spans="1:8">
      <c r="A128" s="1">
        <v>559</v>
      </c>
      <c r="B128" s="8">
        <f>_xlfn.MAXIFS(Transactions[Transaction Date], Transactions[CustomerID],A128)</f>
        <v>43309</v>
      </c>
      <c r="C128" s="1">
        <f t="shared" si="4"/>
        <v>7</v>
      </c>
      <c r="D128" s="1">
        <f>COUNTIF(Transactions[CustomerID],"="&amp;A128)</f>
        <v>1</v>
      </c>
      <c r="E128" s="9">
        <f>IF(_xlfn.MAXIFS(Transactions[Transaction Amount], Transactions[CustomerID],A128)/'Customer Profiles'!$M$10&lt;=10,_xlfn.MAXIFS(Transactions[Transaction Amount], Transactions[CustomerID],A128)/'Customer Profiles'!$M$10,10)</f>
        <v>3.4834652524643075</v>
      </c>
      <c r="F128" s="1">
        <f t="shared" si="5"/>
        <v>7</v>
      </c>
      <c r="G128" s="1">
        <f t="shared" si="6"/>
        <v>0.2</v>
      </c>
      <c r="H128" s="1">
        <f t="shared" si="7"/>
        <v>1</v>
      </c>
    </row>
    <row r="129" spans="1:8">
      <c r="A129" s="1">
        <v>302</v>
      </c>
      <c r="B129" s="8">
        <f>_xlfn.MAXIFS(Transactions[Transaction Date], Transactions[CustomerID],A129)</f>
        <v>43113</v>
      </c>
      <c r="C129" s="1">
        <f t="shared" si="4"/>
        <v>1</v>
      </c>
      <c r="D129" s="1">
        <f>COUNTIF(Transactions[CustomerID],"="&amp;A129)</f>
        <v>2</v>
      </c>
      <c r="E129" s="9">
        <f>IF(_xlfn.MAXIFS(Transactions[Transaction Amount], Transactions[CustomerID],A129)/'Customer Profiles'!$M$10&lt;=10,_xlfn.MAXIFS(Transactions[Transaction Amount], Transactions[CustomerID],A129)/'Customer Profiles'!$M$10,10)</f>
        <v>2.7399323640262634</v>
      </c>
      <c r="F129" s="1">
        <f t="shared" si="5"/>
        <v>1</v>
      </c>
      <c r="G129" s="1">
        <f t="shared" si="6"/>
        <v>0.4</v>
      </c>
      <c r="H129" s="1">
        <f t="shared" si="7"/>
        <v>1</v>
      </c>
    </row>
    <row r="130" spans="1:8">
      <c r="A130" s="1">
        <v>413</v>
      </c>
      <c r="B130" s="8">
        <f>_xlfn.MAXIFS(Transactions[Transaction Date], Transactions[CustomerID],A130)</f>
        <v>43484</v>
      </c>
      <c r="C130" s="1">
        <f t="shared" si="4"/>
        <v>1</v>
      </c>
      <c r="D130" s="1">
        <f>COUNTIF(Transactions[CustomerID],"="&amp;A130)</f>
        <v>10</v>
      </c>
      <c r="E130" s="9">
        <f>IF(_xlfn.MAXIFS(Transactions[Transaction Amount], Transactions[CustomerID],A130)/'Customer Profiles'!$M$10&lt;=10,_xlfn.MAXIFS(Transactions[Transaction Amount], Transactions[CustomerID],A130)/'Customer Profiles'!$M$10,10)</f>
        <v>6.1512981579471386</v>
      </c>
      <c r="F130" s="1">
        <f t="shared" si="5"/>
        <v>1</v>
      </c>
      <c r="G130" s="1">
        <f t="shared" si="6"/>
        <v>2</v>
      </c>
      <c r="H130" s="1">
        <f t="shared" si="7"/>
        <v>2.36</v>
      </c>
    </row>
    <row r="131" spans="1:8">
      <c r="A131" s="1">
        <v>244</v>
      </c>
      <c r="B131" s="8">
        <f>_xlfn.MAXIFS(Transactions[Transaction Date], Transactions[CustomerID],A131)</f>
        <v>43151</v>
      </c>
      <c r="C131" s="1">
        <f t="shared" si="4"/>
        <v>1</v>
      </c>
      <c r="D131" s="1">
        <f>COUNTIF(Transactions[CustomerID],"="&amp;A131)</f>
        <v>3</v>
      </c>
      <c r="E131" s="9">
        <f>IF(_xlfn.MAXIFS(Transactions[Transaction Amount], Transactions[CustomerID],A131)/'Customer Profiles'!$M$10&lt;=10,_xlfn.MAXIFS(Transactions[Transaction Amount], Transactions[CustomerID],A131)/'Customer Profiles'!$M$10,10)</f>
        <v>2.6590092339313673</v>
      </c>
      <c r="F131" s="1">
        <f t="shared" si="5"/>
        <v>1</v>
      </c>
      <c r="G131" s="1">
        <f t="shared" si="6"/>
        <v>0.6</v>
      </c>
      <c r="H131" s="1">
        <f t="shared" si="7"/>
        <v>1</v>
      </c>
    </row>
    <row r="132" spans="1:8">
      <c r="A132" s="1">
        <v>235</v>
      </c>
      <c r="B132" s="8">
        <f>_xlfn.MAXIFS(Transactions[Transaction Date], Transactions[CustomerID],A132)</f>
        <v>43490</v>
      </c>
      <c r="C132" s="1">
        <f t="shared" si="4"/>
        <v>1</v>
      </c>
      <c r="D132" s="1">
        <f>COUNTIF(Transactions[CustomerID],"="&amp;A132)</f>
        <v>10</v>
      </c>
      <c r="E132" s="9">
        <f>IF(_xlfn.MAXIFS(Transactions[Transaction Amount], Transactions[CustomerID],A132)/'Customer Profiles'!$M$10&lt;=10,_xlfn.MAXIFS(Transactions[Transaction Amount], Transactions[CustomerID],A132)/'Customer Profiles'!$M$10,10)</f>
        <v>2.8390781248664907</v>
      </c>
      <c r="F132" s="1">
        <f t="shared" si="5"/>
        <v>1</v>
      </c>
      <c r="G132" s="1">
        <f t="shared" si="6"/>
        <v>2</v>
      </c>
      <c r="H132" s="1">
        <f t="shared" si="7"/>
        <v>1.27</v>
      </c>
    </row>
    <row r="133" spans="1:8">
      <c r="A133" s="1">
        <v>453</v>
      </c>
      <c r="B133" s="8">
        <f>_xlfn.MAXIFS(Transactions[Transaction Date], Transactions[CustomerID],A133)</f>
        <v>43438</v>
      </c>
      <c r="C133" s="1">
        <f t="shared" si="4"/>
        <v>2</v>
      </c>
      <c r="D133" s="1">
        <f>COUNTIF(Transactions[CustomerID],"="&amp;A133)</f>
        <v>6</v>
      </c>
      <c r="E133" s="9">
        <f>IF(_xlfn.MAXIFS(Transactions[Transaction Amount], Transactions[CustomerID],A133)/'Customer Profiles'!$M$10&lt;=10,_xlfn.MAXIFS(Transactions[Transaction Amount], Transactions[CustomerID],A133)/'Customer Profiles'!$M$10,10)</f>
        <v>6.12090211092098</v>
      </c>
      <c r="F133" s="1">
        <f t="shared" si="5"/>
        <v>2</v>
      </c>
      <c r="G133" s="1">
        <f t="shared" si="6"/>
        <v>1.2</v>
      </c>
      <c r="H133" s="1">
        <f t="shared" si="7"/>
        <v>1.76</v>
      </c>
    </row>
    <row r="134" spans="1:8">
      <c r="A134" s="1">
        <v>84</v>
      </c>
      <c r="B134" s="8">
        <f>_xlfn.MAXIFS(Transactions[Transaction Date], Transactions[CustomerID],A134)</f>
        <v>43417</v>
      </c>
      <c r="C134" s="1">
        <f t="shared" ref="C134:C197" si="8">(MAX(DATEDIF(B134,"03/01/2019","ym"),1))</f>
        <v>3</v>
      </c>
      <c r="D134" s="1">
        <f>COUNTIF(Transactions[CustomerID],"="&amp;A134)</f>
        <v>11</v>
      </c>
      <c r="E134" s="9">
        <f>IF(_xlfn.MAXIFS(Transactions[Transaction Amount], Transactions[CustomerID],A134)/'Customer Profiles'!$M$10&lt;=10,_xlfn.MAXIFS(Transactions[Transaction Amount], Transactions[CustomerID],A134)/'Customer Profiles'!$M$10,10)</f>
        <v>2.9447249439240291</v>
      </c>
      <c r="F134" s="1">
        <f t="shared" ref="F134:F197" si="9">IF(ROUND(C134,2)&lt;=10,ROUND(C134,2),10)</f>
        <v>3</v>
      </c>
      <c r="G134" s="1">
        <f t="shared" ref="G134:G197" si="10">IF(ROUND(D134/$M$6,2)&lt;=10,ROUND(D134/$M$6,2),10)</f>
        <v>2.2000000000000002</v>
      </c>
      <c r="H134" s="1">
        <f t="shared" ref="H134:H197" si="11">IF(ROUND(E134*$K$8+F134*$K$6+G134*$K$7,2)&lt;1,1,ROUND(E134*$K$8+F134*$K$6+G134*$K$7,2))</f>
        <v>1</v>
      </c>
    </row>
    <row r="135" spans="1:8">
      <c r="A135" s="1">
        <v>530</v>
      </c>
      <c r="B135" s="8">
        <f>_xlfn.MAXIFS(Transactions[Transaction Date], Transactions[CustomerID],A135)</f>
        <v>43319</v>
      </c>
      <c r="C135" s="1">
        <f t="shared" si="8"/>
        <v>6</v>
      </c>
      <c r="D135" s="1">
        <f>COUNTIF(Transactions[CustomerID],"="&amp;A135)</f>
        <v>2</v>
      </c>
      <c r="E135" s="9">
        <f>IF(_xlfn.MAXIFS(Transactions[Transaction Amount], Transactions[CustomerID],A135)/'Customer Profiles'!$M$10&lt;=10,_xlfn.MAXIFS(Transactions[Transaction Amount], Transactions[CustomerID],A135)/'Customer Profiles'!$M$10,10)</f>
        <v>1.8476969443169644</v>
      </c>
      <c r="F135" s="1">
        <f t="shared" si="9"/>
        <v>6</v>
      </c>
      <c r="G135" s="1">
        <f t="shared" si="10"/>
        <v>0.4</v>
      </c>
      <c r="H135" s="1">
        <f t="shared" si="11"/>
        <v>1</v>
      </c>
    </row>
    <row r="136" spans="1:8">
      <c r="A136" s="1">
        <v>513</v>
      </c>
      <c r="B136" s="8">
        <f>_xlfn.MAXIFS(Transactions[Transaction Date], Transactions[CustomerID],A136)</f>
        <v>42873</v>
      </c>
      <c r="C136" s="1">
        <f t="shared" si="8"/>
        <v>9</v>
      </c>
      <c r="D136" s="1">
        <f>COUNTIF(Transactions[CustomerID],"="&amp;A136)</f>
        <v>1</v>
      </c>
      <c r="E136" s="9">
        <f>IF(_xlfn.MAXIFS(Transactions[Transaction Amount], Transactions[CustomerID],A136)/'Customer Profiles'!$M$10&lt;=10,_xlfn.MAXIFS(Transactions[Transaction Amount], Transactions[CustomerID],A136)/'Customer Profiles'!$M$10,10)</f>
        <v>0.63001480275035471</v>
      </c>
      <c r="F136" s="1">
        <f t="shared" si="9"/>
        <v>9</v>
      </c>
      <c r="G136" s="1">
        <f t="shared" si="10"/>
        <v>0.2</v>
      </c>
      <c r="H136" s="1">
        <f t="shared" si="11"/>
        <v>1</v>
      </c>
    </row>
    <row r="137" spans="1:8">
      <c r="A137" s="1">
        <v>299</v>
      </c>
      <c r="B137" s="8">
        <f>_xlfn.MAXIFS(Transactions[Transaction Date], Transactions[CustomerID],A137)</f>
        <v>43486</v>
      </c>
      <c r="C137" s="1">
        <f t="shared" si="8"/>
        <v>1</v>
      </c>
      <c r="D137" s="1">
        <f>COUNTIF(Transactions[CustomerID],"="&amp;A137)</f>
        <v>9</v>
      </c>
      <c r="E137" s="9">
        <f>IF(_xlfn.MAXIFS(Transactions[Transaction Amount], Transactions[CustomerID],A137)/'Customer Profiles'!$M$10&lt;=10,_xlfn.MAXIFS(Transactions[Transaction Amount], Transactions[CustomerID],A137)/'Customer Profiles'!$M$10,10)</f>
        <v>10</v>
      </c>
      <c r="F137" s="1">
        <f t="shared" si="9"/>
        <v>1</v>
      </c>
      <c r="G137" s="1">
        <f t="shared" si="10"/>
        <v>1.8</v>
      </c>
      <c r="H137" s="1">
        <f t="shared" si="11"/>
        <v>3.56</v>
      </c>
    </row>
    <row r="138" spans="1:8">
      <c r="A138" s="1">
        <v>309</v>
      </c>
      <c r="B138" s="8">
        <f>_xlfn.MAXIFS(Transactions[Transaction Date], Transactions[CustomerID],A138)</f>
        <v>43314</v>
      </c>
      <c r="C138" s="1">
        <f t="shared" si="8"/>
        <v>6</v>
      </c>
      <c r="D138" s="1">
        <f>COUNTIF(Transactions[CustomerID],"="&amp;A138)</f>
        <v>1</v>
      </c>
      <c r="E138" s="9">
        <f>IF(_xlfn.MAXIFS(Transactions[Transaction Amount], Transactions[CustomerID],A138)/'Customer Profiles'!$M$10&lt;=10,_xlfn.MAXIFS(Transactions[Transaction Amount], Transactions[CustomerID],A138)/'Customer Profiles'!$M$10,10)</f>
        <v>0.77246449377633752</v>
      </c>
      <c r="F138" s="1">
        <f t="shared" si="9"/>
        <v>6</v>
      </c>
      <c r="G138" s="1">
        <f t="shared" si="10"/>
        <v>0.2</v>
      </c>
      <c r="H138" s="1">
        <f t="shared" si="11"/>
        <v>1</v>
      </c>
    </row>
    <row r="139" spans="1:8">
      <c r="A139" s="1">
        <v>418</v>
      </c>
      <c r="B139" s="8">
        <f>_xlfn.MAXIFS(Transactions[Transaction Date], Transactions[CustomerID],A139)</f>
        <v>42744</v>
      </c>
      <c r="C139" s="1">
        <f t="shared" si="8"/>
        <v>1</v>
      </c>
      <c r="D139" s="1">
        <f>COUNTIF(Transactions[CustomerID],"="&amp;A139)</f>
        <v>1</v>
      </c>
      <c r="E139" s="9">
        <f>IF(_xlfn.MAXIFS(Transactions[Transaction Amount], Transactions[CustomerID],A139)/'Customer Profiles'!$M$10&lt;=10,_xlfn.MAXIFS(Transactions[Transaction Amount], Transactions[CustomerID],A139)/'Customer Profiles'!$M$10,10)</f>
        <v>0.78045700461755563</v>
      </c>
      <c r="F139" s="1">
        <f t="shared" si="9"/>
        <v>1</v>
      </c>
      <c r="G139" s="1">
        <f t="shared" si="10"/>
        <v>0.2</v>
      </c>
      <c r="H139" s="1">
        <f t="shared" si="11"/>
        <v>1</v>
      </c>
    </row>
    <row r="140" spans="1:8">
      <c r="A140" s="1">
        <v>428</v>
      </c>
      <c r="B140" s="8">
        <f>_xlfn.MAXIFS(Transactions[Transaction Date], Transactions[CustomerID],A140)</f>
        <v>43428</v>
      </c>
      <c r="C140" s="1">
        <f t="shared" si="8"/>
        <v>3</v>
      </c>
      <c r="D140" s="1">
        <f>COUNTIF(Transactions[CustomerID],"="&amp;A140)</f>
        <v>2</v>
      </c>
      <c r="E140" s="9">
        <f>IF(_xlfn.MAXIFS(Transactions[Transaction Amount], Transactions[CustomerID],A140)/'Customer Profiles'!$M$10&lt;=10,_xlfn.MAXIFS(Transactions[Transaction Amount], Transactions[CustomerID],A140)/'Customer Profiles'!$M$10,10)</f>
        <v>0.74648660968146141</v>
      </c>
      <c r="F140" s="1">
        <f t="shared" si="9"/>
        <v>3</v>
      </c>
      <c r="G140" s="1">
        <f t="shared" si="10"/>
        <v>0.4</v>
      </c>
      <c r="H140" s="1">
        <f t="shared" si="11"/>
        <v>1</v>
      </c>
    </row>
    <row r="141" spans="1:8">
      <c r="A141" s="1">
        <v>484</v>
      </c>
      <c r="B141" s="8">
        <f>_xlfn.MAXIFS(Transactions[Transaction Date], Transactions[CustomerID],A141)</f>
        <v>43342</v>
      </c>
      <c r="C141" s="1">
        <f t="shared" si="8"/>
        <v>6</v>
      </c>
      <c r="D141" s="1">
        <f>COUNTIF(Transactions[CustomerID],"="&amp;A141)</f>
        <v>1</v>
      </c>
      <c r="E141" s="9">
        <f>IF(_xlfn.MAXIFS(Transactions[Transaction Amount], Transactions[CustomerID],A141)/'Customer Profiles'!$M$10&lt;=10,_xlfn.MAXIFS(Transactions[Transaction Amount], Transactions[CustomerID],A141)/'Customer Profiles'!$M$10,10)</f>
        <v>0.38515835993750341</v>
      </c>
      <c r="F141" s="1">
        <f t="shared" si="9"/>
        <v>6</v>
      </c>
      <c r="G141" s="1">
        <f t="shared" si="10"/>
        <v>0.2</v>
      </c>
      <c r="H141" s="1">
        <f t="shared" si="11"/>
        <v>1</v>
      </c>
    </row>
    <row r="142" spans="1:8">
      <c r="A142" s="1">
        <v>100</v>
      </c>
      <c r="B142" s="8">
        <f>_xlfn.MAXIFS(Transactions[Transaction Date], Transactions[CustomerID],A142)</f>
        <v>43339</v>
      </c>
      <c r="C142" s="1">
        <f t="shared" si="8"/>
        <v>6</v>
      </c>
      <c r="D142" s="1">
        <f>COUNTIF(Transactions[CustomerID],"="&amp;A142)</f>
        <v>6</v>
      </c>
      <c r="E142" s="9">
        <f>IF(_xlfn.MAXIFS(Transactions[Transaction Amount], Transactions[CustomerID],A142)/'Customer Profiles'!$M$10&lt;=10,_xlfn.MAXIFS(Transactions[Transaction Amount], Transactions[CustomerID],A142)/'Customer Profiles'!$M$10,10)</f>
        <v>4.5780344539697575</v>
      </c>
      <c r="F142" s="1">
        <f t="shared" si="9"/>
        <v>6</v>
      </c>
      <c r="G142" s="1">
        <f t="shared" si="10"/>
        <v>1.2</v>
      </c>
      <c r="H142" s="1">
        <f t="shared" si="11"/>
        <v>1</v>
      </c>
    </row>
    <row r="143" spans="1:8">
      <c r="A143" s="1">
        <v>486</v>
      </c>
      <c r="B143" s="8">
        <f>_xlfn.MAXIFS(Transactions[Transaction Date], Transactions[CustomerID],A143)</f>
        <v>43272</v>
      </c>
      <c r="C143" s="1">
        <f t="shared" si="8"/>
        <v>8</v>
      </c>
      <c r="D143" s="1">
        <f>COUNTIF(Transactions[CustomerID],"="&amp;A143)</f>
        <v>6</v>
      </c>
      <c r="E143" s="9">
        <f>IF(_xlfn.MAXIFS(Transactions[Transaction Amount], Transactions[CustomerID],A143)/'Customer Profiles'!$M$10&lt;=10,_xlfn.MAXIFS(Transactions[Transaction Amount], Transactions[CustomerID],A143)/'Customer Profiles'!$M$10,10)</f>
        <v>2.4341412222336425</v>
      </c>
      <c r="F143" s="1">
        <f t="shared" si="9"/>
        <v>8</v>
      </c>
      <c r="G143" s="1">
        <f t="shared" si="10"/>
        <v>1.2</v>
      </c>
      <c r="H143" s="1">
        <f t="shared" si="11"/>
        <v>1</v>
      </c>
    </row>
    <row r="144" spans="1:8">
      <c r="A144" s="1">
        <v>470</v>
      </c>
      <c r="B144" s="8">
        <f>_xlfn.MAXIFS(Transactions[Transaction Date], Transactions[CustomerID],A144)</f>
        <v>42847</v>
      </c>
      <c r="C144" s="1">
        <f t="shared" si="8"/>
        <v>10</v>
      </c>
      <c r="D144" s="1">
        <f>COUNTIF(Transactions[CustomerID],"="&amp;A144)</f>
        <v>1</v>
      </c>
      <c r="E144" s="9">
        <f>IF(_xlfn.MAXIFS(Transactions[Transaction Amount], Transactions[CustomerID],A144)/'Customer Profiles'!$M$10&lt;=10,_xlfn.MAXIFS(Transactions[Transaction Amount], Transactions[CustomerID],A144)/'Customer Profiles'!$M$10,10)</f>
        <v>0.8044572827653611</v>
      </c>
      <c r="F144" s="1">
        <f t="shared" si="9"/>
        <v>10</v>
      </c>
      <c r="G144" s="1">
        <f t="shared" si="10"/>
        <v>0.2</v>
      </c>
      <c r="H144" s="1">
        <f t="shared" si="11"/>
        <v>1</v>
      </c>
    </row>
    <row r="145" spans="1:8">
      <c r="A145" s="1">
        <v>254</v>
      </c>
      <c r="B145" s="8">
        <f>_xlfn.MAXIFS(Transactions[Transaction Date], Transactions[CustomerID],A145)</f>
        <v>43361</v>
      </c>
      <c r="C145" s="1">
        <f t="shared" si="8"/>
        <v>5</v>
      </c>
      <c r="D145" s="1">
        <f>COUNTIF(Transactions[CustomerID],"="&amp;A145)</f>
        <v>10</v>
      </c>
      <c r="E145" s="9">
        <f>IF(_xlfn.MAXIFS(Transactions[Transaction Amount], Transactions[CustomerID],A145)/'Customer Profiles'!$M$10&lt;=10,_xlfn.MAXIFS(Transactions[Transaction Amount], Transactions[CustomerID],A145)/'Customer Profiles'!$M$10,10)</f>
        <v>2.552014657220028</v>
      </c>
      <c r="F145" s="1">
        <f t="shared" si="9"/>
        <v>5</v>
      </c>
      <c r="G145" s="1">
        <f t="shared" si="10"/>
        <v>2</v>
      </c>
      <c r="H145" s="1">
        <f t="shared" si="11"/>
        <v>1</v>
      </c>
    </row>
    <row r="146" spans="1:8">
      <c r="A146" s="1">
        <v>558</v>
      </c>
      <c r="B146" s="8">
        <f>_xlfn.MAXIFS(Transactions[Transaction Date], Transactions[CustomerID],A146)</f>
        <v>43425</v>
      </c>
      <c r="C146" s="1">
        <f t="shared" si="8"/>
        <v>3</v>
      </c>
      <c r="D146" s="1">
        <f>COUNTIF(Transactions[CustomerID],"="&amp;A146)</f>
        <v>5</v>
      </c>
      <c r="E146" s="9">
        <f>IF(_xlfn.MAXIFS(Transactions[Transaction Amount], Transactions[CustomerID],A146)/'Customer Profiles'!$M$10&lt;=10,_xlfn.MAXIFS(Transactions[Transaction Amount], Transactions[CustomerID],A146)/'Customer Profiles'!$M$10,10)</f>
        <v>0.80999611818754114</v>
      </c>
      <c r="F146" s="1">
        <f t="shared" si="9"/>
        <v>3</v>
      </c>
      <c r="G146" s="1">
        <f t="shared" si="10"/>
        <v>1</v>
      </c>
      <c r="H146" s="1">
        <f t="shared" si="11"/>
        <v>1</v>
      </c>
    </row>
    <row r="147" spans="1:8">
      <c r="A147" s="1">
        <v>429</v>
      </c>
      <c r="B147" s="8">
        <f>_xlfn.MAXIFS(Transactions[Transaction Date], Transactions[CustomerID],A147)</f>
        <v>43232</v>
      </c>
      <c r="C147" s="1">
        <f t="shared" si="8"/>
        <v>9</v>
      </c>
      <c r="D147" s="1">
        <f>COUNTIF(Transactions[CustomerID],"="&amp;A147)</f>
        <v>2</v>
      </c>
      <c r="E147" s="9">
        <f>IF(_xlfn.MAXIFS(Transactions[Transaction Amount], Transactions[CustomerID],A147)/'Customer Profiles'!$M$10&lt;=10,_xlfn.MAXIFS(Transactions[Transaction Amount], Transactions[CustomerID],A147)/'Customer Profiles'!$M$10,10)</f>
        <v>0.67909054688841619</v>
      </c>
      <c r="F147" s="1">
        <f t="shared" si="9"/>
        <v>9</v>
      </c>
      <c r="G147" s="1">
        <f t="shared" si="10"/>
        <v>0.4</v>
      </c>
      <c r="H147" s="1">
        <f t="shared" si="11"/>
        <v>1</v>
      </c>
    </row>
    <row r="148" spans="1:8">
      <c r="A148" s="1">
        <v>393</v>
      </c>
      <c r="B148" s="8">
        <f>_xlfn.MAXIFS(Transactions[Transaction Date], Transactions[CustomerID],A148)</f>
        <v>43496</v>
      </c>
      <c r="C148" s="1">
        <f t="shared" si="8"/>
        <v>1</v>
      </c>
      <c r="D148" s="1">
        <f>COUNTIF(Transactions[CustomerID],"="&amp;A148)</f>
        <v>17</v>
      </c>
      <c r="E148" s="9">
        <f>IF(_xlfn.MAXIFS(Transactions[Transaction Amount], Transactions[CustomerID],A148)/'Customer Profiles'!$M$10&lt;=10,_xlfn.MAXIFS(Transactions[Transaction Amount], Transactions[CustomerID],A148)/'Customer Profiles'!$M$10,10)</f>
        <v>3.600832090665222</v>
      </c>
      <c r="F148" s="1">
        <f t="shared" si="9"/>
        <v>1</v>
      </c>
      <c r="G148" s="1">
        <f t="shared" si="10"/>
        <v>3.4</v>
      </c>
      <c r="H148" s="1">
        <f t="shared" si="11"/>
        <v>1.98</v>
      </c>
    </row>
    <row r="149" spans="1:8">
      <c r="A149" s="1">
        <v>68</v>
      </c>
      <c r="B149" s="8">
        <f>_xlfn.MAXIFS(Transactions[Transaction Date], Transactions[CustomerID],A149)</f>
        <v>43468</v>
      </c>
      <c r="C149" s="1">
        <f t="shared" si="8"/>
        <v>1</v>
      </c>
      <c r="D149" s="1">
        <f>COUNTIF(Transactions[CustomerID],"="&amp;A149)</f>
        <v>2</v>
      </c>
      <c r="E149" s="9">
        <f>IF(_xlfn.MAXIFS(Transactions[Transaction Amount], Transactions[CustomerID],A149)/'Customer Profiles'!$M$10&lt;=10,_xlfn.MAXIFS(Transactions[Transaction Amount], Transactions[CustomerID],A149)/'Customer Profiles'!$M$10,10)</f>
        <v>2.4543571992945443</v>
      </c>
      <c r="F149" s="1">
        <f t="shared" si="9"/>
        <v>1</v>
      </c>
      <c r="G149" s="1">
        <f t="shared" si="10"/>
        <v>0.4</v>
      </c>
      <c r="H149" s="1">
        <f t="shared" si="11"/>
        <v>1</v>
      </c>
    </row>
    <row r="150" spans="1:8">
      <c r="A150" s="1">
        <v>198</v>
      </c>
      <c r="B150" s="8">
        <f>_xlfn.MAXIFS(Transactions[Transaction Date], Transactions[CustomerID],A150)</f>
        <v>43081</v>
      </c>
      <c r="C150" s="1">
        <f t="shared" si="8"/>
        <v>2</v>
      </c>
      <c r="D150" s="1">
        <f>COUNTIF(Transactions[CustomerID],"="&amp;A150)</f>
        <v>2</v>
      </c>
      <c r="E150" s="9">
        <f>IF(_xlfn.MAXIFS(Transactions[Transaction Amount], Transactions[CustomerID],A150)/'Customer Profiles'!$M$10&lt;=10,_xlfn.MAXIFS(Transactions[Transaction Amount], Transactions[CustomerID],A150)/'Customer Profiles'!$M$10,10)</f>
        <v>1.5335214656048315</v>
      </c>
      <c r="F150" s="1">
        <f t="shared" si="9"/>
        <v>2</v>
      </c>
      <c r="G150" s="1">
        <f t="shared" si="10"/>
        <v>0.4</v>
      </c>
      <c r="H150" s="1">
        <f t="shared" si="11"/>
        <v>1</v>
      </c>
    </row>
    <row r="151" spans="1:8">
      <c r="A151" s="1">
        <v>395</v>
      </c>
      <c r="B151" s="8">
        <f>_xlfn.MAXIFS(Transactions[Transaction Date], Transactions[CustomerID],A151)</f>
        <v>43329</v>
      </c>
      <c r="C151" s="1">
        <f t="shared" si="8"/>
        <v>6</v>
      </c>
      <c r="D151" s="1">
        <f>COUNTIF(Transactions[CustomerID],"="&amp;A151)</f>
        <v>4</v>
      </c>
      <c r="E151" s="9">
        <f>IF(_xlfn.MAXIFS(Transactions[Transaction Amount], Transactions[CustomerID],A151)/'Customer Profiles'!$M$10&lt;=10,_xlfn.MAXIFS(Transactions[Transaction Amount], Transactions[CustomerID],A151)/'Customer Profiles'!$M$10,10)</f>
        <v>5.8703824556534911</v>
      </c>
      <c r="F151" s="1">
        <f t="shared" si="9"/>
        <v>6</v>
      </c>
      <c r="G151" s="1">
        <f t="shared" si="10"/>
        <v>0.8</v>
      </c>
      <c r="H151" s="1">
        <f t="shared" si="11"/>
        <v>1</v>
      </c>
    </row>
    <row r="152" spans="1:8">
      <c r="A152" s="1">
        <v>238</v>
      </c>
      <c r="B152" s="8">
        <f>_xlfn.MAXIFS(Transactions[Transaction Date], Transactions[CustomerID],A152)</f>
        <v>43367</v>
      </c>
      <c r="C152" s="1">
        <f t="shared" si="8"/>
        <v>5</v>
      </c>
      <c r="D152" s="1">
        <f>COUNTIF(Transactions[CustomerID],"="&amp;A152)</f>
        <v>2</v>
      </c>
      <c r="E152" s="9">
        <f>IF(_xlfn.MAXIFS(Transactions[Transaction Amount], Transactions[CustomerID],A152)/'Customer Profiles'!$M$10&lt;=10,_xlfn.MAXIFS(Transactions[Transaction Amount], Transactions[CustomerID],A152)/'Customer Profiles'!$M$10,10)</f>
        <v>2.9192703742031614</v>
      </c>
      <c r="F152" s="1">
        <f t="shared" si="9"/>
        <v>5</v>
      </c>
      <c r="G152" s="1">
        <f t="shared" si="10"/>
        <v>0.4</v>
      </c>
      <c r="H152" s="1">
        <f t="shared" si="11"/>
        <v>1</v>
      </c>
    </row>
    <row r="153" spans="1:8">
      <c r="A153" s="1">
        <v>173</v>
      </c>
      <c r="B153" s="8">
        <f>_xlfn.MAXIFS(Transactions[Transaction Date], Transactions[CustomerID],A153)</f>
        <v>43099</v>
      </c>
      <c r="C153" s="1">
        <f t="shared" si="8"/>
        <v>2</v>
      </c>
      <c r="D153" s="1">
        <f>COUNTIF(Transactions[CustomerID],"="&amp;A153)</f>
        <v>1</v>
      </c>
      <c r="E153" s="9">
        <f>IF(_xlfn.MAXIFS(Transactions[Transaction Amount], Transactions[CustomerID],A153)/'Customer Profiles'!$M$10&lt;=10,_xlfn.MAXIFS(Transactions[Transaction Amount], Transactions[CustomerID],A153)/'Customer Profiles'!$M$10,10)</f>
        <v>9.4897201282441224E-2</v>
      </c>
      <c r="F153" s="1">
        <f t="shared" si="9"/>
        <v>2</v>
      </c>
      <c r="G153" s="1">
        <f t="shared" si="10"/>
        <v>0.2</v>
      </c>
      <c r="H153" s="1">
        <f t="shared" si="11"/>
        <v>1</v>
      </c>
    </row>
    <row r="154" spans="1:8">
      <c r="A154" s="1">
        <v>96</v>
      </c>
      <c r="B154" s="8">
        <f>_xlfn.MAXIFS(Transactions[Transaction Date], Transactions[CustomerID],A154)</f>
        <v>43390</v>
      </c>
      <c r="C154" s="1">
        <f t="shared" si="8"/>
        <v>4</v>
      </c>
      <c r="D154" s="1">
        <f>COUNTIF(Transactions[CustomerID],"="&amp;A154)</f>
        <v>1</v>
      </c>
      <c r="E154" s="9">
        <f>IF(_xlfn.MAXIFS(Transactions[Transaction Amount], Transactions[CustomerID],A154)/'Customer Profiles'!$M$10&lt;=10,_xlfn.MAXIFS(Transactions[Transaction Amount], Transactions[CustomerID],A154)/'Customer Profiles'!$M$10,10)</f>
        <v>2.9103420645812323</v>
      </c>
      <c r="F154" s="1">
        <f t="shared" si="9"/>
        <v>4</v>
      </c>
      <c r="G154" s="1">
        <f t="shared" si="10"/>
        <v>0.2</v>
      </c>
      <c r="H154" s="1">
        <f t="shared" si="11"/>
        <v>1</v>
      </c>
    </row>
    <row r="155" spans="1:8">
      <c r="A155" s="1">
        <v>114</v>
      </c>
      <c r="B155" s="8">
        <f>_xlfn.MAXIFS(Transactions[Transaction Date], Transactions[CustomerID],A155)</f>
        <v>42883</v>
      </c>
      <c r="C155" s="1">
        <f t="shared" si="8"/>
        <v>9</v>
      </c>
      <c r="D155" s="1">
        <f>COUNTIF(Transactions[CustomerID],"="&amp;A155)</f>
        <v>1</v>
      </c>
      <c r="E155" s="9">
        <f>IF(_xlfn.MAXIFS(Transactions[Transaction Amount], Transactions[CustomerID],A155)/'Customer Profiles'!$M$10&lt;=10,_xlfn.MAXIFS(Transactions[Transaction Amount], Transactions[CustomerID],A155)/'Customer Profiles'!$M$10,10)</f>
        <v>0.33886797009469344</v>
      </c>
      <c r="F155" s="1">
        <f t="shared" si="9"/>
        <v>9</v>
      </c>
      <c r="G155" s="1">
        <f t="shared" si="10"/>
        <v>0.2</v>
      </c>
      <c r="H155" s="1">
        <f t="shared" si="11"/>
        <v>1</v>
      </c>
    </row>
    <row r="156" spans="1:8">
      <c r="A156" s="1">
        <v>361</v>
      </c>
      <c r="B156" s="8">
        <f>_xlfn.MAXIFS(Transactions[Transaction Date], Transactions[CustomerID],A156)</f>
        <v>43490</v>
      </c>
      <c r="C156" s="1">
        <f t="shared" si="8"/>
        <v>1</v>
      </c>
      <c r="D156" s="1">
        <f>COUNTIF(Transactions[CustomerID],"="&amp;A156)</f>
        <v>10</v>
      </c>
      <c r="E156" s="9">
        <f>IF(_xlfn.MAXIFS(Transactions[Transaction Amount], Transactions[CustomerID],A156)/'Customer Profiles'!$M$10&lt;=10,_xlfn.MAXIFS(Transactions[Transaction Amount], Transactions[CustomerID],A156)/'Customer Profiles'!$M$10,10)</f>
        <v>3.121067833166669</v>
      </c>
      <c r="F156" s="1">
        <f t="shared" si="9"/>
        <v>1</v>
      </c>
      <c r="G156" s="1">
        <f t="shared" si="10"/>
        <v>2</v>
      </c>
      <c r="H156" s="1">
        <f t="shared" si="11"/>
        <v>1.36</v>
      </c>
    </row>
    <row r="157" spans="1:8">
      <c r="A157" s="1">
        <v>14</v>
      </c>
      <c r="B157" s="8">
        <f>_xlfn.MAXIFS(Transactions[Transaction Date], Transactions[CustomerID],A157)</f>
        <v>43442</v>
      </c>
      <c r="C157" s="1">
        <f t="shared" si="8"/>
        <v>2</v>
      </c>
      <c r="D157" s="1">
        <f>COUNTIF(Transactions[CustomerID],"="&amp;A157)</f>
        <v>1</v>
      </c>
      <c r="E157" s="9">
        <f>IF(_xlfn.MAXIFS(Transactions[Transaction Amount], Transactions[CustomerID],A157)/'Customer Profiles'!$M$10&lt;=10,_xlfn.MAXIFS(Transactions[Transaction Amount], Transactions[CustomerID],A157)/'Customer Profiles'!$M$10,10)</f>
        <v>0.14068295803528025</v>
      </c>
      <c r="F157" s="1">
        <f t="shared" si="9"/>
        <v>2</v>
      </c>
      <c r="G157" s="1">
        <f t="shared" si="10"/>
        <v>0.2</v>
      </c>
      <c r="H157" s="1">
        <f t="shared" si="11"/>
        <v>1</v>
      </c>
    </row>
    <row r="158" spans="1:8">
      <c r="A158" s="1">
        <v>483</v>
      </c>
      <c r="B158" s="8">
        <f>_xlfn.MAXIFS(Transactions[Transaction Date], Transactions[CustomerID],A158)</f>
        <v>43175</v>
      </c>
      <c r="C158" s="1">
        <f t="shared" si="8"/>
        <v>11</v>
      </c>
      <c r="D158" s="1">
        <f>COUNTIF(Transactions[CustomerID],"="&amp;A158)</f>
        <v>1</v>
      </c>
      <c r="E158" s="9">
        <f>IF(_xlfn.MAXIFS(Transactions[Transaction Amount], Transactions[CustomerID],A158)/'Customer Profiles'!$M$10&lt;=10,_xlfn.MAXIFS(Transactions[Transaction Amount], Transactions[CustomerID],A158)/'Customer Profiles'!$M$10,10)</f>
        <v>0.78679074773232249</v>
      </c>
      <c r="F158" s="1">
        <f t="shared" si="9"/>
        <v>10</v>
      </c>
      <c r="G158" s="1">
        <f t="shared" si="10"/>
        <v>0.2</v>
      </c>
      <c r="H158" s="1">
        <f t="shared" si="11"/>
        <v>1</v>
      </c>
    </row>
    <row r="159" spans="1:8">
      <c r="A159" s="1">
        <v>228</v>
      </c>
      <c r="B159" s="8">
        <f>_xlfn.MAXIFS(Transactions[Transaction Date], Transactions[CustomerID],A159)</f>
        <v>43180</v>
      </c>
      <c r="C159" s="1">
        <f t="shared" si="8"/>
        <v>11</v>
      </c>
      <c r="D159" s="1">
        <f>COUNTIF(Transactions[CustomerID],"="&amp;A159)</f>
        <v>2</v>
      </c>
      <c r="E159" s="9">
        <f>IF(_xlfn.MAXIFS(Transactions[Transaction Amount], Transactions[CustomerID],A159)/'Customer Profiles'!$M$10&lt;=10,_xlfn.MAXIFS(Transactions[Transaction Amount], Transactions[CustomerID],A159)/'Customer Profiles'!$M$10,10)</f>
        <v>0.62811620545586655</v>
      </c>
      <c r="F159" s="1">
        <f t="shared" si="9"/>
        <v>10</v>
      </c>
      <c r="G159" s="1">
        <f t="shared" si="10"/>
        <v>0.4</v>
      </c>
      <c r="H159" s="1">
        <f t="shared" si="11"/>
        <v>1</v>
      </c>
    </row>
    <row r="160" spans="1:8">
      <c r="A160" s="1">
        <v>442</v>
      </c>
      <c r="B160" s="8">
        <f>_xlfn.MAXIFS(Transactions[Transaction Date], Transactions[CustomerID],A160)</f>
        <v>43027</v>
      </c>
      <c r="C160" s="1">
        <f t="shared" si="8"/>
        <v>4</v>
      </c>
      <c r="D160" s="1">
        <f>COUNTIF(Transactions[CustomerID],"="&amp;A160)</f>
        <v>1</v>
      </c>
      <c r="E160" s="9">
        <f>IF(_xlfn.MAXIFS(Transactions[Transaction Amount], Transactions[CustomerID],A160)/'Customer Profiles'!$M$10&lt;=10,_xlfn.MAXIFS(Transactions[Transaction Amount], Transactions[CustomerID],A160)/'Customer Profiles'!$M$10,10)</f>
        <v>1.0132251202419686</v>
      </c>
      <c r="F160" s="1">
        <f t="shared" si="9"/>
        <v>4</v>
      </c>
      <c r="G160" s="1">
        <f t="shared" si="10"/>
        <v>0.2</v>
      </c>
      <c r="H160" s="1">
        <f t="shared" si="11"/>
        <v>1</v>
      </c>
    </row>
    <row r="161" spans="1:8">
      <c r="A161" s="1">
        <v>152</v>
      </c>
      <c r="B161" s="8">
        <f>_xlfn.MAXIFS(Transactions[Transaction Date], Transactions[CustomerID],A161)</f>
        <v>42877</v>
      </c>
      <c r="C161" s="1">
        <f t="shared" si="8"/>
        <v>9</v>
      </c>
      <c r="D161" s="1">
        <f>COUNTIF(Transactions[CustomerID],"="&amp;A161)</f>
        <v>1</v>
      </c>
      <c r="E161" s="9">
        <f>IF(_xlfn.MAXIFS(Transactions[Transaction Amount], Transactions[CustomerID],A161)/'Customer Profiles'!$M$10&lt;=10,_xlfn.MAXIFS(Transactions[Transaction Amount], Transactions[CustomerID],A161)/'Customer Profiles'!$M$10,10)</f>
        <v>5.024031884201046E-2</v>
      </c>
      <c r="F161" s="1">
        <f t="shared" si="9"/>
        <v>9</v>
      </c>
      <c r="G161" s="1">
        <f t="shared" si="10"/>
        <v>0.2</v>
      </c>
      <c r="H161" s="1">
        <f t="shared" si="11"/>
        <v>1</v>
      </c>
    </row>
    <row r="162" spans="1:8">
      <c r="A162" s="1">
        <v>312</v>
      </c>
      <c r="B162" s="8">
        <f>_xlfn.MAXIFS(Transactions[Transaction Date], Transactions[CustomerID],A162)</f>
        <v>43438</v>
      </c>
      <c r="C162" s="1">
        <f t="shared" si="8"/>
        <v>2</v>
      </c>
      <c r="D162" s="1">
        <f>COUNTIF(Transactions[CustomerID],"="&amp;A162)</f>
        <v>2</v>
      </c>
      <c r="E162" s="9">
        <f>IF(_xlfn.MAXIFS(Transactions[Transaction Amount], Transactions[CustomerID],A162)/'Customer Profiles'!$M$10&lt;=10,_xlfn.MAXIFS(Transactions[Transaction Amount], Transactions[CustomerID],A162)/'Customer Profiles'!$M$10,10)</f>
        <v>1.7929562936787122</v>
      </c>
      <c r="F162" s="1">
        <f t="shared" si="9"/>
        <v>2</v>
      </c>
      <c r="G162" s="1">
        <f t="shared" si="10"/>
        <v>0.4</v>
      </c>
      <c r="H162" s="1">
        <f t="shared" si="11"/>
        <v>1</v>
      </c>
    </row>
    <row r="163" spans="1:8">
      <c r="A163" s="1">
        <v>407</v>
      </c>
      <c r="B163" s="8">
        <f>_xlfn.MAXIFS(Transactions[Transaction Date], Transactions[CustomerID],A163)</f>
        <v>43327</v>
      </c>
      <c r="C163" s="1">
        <f t="shared" si="8"/>
        <v>6</v>
      </c>
      <c r="D163" s="1">
        <f>COUNTIF(Transactions[CustomerID],"="&amp;A163)</f>
        <v>2</v>
      </c>
      <c r="E163" s="9">
        <f>IF(_xlfn.MAXIFS(Transactions[Transaction Amount], Transactions[CustomerID],A163)/'Customer Profiles'!$M$10&lt;=10,_xlfn.MAXIFS(Transactions[Transaction Amount], Transactions[CustomerID],A163)/'Customer Profiles'!$M$10,10)</f>
        <v>2.0450304685551006</v>
      </c>
      <c r="F163" s="1">
        <f t="shared" si="9"/>
        <v>6</v>
      </c>
      <c r="G163" s="1">
        <f t="shared" si="10"/>
        <v>0.4</v>
      </c>
      <c r="H163" s="1">
        <f t="shared" si="11"/>
        <v>1</v>
      </c>
    </row>
    <row r="164" spans="1:8">
      <c r="A164" s="1">
        <v>320</v>
      </c>
      <c r="B164" s="8">
        <f>_xlfn.MAXIFS(Transactions[Transaction Date], Transactions[CustomerID],A164)</f>
        <v>43471</v>
      </c>
      <c r="C164" s="1">
        <f t="shared" si="8"/>
        <v>1</v>
      </c>
      <c r="D164" s="1">
        <f>COUNTIF(Transactions[CustomerID],"="&amp;A164)</f>
        <v>2</v>
      </c>
      <c r="E164" s="9">
        <f>IF(_xlfn.MAXIFS(Transactions[Transaction Amount], Transactions[CustomerID],A164)/'Customer Profiles'!$M$10&lt;=10,_xlfn.MAXIFS(Transactions[Transaction Amount], Transactions[CustomerID],A164)/'Customer Profiles'!$M$10,10)</f>
        <v>0.76666224711978792</v>
      </c>
      <c r="F164" s="1">
        <f t="shared" si="9"/>
        <v>1</v>
      </c>
      <c r="G164" s="1">
        <f t="shared" si="10"/>
        <v>0.4</v>
      </c>
      <c r="H164" s="1">
        <f t="shared" si="11"/>
        <v>1</v>
      </c>
    </row>
    <row r="165" spans="1:8">
      <c r="A165" s="1">
        <v>52</v>
      </c>
      <c r="B165" s="8">
        <f>_xlfn.MAXIFS(Transactions[Transaction Date], Transactions[CustomerID],A165)</f>
        <v>43041</v>
      </c>
      <c r="C165" s="1">
        <f t="shared" si="8"/>
        <v>3</v>
      </c>
      <c r="D165" s="1">
        <f>COUNTIF(Transactions[CustomerID],"="&amp;A165)</f>
        <v>1</v>
      </c>
      <c r="E165" s="9">
        <f>IF(_xlfn.MAXIFS(Transactions[Transaction Amount], Transactions[CustomerID],A165)/'Customer Profiles'!$M$10&lt;=10,_xlfn.MAXIFS(Transactions[Transaction Amount], Transactions[CustomerID],A165)/'Customer Profiles'!$M$10,10)</f>
        <v>0.42364134947650312</v>
      </c>
      <c r="F165" s="1">
        <f t="shared" si="9"/>
        <v>3</v>
      </c>
      <c r="G165" s="1">
        <f t="shared" si="10"/>
        <v>0.2</v>
      </c>
      <c r="H165" s="1">
        <f t="shared" si="11"/>
        <v>1</v>
      </c>
    </row>
    <row r="166" spans="1:8">
      <c r="A166" s="1">
        <v>185</v>
      </c>
      <c r="B166" s="8">
        <f>_xlfn.MAXIFS(Transactions[Transaction Date], Transactions[CustomerID],A166)</f>
        <v>42744</v>
      </c>
      <c r="C166" s="1">
        <f t="shared" si="8"/>
        <v>1</v>
      </c>
      <c r="D166" s="1">
        <f>COUNTIF(Transactions[CustomerID],"="&amp;A166)</f>
        <v>1</v>
      </c>
      <c r="E166" s="9">
        <f>IF(_xlfn.MAXIFS(Transactions[Transaction Amount], Transactions[CustomerID],A166)/'Customer Profiles'!$M$10&lt;=10,_xlfn.MAXIFS(Transactions[Transaction Amount], Transactions[CustomerID],A166)/'Customer Profiles'!$M$10,10)</f>
        <v>9.9926184222945691E-2</v>
      </c>
      <c r="F166" s="1">
        <f t="shared" si="9"/>
        <v>1</v>
      </c>
      <c r="G166" s="1">
        <f t="shared" si="10"/>
        <v>0.2</v>
      </c>
      <c r="H166" s="1">
        <f t="shared" si="11"/>
        <v>1</v>
      </c>
    </row>
    <row r="167" spans="1:8">
      <c r="A167" s="1">
        <v>504</v>
      </c>
      <c r="B167" s="8">
        <f>_xlfn.MAXIFS(Transactions[Transaction Date], Transactions[CustomerID],A167)</f>
        <v>43258</v>
      </c>
      <c r="C167" s="1">
        <f t="shared" si="8"/>
        <v>8</v>
      </c>
      <c r="D167" s="1">
        <f>COUNTIF(Transactions[CustomerID],"="&amp;A167)</f>
        <v>1</v>
      </c>
      <c r="E167" s="9">
        <f>IF(_xlfn.MAXIFS(Transactions[Transaction Amount], Transactions[CustomerID],A167)/'Customer Profiles'!$M$10&lt;=10,_xlfn.MAXIFS(Transactions[Transaction Amount], Transactions[CustomerID],A167)/'Customer Profiles'!$M$10,10)</f>
        <v>0.81408574449829219</v>
      </c>
      <c r="F167" s="1">
        <f t="shared" si="9"/>
        <v>8</v>
      </c>
      <c r="G167" s="1">
        <f t="shared" si="10"/>
        <v>0.2</v>
      </c>
      <c r="H167" s="1">
        <f t="shared" si="11"/>
        <v>1</v>
      </c>
    </row>
    <row r="168" spans="1:8">
      <c r="A168" s="1">
        <v>143</v>
      </c>
      <c r="B168" s="8">
        <f>_xlfn.MAXIFS(Transactions[Transaction Date], Transactions[CustomerID],A168)</f>
        <v>42848</v>
      </c>
      <c r="C168" s="1">
        <f t="shared" si="8"/>
        <v>10</v>
      </c>
      <c r="D168" s="1">
        <f>COUNTIF(Transactions[CustomerID],"="&amp;A168)</f>
        <v>1</v>
      </c>
      <c r="E168" s="9">
        <f>IF(_xlfn.MAXIFS(Transactions[Transaction Amount], Transactions[CustomerID],A168)/'Customer Profiles'!$M$10&lt;=10,_xlfn.MAXIFS(Transactions[Transaction Amount], Transactions[CustomerID],A168)/'Customer Profiles'!$M$10,10)</f>
        <v>0.35813866625001617</v>
      </c>
      <c r="F168" s="1">
        <f t="shared" si="9"/>
        <v>10</v>
      </c>
      <c r="G168" s="1">
        <f t="shared" si="10"/>
        <v>0.2</v>
      </c>
      <c r="H168" s="1">
        <f t="shared" si="11"/>
        <v>1</v>
      </c>
    </row>
    <row r="169" spans="1:8">
      <c r="A169" s="1">
        <v>539</v>
      </c>
      <c r="B169" s="8">
        <f>_xlfn.MAXIFS(Transactions[Transaction Date], Transactions[CustomerID],A169)</f>
        <v>42747</v>
      </c>
      <c r="C169" s="1">
        <f t="shared" si="8"/>
        <v>1</v>
      </c>
      <c r="D169" s="1">
        <f>COUNTIF(Transactions[CustomerID],"="&amp;A169)</f>
        <v>1</v>
      </c>
      <c r="E169" s="9">
        <f>IF(_xlfn.MAXIFS(Transactions[Transaction Amount], Transactions[CustomerID],A169)/'Customer Profiles'!$M$10&lt;=10,_xlfn.MAXIFS(Transactions[Transaction Amount], Transactions[CustomerID],A169)/'Customer Profiles'!$M$10,10)</f>
        <v>0.26597255023910715</v>
      </c>
      <c r="F169" s="1">
        <f t="shared" si="9"/>
        <v>1</v>
      </c>
      <c r="G169" s="1">
        <f t="shared" si="10"/>
        <v>0.2</v>
      </c>
      <c r="H169" s="1">
        <f t="shared" si="11"/>
        <v>1</v>
      </c>
    </row>
    <row r="170" spans="1:8">
      <c r="A170" s="1">
        <v>285</v>
      </c>
      <c r="B170" s="8">
        <f>_xlfn.MAXIFS(Transactions[Transaction Date], Transactions[CustomerID],A170)</f>
        <v>43407</v>
      </c>
      <c r="C170" s="1">
        <f t="shared" si="8"/>
        <v>3</v>
      </c>
      <c r="D170" s="1">
        <f>COUNTIF(Transactions[CustomerID],"="&amp;A170)</f>
        <v>3</v>
      </c>
      <c r="E170" s="9">
        <f>IF(_xlfn.MAXIFS(Transactions[Transaction Amount], Transactions[CustomerID],A170)/'Customer Profiles'!$M$10&lt;=10,_xlfn.MAXIFS(Transactions[Transaction Amount], Transactions[CustomerID],A170)/'Customer Profiles'!$M$10,10)</f>
        <v>0.62200320593594638</v>
      </c>
      <c r="F170" s="1">
        <f t="shared" si="9"/>
        <v>3</v>
      </c>
      <c r="G170" s="1">
        <f t="shared" si="10"/>
        <v>0.6</v>
      </c>
      <c r="H170" s="1">
        <f t="shared" si="11"/>
        <v>1</v>
      </c>
    </row>
    <row r="171" spans="1:8">
      <c r="A171" s="1">
        <v>63</v>
      </c>
      <c r="B171" s="8">
        <f>_xlfn.MAXIFS(Transactions[Transaction Date], Transactions[CustomerID],A171)</f>
        <v>43328</v>
      </c>
      <c r="C171" s="1">
        <f t="shared" si="8"/>
        <v>6</v>
      </c>
      <c r="D171" s="1">
        <f>COUNTIF(Transactions[CustomerID],"="&amp;A171)</f>
        <v>1</v>
      </c>
      <c r="E171" s="9">
        <f>IF(_xlfn.MAXIFS(Transactions[Transaction Amount], Transactions[CustomerID],A171)/'Customer Profiles'!$M$10&lt;=10,_xlfn.MAXIFS(Transactions[Transaction Amount], Transactions[CustomerID],A171)/'Customer Profiles'!$M$10,10)</f>
        <v>0.1487841817057233</v>
      </c>
      <c r="F171" s="1">
        <f t="shared" si="9"/>
        <v>6</v>
      </c>
      <c r="G171" s="1">
        <f t="shared" si="10"/>
        <v>0.2</v>
      </c>
      <c r="H171" s="1">
        <f t="shared" si="11"/>
        <v>1</v>
      </c>
    </row>
    <row r="172" spans="1:8">
      <c r="A172" s="1">
        <v>102</v>
      </c>
      <c r="B172" s="8">
        <f>_xlfn.MAXIFS(Transactions[Transaction Date], Transactions[CustomerID],A172)</f>
        <v>43453</v>
      </c>
      <c r="C172" s="1">
        <f t="shared" si="8"/>
        <v>2</v>
      </c>
      <c r="D172" s="1">
        <f>COUNTIF(Transactions[CustomerID],"="&amp;A172)</f>
        <v>7</v>
      </c>
      <c r="E172" s="9">
        <f>IF(_xlfn.MAXIFS(Transactions[Transaction Amount], Transactions[CustomerID],A172)/'Customer Profiles'!$M$10&lt;=10,_xlfn.MAXIFS(Transactions[Transaction Amount], Transactions[CustomerID],A172)/'Customer Profiles'!$M$10,10)</f>
        <v>2.045092792865308</v>
      </c>
      <c r="F172" s="1">
        <f t="shared" si="9"/>
        <v>2</v>
      </c>
      <c r="G172" s="1">
        <f t="shared" si="10"/>
        <v>1.4</v>
      </c>
      <c r="H172" s="1">
        <f t="shared" si="11"/>
        <v>1</v>
      </c>
    </row>
    <row r="173" spans="1:8">
      <c r="A173" s="1">
        <v>260</v>
      </c>
      <c r="B173" s="8">
        <f>_xlfn.MAXIFS(Transactions[Transaction Date], Transactions[CustomerID],A173)</f>
        <v>43260</v>
      </c>
      <c r="C173" s="1">
        <f t="shared" si="8"/>
        <v>8</v>
      </c>
      <c r="D173" s="1">
        <f>COUNTIF(Transactions[CustomerID],"="&amp;A173)</f>
        <v>2</v>
      </c>
      <c r="E173" s="9">
        <f>IF(_xlfn.MAXIFS(Transactions[Transaction Amount], Transactions[CustomerID],A173)/'Customer Profiles'!$M$10&lt;=10,_xlfn.MAXIFS(Transactions[Transaction Amount], Transactions[CustomerID],A173)/'Customer Profiles'!$M$10,10)</f>
        <v>1.1438708571346043</v>
      </c>
      <c r="F173" s="1">
        <f t="shared" si="9"/>
        <v>8</v>
      </c>
      <c r="G173" s="1">
        <f t="shared" si="10"/>
        <v>0.4</v>
      </c>
      <c r="H173" s="1">
        <f t="shared" si="11"/>
        <v>1</v>
      </c>
    </row>
    <row r="174" spans="1:8">
      <c r="A174" s="1">
        <v>83</v>
      </c>
      <c r="B174" s="8">
        <f>_xlfn.MAXIFS(Transactions[Transaction Date], Transactions[CustomerID],A174)</f>
        <v>43430</v>
      </c>
      <c r="C174" s="1">
        <f t="shared" si="8"/>
        <v>3</v>
      </c>
      <c r="D174" s="1">
        <f>COUNTIF(Transactions[CustomerID],"="&amp;A174)</f>
        <v>7</v>
      </c>
      <c r="E174" s="9">
        <f>IF(_xlfn.MAXIFS(Transactions[Transaction Amount], Transactions[CustomerID],A174)/'Customer Profiles'!$M$10&lt;=10,_xlfn.MAXIFS(Transactions[Transaction Amount], Transactions[CustomerID],A174)/'Customer Profiles'!$M$10,10)</f>
        <v>2.5671244965712749</v>
      </c>
      <c r="F174" s="1">
        <f t="shared" si="9"/>
        <v>3</v>
      </c>
      <c r="G174" s="1">
        <f t="shared" si="10"/>
        <v>1.4</v>
      </c>
      <c r="H174" s="1">
        <f t="shared" si="11"/>
        <v>1</v>
      </c>
    </row>
    <row r="175" spans="1:8">
      <c r="A175" s="1">
        <v>20</v>
      </c>
      <c r="B175" s="8">
        <f>_xlfn.MAXIFS(Transactions[Transaction Date], Transactions[CustomerID],A175)</f>
        <v>43016</v>
      </c>
      <c r="C175" s="1">
        <f t="shared" si="8"/>
        <v>4</v>
      </c>
      <c r="D175" s="1">
        <f>COUNTIF(Transactions[CustomerID],"="&amp;A175)</f>
        <v>1</v>
      </c>
      <c r="E175" s="9">
        <f>IF(_xlfn.MAXIFS(Transactions[Transaction Amount], Transactions[CustomerID],A175)/'Customer Profiles'!$M$10&lt;=10,_xlfn.MAXIFS(Transactions[Transaction Amount], Transactions[CustomerID],A175)/'Customer Profiles'!$M$10,10)</f>
        <v>0.27259184580855061</v>
      </c>
      <c r="F175" s="1">
        <f t="shared" si="9"/>
        <v>4</v>
      </c>
      <c r="G175" s="1">
        <f t="shared" si="10"/>
        <v>0.2</v>
      </c>
      <c r="H175" s="1">
        <f t="shared" si="11"/>
        <v>1</v>
      </c>
    </row>
    <row r="176" spans="1:8">
      <c r="A176" s="1">
        <v>584</v>
      </c>
      <c r="B176" s="8">
        <f>_xlfn.MAXIFS(Transactions[Transaction Date], Transactions[CustomerID],A176)</f>
        <v>42928</v>
      </c>
      <c r="C176" s="1">
        <f t="shared" si="8"/>
        <v>7</v>
      </c>
      <c r="D176" s="1">
        <f>COUNTIF(Transactions[CustomerID],"="&amp;A176)</f>
        <v>2</v>
      </c>
      <c r="E176" s="9">
        <f>IF(_xlfn.MAXIFS(Transactions[Transaction Amount], Transactions[CustomerID],A176)/'Customer Profiles'!$M$10&lt;=10,_xlfn.MAXIFS(Transactions[Transaction Amount], Transactions[CustomerID],A176)/'Customer Profiles'!$M$10,10)</f>
        <v>4.5055585335831925</v>
      </c>
      <c r="F176" s="1">
        <f t="shared" si="9"/>
        <v>7</v>
      </c>
      <c r="G176" s="1">
        <f t="shared" si="10"/>
        <v>0.4</v>
      </c>
      <c r="H176" s="1">
        <f t="shared" si="11"/>
        <v>1</v>
      </c>
    </row>
    <row r="177" spans="1:8">
      <c r="A177" s="1">
        <v>399</v>
      </c>
      <c r="B177" s="8">
        <f>_xlfn.MAXIFS(Transactions[Transaction Date], Transactions[CustomerID],A177)</f>
        <v>42778</v>
      </c>
      <c r="C177" s="1">
        <f t="shared" si="8"/>
        <v>1</v>
      </c>
      <c r="D177" s="1">
        <f>COUNTIF(Transactions[CustomerID],"="&amp;A177)</f>
        <v>1</v>
      </c>
      <c r="E177" s="9">
        <f>IF(_xlfn.MAXIFS(Transactions[Transaction Amount], Transactions[CustomerID],A177)/'Customer Profiles'!$M$10&lt;=10,_xlfn.MAXIFS(Transactions[Transaction Amount], Transactions[CustomerID],A177)/'Customer Profiles'!$M$10,10)</f>
        <v>0.54661774293985899</v>
      </c>
      <c r="F177" s="1">
        <f t="shared" si="9"/>
        <v>1</v>
      </c>
      <c r="G177" s="1">
        <f t="shared" si="10"/>
        <v>0.2</v>
      </c>
      <c r="H177" s="1">
        <f t="shared" si="11"/>
        <v>1</v>
      </c>
    </row>
    <row r="178" spans="1:8">
      <c r="A178" s="1">
        <v>138</v>
      </c>
      <c r="B178" s="8">
        <f>_xlfn.MAXIFS(Transactions[Transaction Date], Transactions[CustomerID],A178)</f>
        <v>43424</v>
      </c>
      <c r="C178" s="1">
        <f t="shared" si="8"/>
        <v>3</v>
      </c>
      <c r="D178" s="1">
        <f>COUNTIF(Transactions[CustomerID],"="&amp;A178)</f>
        <v>6</v>
      </c>
      <c r="E178" s="9">
        <f>IF(_xlfn.MAXIFS(Transactions[Transaction Amount], Transactions[CustomerID],A178)/'Customer Profiles'!$M$10&lt;=10,_xlfn.MAXIFS(Transactions[Transaction Amount], Transactions[CustomerID],A178)/'Customer Profiles'!$M$10,10)</f>
        <v>1.1897363154709752</v>
      </c>
      <c r="F178" s="1">
        <f t="shared" si="9"/>
        <v>3</v>
      </c>
      <c r="G178" s="1">
        <f t="shared" si="10"/>
        <v>1.2</v>
      </c>
      <c r="H178" s="1">
        <f t="shared" si="11"/>
        <v>1</v>
      </c>
    </row>
    <row r="179" spans="1:8">
      <c r="A179" s="1">
        <v>588</v>
      </c>
      <c r="B179" s="8">
        <f>_xlfn.MAXIFS(Transactions[Transaction Date], Transactions[CustomerID],A179)</f>
        <v>43415</v>
      </c>
      <c r="C179" s="1">
        <f t="shared" si="8"/>
        <v>3</v>
      </c>
      <c r="D179" s="1">
        <f>COUNTIF(Transactions[CustomerID],"="&amp;A179)</f>
        <v>6</v>
      </c>
      <c r="E179" s="9">
        <f>IF(_xlfn.MAXIFS(Transactions[Transaction Amount], Transactions[CustomerID],A179)/'Customer Profiles'!$M$10&lt;=10,_xlfn.MAXIFS(Transactions[Transaction Amount], Transactions[CustomerID],A179)/'Customer Profiles'!$M$10,10)</f>
        <v>2.3932067789067504</v>
      </c>
      <c r="F179" s="1">
        <f t="shared" si="9"/>
        <v>3</v>
      </c>
      <c r="G179" s="1">
        <f t="shared" si="10"/>
        <v>1.2</v>
      </c>
      <c r="H179" s="1">
        <f t="shared" si="11"/>
        <v>1</v>
      </c>
    </row>
    <row r="180" spans="1:8">
      <c r="A180" s="1">
        <v>341</v>
      </c>
      <c r="B180" s="8">
        <f>_xlfn.MAXIFS(Transactions[Transaction Date], Transactions[CustomerID],A180)</f>
        <v>43138</v>
      </c>
      <c r="C180" s="1">
        <f t="shared" si="8"/>
        <v>1</v>
      </c>
      <c r="D180" s="1">
        <f>COUNTIF(Transactions[CustomerID],"="&amp;A180)</f>
        <v>1</v>
      </c>
      <c r="E180" s="9">
        <f>IF(_xlfn.MAXIFS(Transactions[Transaction Amount], Transactions[CustomerID],A180)/'Customer Profiles'!$M$10&lt;=10,_xlfn.MAXIFS(Transactions[Transaction Amount], Transactions[CustomerID],A180)/'Customer Profiles'!$M$10,10)</f>
        <v>5.6999018828941365E-2</v>
      </c>
      <c r="F180" s="1">
        <f t="shared" si="9"/>
        <v>1</v>
      </c>
      <c r="G180" s="1">
        <f t="shared" si="10"/>
        <v>0.2</v>
      </c>
      <c r="H180" s="1">
        <f t="shared" si="11"/>
        <v>1</v>
      </c>
    </row>
    <row r="181" spans="1:8">
      <c r="A181" s="1">
        <v>284</v>
      </c>
      <c r="B181" s="8">
        <f>_xlfn.MAXIFS(Transactions[Transaction Date], Transactions[CustomerID],A181)</f>
        <v>43396</v>
      </c>
      <c r="C181" s="1">
        <f t="shared" si="8"/>
        <v>4</v>
      </c>
      <c r="D181" s="1">
        <f>COUNTIF(Transactions[CustomerID],"="&amp;A181)</f>
        <v>1</v>
      </c>
      <c r="E181" s="9">
        <f>IF(_xlfn.MAXIFS(Transactions[Transaction Amount], Transactions[CustomerID],A181)/'Customer Profiles'!$M$10&lt;=10,_xlfn.MAXIFS(Transactions[Transaction Amount], Transactions[CustomerID],A181)/'Customer Profiles'!$M$10,10)</f>
        <v>0.35824435271636262</v>
      </c>
      <c r="F181" s="1">
        <f t="shared" si="9"/>
        <v>4</v>
      </c>
      <c r="G181" s="1">
        <f t="shared" si="10"/>
        <v>0.2</v>
      </c>
      <c r="H181" s="1">
        <f t="shared" si="11"/>
        <v>1</v>
      </c>
    </row>
    <row r="182" spans="1:8">
      <c r="A182" s="1">
        <v>233</v>
      </c>
      <c r="B182" s="8">
        <f>_xlfn.MAXIFS(Transactions[Transaction Date], Transactions[CustomerID],A182)</f>
        <v>42843</v>
      </c>
      <c r="C182" s="1">
        <f t="shared" si="8"/>
        <v>10</v>
      </c>
      <c r="D182" s="1">
        <f>COUNTIF(Transactions[CustomerID],"="&amp;A182)</f>
        <v>1</v>
      </c>
      <c r="E182" s="9">
        <f>IF(_xlfn.MAXIFS(Transactions[Transaction Amount], Transactions[CustomerID],A182)/'Customer Profiles'!$M$10&lt;=10,_xlfn.MAXIFS(Transactions[Transaction Amount], Transactions[CustomerID],A182)/'Customer Profiles'!$M$10,10)</f>
        <v>0.50331650275733131</v>
      </c>
      <c r="F182" s="1">
        <f t="shared" si="9"/>
        <v>10</v>
      </c>
      <c r="G182" s="1">
        <f t="shared" si="10"/>
        <v>0.2</v>
      </c>
      <c r="H182" s="1">
        <f t="shared" si="11"/>
        <v>1</v>
      </c>
    </row>
    <row r="183" spans="1:8">
      <c r="A183" s="1">
        <v>515</v>
      </c>
      <c r="B183" s="8">
        <f>_xlfn.MAXIFS(Transactions[Transaction Date], Transactions[CustomerID],A183)</f>
        <v>43360</v>
      </c>
      <c r="C183" s="1">
        <f t="shared" si="8"/>
        <v>5</v>
      </c>
      <c r="D183" s="1">
        <f>COUNTIF(Transactions[CustomerID],"="&amp;A183)</f>
        <v>1</v>
      </c>
      <c r="E183" s="9">
        <f>IF(_xlfn.MAXIFS(Transactions[Transaction Amount], Transactions[CustomerID],A183)/'Customer Profiles'!$M$10&lt;=10,_xlfn.MAXIFS(Transactions[Transaction Amount], Transactions[CustomerID],A183)/'Customer Profiles'!$M$10,10)</f>
        <v>1.1855032469660516</v>
      </c>
      <c r="F183" s="1">
        <f t="shared" si="9"/>
        <v>5</v>
      </c>
      <c r="G183" s="1">
        <f t="shared" si="10"/>
        <v>0.2</v>
      </c>
      <c r="H183" s="1">
        <f t="shared" si="11"/>
        <v>1</v>
      </c>
    </row>
    <row r="184" spans="1:8">
      <c r="A184" s="1">
        <v>184</v>
      </c>
      <c r="B184" s="8">
        <f>_xlfn.MAXIFS(Transactions[Transaction Date], Transactions[CustomerID],A184)</f>
        <v>43150</v>
      </c>
      <c r="C184" s="1">
        <f t="shared" si="8"/>
        <v>1</v>
      </c>
      <c r="D184" s="1">
        <f>COUNTIF(Transactions[CustomerID],"="&amp;A184)</f>
        <v>2</v>
      </c>
      <c r="E184" s="9">
        <f>IF(_xlfn.MAXIFS(Transactions[Transaction Amount], Transactions[CustomerID],A184)/'Customer Profiles'!$M$10&lt;=10,_xlfn.MAXIFS(Transactions[Transaction Amount], Transactions[CustomerID],A184)/'Customer Profiles'!$M$10,10)</f>
        <v>0.24303119346377206</v>
      </c>
      <c r="F184" s="1">
        <f t="shared" si="9"/>
        <v>1</v>
      </c>
      <c r="G184" s="1">
        <f t="shared" si="10"/>
        <v>0.4</v>
      </c>
      <c r="H184" s="1">
        <f t="shared" si="11"/>
        <v>1</v>
      </c>
    </row>
    <row r="185" spans="1:8">
      <c r="A185" s="1">
        <v>41</v>
      </c>
      <c r="B185" s="8">
        <f>_xlfn.MAXIFS(Transactions[Transaction Date], Transactions[CustomerID],A185)</f>
        <v>43435</v>
      </c>
      <c r="C185" s="1">
        <f t="shared" si="8"/>
        <v>3</v>
      </c>
      <c r="D185" s="1">
        <f>COUNTIF(Transactions[CustomerID],"="&amp;A185)</f>
        <v>8</v>
      </c>
      <c r="E185" s="9">
        <f>IF(_xlfn.MAXIFS(Transactions[Transaction Amount], Transactions[CustomerID],A185)/'Customer Profiles'!$M$10&lt;=10,_xlfn.MAXIFS(Transactions[Transaction Amount], Transactions[CustomerID],A185)/'Customer Profiles'!$M$10,10)</f>
        <v>2.0498976322614704</v>
      </c>
      <c r="F185" s="1">
        <f t="shared" si="9"/>
        <v>3</v>
      </c>
      <c r="G185" s="1">
        <f t="shared" si="10"/>
        <v>1.6</v>
      </c>
      <c r="H185" s="1">
        <f t="shared" si="11"/>
        <v>1</v>
      </c>
    </row>
    <row r="186" spans="1:8">
      <c r="A186" s="1">
        <v>67</v>
      </c>
      <c r="B186" s="8">
        <f>_xlfn.MAXIFS(Transactions[Transaction Date], Transactions[CustomerID],A186)</f>
        <v>43474</v>
      </c>
      <c r="C186" s="1">
        <f t="shared" si="8"/>
        <v>1</v>
      </c>
      <c r="D186" s="1">
        <f>COUNTIF(Transactions[CustomerID],"="&amp;A186)</f>
        <v>15</v>
      </c>
      <c r="E186" s="9">
        <f>IF(_xlfn.MAXIFS(Transactions[Transaction Amount], Transactions[CustomerID],A186)/'Customer Profiles'!$M$10&lt;=10,_xlfn.MAXIFS(Transactions[Transaction Amount], Transactions[CustomerID],A186)/'Customer Profiles'!$M$10,10)</f>
        <v>5.8306318798881085</v>
      </c>
      <c r="F186" s="1">
        <f t="shared" si="9"/>
        <v>1</v>
      </c>
      <c r="G186" s="1">
        <f t="shared" si="10"/>
        <v>3</v>
      </c>
      <c r="H186" s="1">
        <f t="shared" si="11"/>
        <v>2.58</v>
      </c>
    </row>
    <row r="187" spans="1:8">
      <c r="A187" s="1">
        <v>498</v>
      </c>
      <c r="B187" s="8">
        <f>_xlfn.MAXIFS(Transactions[Transaction Date], Transactions[CustomerID],A187)</f>
        <v>42919</v>
      </c>
      <c r="C187" s="1">
        <f t="shared" si="8"/>
        <v>7</v>
      </c>
      <c r="D187" s="1">
        <f>COUNTIF(Transactions[CustomerID],"="&amp;A187)</f>
        <v>1</v>
      </c>
      <c r="E187" s="9">
        <f>IF(_xlfn.MAXIFS(Transactions[Transaction Amount], Transactions[CustomerID],A187)/'Customer Profiles'!$M$10&lt;=10,_xlfn.MAXIFS(Transactions[Transaction Amount], Transactions[CustomerID],A187)/'Customer Profiles'!$M$10,10)</f>
        <v>0.13765581321995585</v>
      </c>
      <c r="F187" s="1">
        <f t="shared" si="9"/>
        <v>7</v>
      </c>
      <c r="G187" s="1">
        <f t="shared" si="10"/>
        <v>0.2</v>
      </c>
      <c r="H187" s="1">
        <f t="shared" si="11"/>
        <v>1</v>
      </c>
    </row>
    <row r="188" spans="1:8">
      <c r="A188" s="1">
        <v>582</v>
      </c>
      <c r="B188" s="8">
        <f>_xlfn.MAXIFS(Transactions[Transaction Date], Transactions[CustomerID],A188)</f>
        <v>43339</v>
      </c>
      <c r="C188" s="1">
        <f t="shared" si="8"/>
        <v>6</v>
      </c>
      <c r="D188" s="1">
        <f>COUNTIF(Transactions[CustomerID],"="&amp;A188)</f>
        <v>1</v>
      </c>
      <c r="E188" s="9">
        <f>IF(_xlfn.MAXIFS(Transactions[Transaction Amount], Transactions[CustomerID],A188)/'Customer Profiles'!$M$10&lt;=10,_xlfn.MAXIFS(Transactions[Transaction Amount], Transactions[CustomerID],A188)/'Customer Profiles'!$M$10,10)</f>
        <v>4.6224436471839762E-2</v>
      </c>
      <c r="F188" s="1">
        <f t="shared" si="9"/>
        <v>6</v>
      </c>
      <c r="G188" s="1">
        <f t="shared" si="10"/>
        <v>0.2</v>
      </c>
      <c r="H188" s="1">
        <f t="shared" si="11"/>
        <v>1</v>
      </c>
    </row>
    <row r="189" spans="1:8">
      <c r="A189" s="1">
        <v>464</v>
      </c>
      <c r="B189" s="8">
        <f>_xlfn.MAXIFS(Transactions[Transaction Date], Transactions[CustomerID],A189)</f>
        <v>43003</v>
      </c>
      <c r="C189" s="1">
        <f t="shared" si="8"/>
        <v>5</v>
      </c>
      <c r="D189" s="1">
        <f>COUNTIF(Transactions[CustomerID],"="&amp;A189)</f>
        <v>1</v>
      </c>
      <c r="E189" s="9">
        <f>IF(_xlfn.MAXIFS(Transactions[Transaction Amount], Transactions[CustomerID],A189)/'Customer Profiles'!$M$10&lt;=10,_xlfn.MAXIFS(Transactions[Transaction Amount], Transactions[CustomerID],A189)/'Customer Profiles'!$M$10,10)</f>
        <v>0.86309157523941205</v>
      </c>
      <c r="F189" s="1">
        <f t="shared" si="9"/>
        <v>5</v>
      </c>
      <c r="G189" s="1">
        <f t="shared" si="10"/>
        <v>0.2</v>
      </c>
      <c r="H189" s="1">
        <f t="shared" si="11"/>
        <v>1</v>
      </c>
    </row>
    <row r="190" spans="1:8">
      <c r="A190" s="1">
        <v>577</v>
      </c>
      <c r="B190" s="8">
        <f>_xlfn.MAXIFS(Transactions[Transaction Date], Transactions[CustomerID],A190)</f>
        <v>43471</v>
      </c>
      <c r="C190" s="1">
        <f t="shared" si="8"/>
        <v>1</v>
      </c>
      <c r="D190" s="1">
        <f>COUNTIF(Transactions[CustomerID],"="&amp;A190)</f>
        <v>6</v>
      </c>
      <c r="E190" s="9">
        <f>IF(_xlfn.MAXIFS(Transactions[Transaction Amount], Transactions[CustomerID],A190)/'Customer Profiles'!$M$10&lt;=10,_xlfn.MAXIFS(Transactions[Transaction Amount], Transactions[CustomerID],A190)/'Customer Profiles'!$M$10,10)</f>
        <v>1.4029435853150702</v>
      </c>
      <c r="F190" s="1">
        <f t="shared" si="9"/>
        <v>1</v>
      </c>
      <c r="G190" s="1">
        <f t="shared" si="10"/>
        <v>1.2</v>
      </c>
      <c r="H190" s="1">
        <f t="shared" si="11"/>
        <v>1</v>
      </c>
    </row>
    <row r="191" spans="1:8">
      <c r="A191" s="1">
        <v>125</v>
      </c>
      <c r="B191" s="8">
        <f>_xlfn.MAXIFS(Transactions[Transaction Date], Transactions[CustomerID],A191)</f>
        <v>43023</v>
      </c>
      <c r="C191" s="1">
        <f t="shared" si="8"/>
        <v>4</v>
      </c>
      <c r="D191" s="1">
        <f>COUNTIF(Transactions[CustomerID],"="&amp;A191)</f>
        <v>1</v>
      </c>
      <c r="E191" s="9">
        <f>IF(_xlfn.MAXIFS(Transactions[Transaction Amount], Transactions[CustomerID],A191)/'Customer Profiles'!$M$10&lt;=10,_xlfn.MAXIFS(Transactions[Transaction Amount], Transactions[CustomerID],A191)/'Customer Profiles'!$M$10,10)</f>
        <v>6.8830069111190079E-2</v>
      </c>
      <c r="F191" s="1">
        <f t="shared" si="9"/>
        <v>4</v>
      </c>
      <c r="G191" s="1">
        <f t="shared" si="10"/>
        <v>0.2</v>
      </c>
      <c r="H191" s="1">
        <f t="shared" si="11"/>
        <v>1</v>
      </c>
    </row>
    <row r="192" spans="1:8">
      <c r="A192" s="1">
        <v>378</v>
      </c>
      <c r="B192" s="8">
        <f>_xlfn.MAXIFS(Transactions[Transaction Date], Transactions[CustomerID],A192)</f>
        <v>42785</v>
      </c>
      <c r="C192" s="1">
        <f t="shared" si="8"/>
        <v>1</v>
      </c>
      <c r="D192" s="1">
        <f>COUNTIF(Transactions[CustomerID],"="&amp;A192)</f>
        <v>1</v>
      </c>
      <c r="E192" s="9">
        <f>IF(_xlfn.MAXIFS(Transactions[Transaction Amount], Transactions[CustomerID],A192)/'Customer Profiles'!$M$10&lt;=10,_xlfn.MAXIFS(Transactions[Transaction Amount], Transactions[CustomerID],A192)/'Customer Profiles'!$M$10,10)</f>
        <v>1.854895664620468</v>
      </c>
      <c r="F192" s="1">
        <f t="shared" si="9"/>
        <v>1</v>
      </c>
      <c r="G192" s="1">
        <f t="shared" si="10"/>
        <v>0.2</v>
      </c>
      <c r="H192" s="1">
        <f t="shared" si="11"/>
        <v>1</v>
      </c>
    </row>
    <row r="193" spans="1:8">
      <c r="A193" s="1">
        <v>213</v>
      </c>
      <c r="B193" s="8">
        <f>_xlfn.MAXIFS(Transactions[Transaction Date], Transactions[CustomerID],A193)</f>
        <v>43400</v>
      </c>
      <c r="C193" s="1">
        <f t="shared" si="8"/>
        <v>4</v>
      </c>
      <c r="D193" s="1">
        <f>COUNTIF(Transactions[CustomerID],"="&amp;A193)</f>
        <v>1</v>
      </c>
      <c r="E193" s="9">
        <f>IF(_xlfn.MAXIFS(Transactions[Transaction Amount], Transactions[CustomerID],A193)/'Customer Profiles'!$M$10&lt;=10,_xlfn.MAXIFS(Transactions[Transaction Amount], Transactions[CustomerID],A193)/'Customer Profiles'!$M$10,10)</f>
        <v>3.1317466037499293</v>
      </c>
      <c r="F193" s="1">
        <f t="shared" si="9"/>
        <v>4</v>
      </c>
      <c r="G193" s="1">
        <f t="shared" si="10"/>
        <v>0.2</v>
      </c>
      <c r="H193" s="1">
        <f t="shared" si="11"/>
        <v>1</v>
      </c>
    </row>
    <row r="194" spans="1:8">
      <c r="A194" s="1">
        <v>215</v>
      </c>
      <c r="B194" s="8">
        <f>_xlfn.MAXIFS(Transactions[Transaction Date], Transactions[CustomerID],A194)</f>
        <v>43441</v>
      </c>
      <c r="C194" s="1">
        <f t="shared" si="8"/>
        <v>2</v>
      </c>
      <c r="D194" s="1">
        <f>COUNTIF(Transactions[CustomerID],"="&amp;A194)</f>
        <v>2</v>
      </c>
      <c r="E194" s="9">
        <f>IF(_xlfn.MAXIFS(Transactions[Transaction Amount], Transactions[CustomerID],A194)/'Customer Profiles'!$M$10&lt;=10,_xlfn.MAXIFS(Transactions[Transaction Amount], Transactions[CustomerID],A194)/'Customer Profiles'!$M$10,10)</f>
        <v>2.8419053032821937</v>
      </c>
      <c r="F194" s="1">
        <f t="shared" si="9"/>
        <v>2</v>
      </c>
      <c r="G194" s="1">
        <f t="shared" si="10"/>
        <v>0.4</v>
      </c>
      <c r="H194" s="1">
        <f t="shared" si="11"/>
        <v>1</v>
      </c>
    </row>
    <row r="195" spans="1:8">
      <c r="A195" s="1">
        <v>459</v>
      </c>
      <c r="B195" s="8">
        <f>_xlfn.MAXIFS(Transactions[Transaction Date], Transactions[CustomerID],A195)</f>
        <v>43352</v>
      </c>
      <c r="C195" s="1">
        <f t="shared" si="8"/>
        <v>5</v>
      </c>
      <c r="D195" s="1">
        <f>COUNTIF(Transactions[CustomerID],"="&amp;A195)</f>
        <v>2</v>
      </c>
      <c r="E195" s="9">
        <f>IF(_xlfn.MAXIFS(Transactions[Transaction Amount], Transactions[CustomerID],A195)/'Customer Profiles'!$M$10&lt;=10,_xlfn.MAXIFS(Transactions[Transaction Amount], Transactions[CustomerID],A195)/'Customer Profiles'!$M$10,10)</f>
        <v>2.2132722763199113</v>
      </c>
      <c r="F195" s="1">
        <f t="shared" si="9"/>
        <v>5</v>
      </c>
      <c r="G195" s="1">
        <f t="shared" si="10"/>
        <v>0.4</v>
      </c>
      <c r="H195" s="1">
        <f t="shared" si="11"/>
        <v>1</v>
      </c>
    </row>
    <row r="196" spans="1:8">
      <c r="A196" s="1">
        <v>405</v>
      </c>
      <c r="B196" s="8">
        <f>_xlfn.MAXIFS(Transactions[Transaction Date], Transactions[CustomerID],A196)</f>
        <v>43453</v>
      </c>
      <c r="C196" s="1">
        <f t="shared" si="8"/>
        <v>2</v>
      </c>
      <c r="D196" s="1">
        <f>COUNTIF(Transactions[CustomerID],"="&amp;A196)</f>
        <v>4</v>
      </c>
      <c r="E196" s="9">
        <f>IF(_xlfn.MAXIFS(Transactions[Transaction Amount], Transactions[CustomerID],A196)/'Customer Profiles'!$M$10&lt;=10,_xlfn.MAXIFS(Transactions[Transaction Amount], Transactions[CustomerID],A196)/'Customer Profiles'!$M$10,10)</f>
        <v>4.3117553594350815</v>
      </c>
      <c r="F196" s="1">
        <f t="shared" si="9"/>
        <v>2</v>
      </c>
      <c r="G196" s="1">
        <f t="shared" si="10"/>
        <v>0.8</v>
      </c>
      <c r="H196" s="1">
        <f t="shared" si="11"/>
        <v>1.03</v>
      </c>
    </row>
    <row r="197" spans="1:8">
      <c r="A197" s="1">
        <v>494</v>
      </c>
      <c r="B197" s="8">
        <f>_xlfn.MAXIFS(Transactions[Transaction Date], Transactions[CustomerID],A197)</f>
        <v>43277</v>
      </c>
      <c r="C197" s="1">
        <f t="shared" si="8"/>
        <v>8</v>
      </c>
      <c r="D197" s="1">
        <f>COUNTIF(Transactions[CustomerID],"="&amp;A197)</f>
        <v>5</v>
      </c>
      <c r="E197" s="9">
        <f>IF(_xlfn.MAXIFS(Transactions[Transaction Amount], Transactions[CustomerID],A197)/'Customer Profiles'!$M$10&lt;=10,_xlfn.MAXIFS(Transactions[Transaction Amount], Transactions[CustomerID],A197)/'Customer Profiles'!$M$10,10)</f>
        <v>2.079608035574656</v>
      </c>
      <c r="F197" s="1">
        <f t="shared" si="9"/>
        <v>8</v>
      </c>
      <c r="G197" s="1">
        <f t="shared" si="10"/>
        <v>1</v>
      </c>
      <c r="H197" s="1">
        <f t="shared" si="11"/>
        <v>1</v>
      </c>
    </row>
    <row r="198" spans="1:8">
      <c r="A198" s="1">
        <v>369</v>
      </c>
      <c r="B198" s="8">
        <f>_xlfn.MAXIFS(Transactions[Transaction Date], Transactions[CustomerID],A198)</f>
        <v>43438</v>
      </c>
      <c r="C198" s="1">
        <f t="shared" ref="C198:C261" si="12">(MAX(DATEDIF(B198,"03/01/2019","ym"),1))</f>
        <v>2</v>
      </c>
      <c r="D198" s="1">
        <f>COUNTIF(Transactions[CustomerID],"="&amp;A198)</f>
        <v>2</v>
      </c>
      <c r="E198" s="9">
        <f>IF(_xlfn.MAXIFS(Transactions[Transaction Amount], Transactions[CustomerID],A198)/'Customer Profiles'!$M$10&lt;=10,_xlfn.MAXIFS(Transactions[Transaction Amount], Transactions[CustomerID],A198)/'Customer Profiles'!$M$10,10)</f>
        <v>0.95088968263455964</v>
      </c>
      <c r="F198" s="1">
        <f t="shared" ref="F198:F261" si="13">IF(ROUND(C198,2)&lt;=10,ROUND(C198,2),10)</f>
        <v>2</v>
      </c>
      <c r="G198" s="1">
        <f t="shared" ref="G198:G261" si="14">IF(ROUND(D198/$M$6,2)&lt;=10,ROUND(D198/$M$6,2),10)</f>
        <v>0.4</v>
      </c>
      <c r="H198" s="1">
        <f t="shared" ref="H198:H261" si="15">IF(ROUND(E198*$K$8+F198*$K$6+G198*$K$7,2)&lt;1,1,ROUND(E198*$K$8+F198*$K$6+G198*$K$7,2))</f>
        <v>1</v>
      </c>
    </row>
    <row r="199" spans="1:8">
      <c r="A199" s="1">
        <v>9</v>
      </c>
      <c r="B199" s="8">
        <f>_xlfn.MAXIFS(Transactions[Transaction Date], Transactions[CustomerID],A199)</f>
        <v>43082</v>
      </c>
      <c r="C199" s="1">
        <f t="shared" si="12"/>
        <v>2</v>
      </c>
      <c r="D199" s="1">
        <f>COUNTIF(Transactions[CustomerID],"="&amp;A199)</f>
        <v>2</v>
      </c>
      <c r="E199" s="9">
        <f>IF(_xlfn.MAXIFS(Transactions[Transaction Amount], Transactions[CustomerID],A199)/'Customer Profiles'!$M$10&lt;=10,_xlfn.MAXIFS(Transactions[Transaction Amount], Transactions[CustomerID],A199)/'Customer Profiles'!$M$10,10)</f>
        <v>2.026153568905166</v>
      </c>
      <c r="F199" s="1">
        <f t="shared" si="13"/>
        <v>2</v>
      </c>
      <c r="G199" s="1">
        <f t="shared" si="14"/>
        <v>0.4</v>
      </c>
      <c r="H199" s="1">
        <f t="shared" si="15"/>
        <v>1</v>
      </c>
    </row>
    <row r="200" spans="1:8">
      <c r="A200" s="1">
        <v>177</v>
      </c>
      <c r="B200" s="8">
        <f>_xlfn.MAXIFS(Transactions[Transaction Date], Transactions[CustomerID],A200)</f>
        <v>43393</v>
      </c>
      <c r="C200" s="1">
        <f t="shared" si="12"/>
        <v>4</v>
      </c>
      <c r="D200" s="1">
        <f>COUNTIF(Transactions[CustomerID],"="&amp;A200)</f>
        <v>6</v>
      </c>
      <c r="E200" s="9">
        <f>IF(_xlfn.MAXIFS(Transactions[Transaction Amount], Transactions[CustomerID],A200)/'Customer Profiles'!$M$10&lt;=10,_xlfn.MAXIFS(Transactions[Transaction Amount], Transactions[CustomerID],A200)/'Customer Profiles'!$M$10,10)</f>
        <v>2.3740645771305267</v>
      </c>
      <c r="F200" s="1">
        <f t="shared" si="13"/>
        <v>4</v>
      </c>
      <c r="G200" s="1">
        <f t="shared" si="14"/>
        <v>1.2</v>
      </c>
      <c r="H200" s="1">
        <f t="shared" si="15"/>
        <v>1</v>
      </c>
    </row>
    <row r="201" spans="1:8">
      <c r="A201" s="1">
        <v>381</v>
      </c>
      <c r="B201" s="8">
        <f>_xlfn.MAXIFS(Transactions[Transaction Date], Transactions[CustomerID],A201)</f>
        <v>43129</v>
      </c>
      <c r="C201" s="1">
        <f t="shared" si="12"/>
        <v>1</v>
      </c>
      <c r="D201" s="1">
        <f>COUNTIF(Transactions[CustomerID],"="&amp;A201)</f>
        <v>1</v>
      </c>
      <c r="E201" s="9">
        <f>IF(_xlfn.MAXIFS(Transactions[Transaction Amount], Transactions[CustomerID],A201)/'Customer Profiles'!$M$10&lt;=10,_xlfn.MAXIFS(Transactions[Transaction Amount], Transactions[CustomerID],A201)/'Customer Profiles'!$M$10,10)</f>
        <v>2.5581669538197751</v>
      </c>
      <c r="F201" s="1">
        <f t="shared" si="13"/>
        <v>1</v>
      </c>
      <c r="G201" s="1">
        <f t="shared" si="14"/>
        <v>0.2</v>
      </c>
      <c r="H201" s="1">
        <f t="shared" si="15"/>
        <v>1</v>
      </c>
    </row>
    <row r="202" spans="1:8">
      <c r="A202" s="1">
        <v>164</v>
      </c>
      <c r="B202" s="8">
        <f>_xlfn.MAXIFS(Transactions[Transaction Date], Transactions[CustomerID],A202)</f>
        <v>43444</v>
      </c>
      <c r="C202" s="1">
        <f t="shared" si="12"/>
        <v>2</v>
      </c>
      <c r="D202" s="1">
        <f>COUNTIF(Transactions[CustomerID],"="&amp;A202)</f>
        <v>4</v>
      </c>
      <c r="E202" s="9">
        <f>IF(_xlfn.MAXIFS(Transactions[Transaction Amount], Transactions[CustomerID],A202)/'Customer Profiles'!$M$10&lt;=10,_xlfn.MAXIFS(Transactions[Transaction Amount], Transactions[CustomerID],A202)/'Customer Profiles'!$M$10,10)</f>
        <v>1.5516952036543239</v>
      </c>
      <c r="F202" s="1">
        <f t="shared" si="13"/>
        <v>2</v>
      </c>
      <c r="G202" s="1">
        <f t="shared" si="14"/>
        <v>0.8</v>
      </c>
      <c r="H202" s="1">
        <f t="shared" si="15"/>
        <v>1</v>
      </c>
    </row>
    <row r="203" spans="1:8">
      <c r="A203" s="1">
        <v>373</v>
      </c>
      <c r="B203" s="8">
        <f>_xlfn.MAXIFS(Transactions[Transaction Date], Transactions[CustomerID],A203)</f>
        <v>42907</v>
      </c>
      <c r="C203" s="1">
        <f t="shared" si="12"/>
        <v>8</v>
      </c>
      <c r="D203" s="1">
        <f>COUNTIF(Transactions[CustomerID],"="&amp;A203)</f>
        <v>1</v>
      </c>
      <c r="E203" s="9">
        <f>IF(_xlfn.MAXIFS(Transactions[Transaction Amount], Transactions[CustomerID],A203)/'Customer Profiles'!$M$10&lt;=10,_xlfn.MAXIFS(Transactions[Transaction Amount], Transactions[CustomerID],A203)/'Customer Profiles'!$M$10,10)</f>
        <v>0.95494272604669217</v>
      </c>
      <c r="F203" s="1">
        <f t="shared" si="13"/>
        <v>8</v>
      </c>
      <c r="G203" s="1">
        <f t="shared" si="14"/>
        <v>0.2</v>
      </c>
      <c r="H203" s="1">
        <f t="shared" si="15"/>
        <v>1</v>
      </c>
    </row>
    <row r="204" spans="1:8">
      <c r="A204" s="1">
        <v>293</v>
      </c>
      <c r="B204" s="8">
        <f>_xlfn.MAXIFS(Transactions[Transaction Date], Transactions[CustomerID],A204)</f>
        <v>43442</v>
      </c>
      <c r="C204" s="1">
        <f t="shared" si="12"/>
        <v>2</v>
      </c>
      <c r="D204" s="1">
        <f>COUNTIF(Transactions[CustomerID],"="&amp;A204)</f>
        <v>5</v>
      </c>
      <c r="E204" s="9">
        <f>IF(_xlfn.MAXIFS(Transactions[Transaction Amount], Transactions[CustomerID],A204)/'Customer Profiles'!$M$10&lt;=10,_xlfn.MAXIFS(Transactions[Transaction Amount], Transactions[CustomerID],A204)/'Customer Profiles'!$M$10,10)</f>
        <v>0.69421351203278503</v>
      </c>
      <c r="F204" s="1">
        <f t="shared" si="13"/>
        <v>2</v>
      </c>
      <c r="G204" s="1">
        <f t="shared" si="14"/>
        <v>1</v>
      </c>
      <c r="H204" s="1">
        <f t="shared" si="15"/>
        <v>1</v>
      </c>
    </row>
    <row r="205" spans="1:8">
      <c r="A205" s="1">
        <v>471</v>
      </c>
      <c r="B205" s="8">
        <f>_xlfn.MAXIFS(Transactions[Transaction Date], Transactions[CustomerID],A205)</f>
        <v>43481</v>
      </c>
      <c r="C205" s="1">
        <f t="shared" si="12"/>
        <v>1</v>
      </c>
      <c r="D205" s="1">
        <f>COUNTIF(Transactions[CustomerID],"="&amp;A205)</f>
        <v>12</v>
      </c>
      <c r="E205" s="9">
        <f>IF(_xlfn.MAXIFS(Transactions[Transaction Amount], Transactions[CustomerID],A205)/'Customer Profiles'!$M$10&lt;=10,_xlfn.MAXIFS(Transactions[Transaction Amount], Transactions[CustomerID],A205)/'Customer Profiles'!$M$10,10)</f>
        <v>2.4796678476195972</v>
      </c>
      <c r="F205" s="1">
        <f t="shared" si="13"/>
        <v>1</v>
      </c>
      <c r="G205" s="1">
        <f t="shared" si="14"/>
        <v>2.4</v>
      </c>
      <c r="H205" s="1">
        <f t="shared" si="15"/>
        <v>1.28</v>
      </c>
    </row>
    <row r="206" spans="1:8">
      <c r="A206" s="1">
        <v>21</v>
      </c>
      <c r="B206" s="8">
        <f>_xlfn.MAXIFS(Transactions[Transaction Date], Transactions[CustomerID],A206)</f>
        <v>42867</v>
      </c>
      <c r="C206" s="1">
        <f t="shared" si="12"/>
        <v>9</v>
      </c>
      <c r="D206" s="1">
        <f>COUNTIF(Transactions[CustomerID],"="&amp;A206)</f>
        <v>1</v>
      </c>
      <c r="E206" s="9">
        <f>IF(_xlfn.MAXIFS(Transactions[Transaction Amount], Transactions[CustomerID],A206)/'Customer Profiles'!$M$10&lt;=10,_xlfn.MAXIFS(Transactions[Transaction Amount], Transactions[CustomerID],A206)/'Customer Profiles'!$M$10,10)</f>
        <v>1.0105492985219033</v>
      </c>
      <c r="F206" s="1">
        <f t="shared" si="13"/>
        <v>9</v>
      </c>
      <c r="G206" s="1">
        <f t="shared" si="14"/>
        <v>0.2</v>
      </c>
      <c r="H206" s="1">
        <f t="shared" si="15"/>
        <v>1</v>
      </c>
    </row>
    <row r="207" spans="1:8">
      <c r="A207" s="1">
        <v>216</v>
      </c>
      <c r="B207" s="8">
        <f>_xlfn.MAXIFS(Transactions[Transaction Date], Transactions[CustomerID],A207)</f>
        <v>43461</v>
      </c>
      <c r="C207" s="1">
        <f t="shared" si="12"/>
        <v>2</v>
      </c>
      <c r="D207" s="1">
        <f>COUNTIF(Transactions[CustomerID],"="&amp;A207)</f>
        <v>10</v>
      </c>
      <c r="E207" s="9">
        <f>IF(_xlfn.MAXIFS(Transactions[Transaction Amount], Transactions[CustomerID],A207)/'Customer Profiles'!$M$10&lt;=10,_xlfn.MAXIFS(Transactions[Transaction Amount], Transactions[CustomerID],A207)/'Customer Profiles'!$M$10,10)</f>
        <v>4.9207208431419129</v>
      </c>
      <c r="F207" s="1">
        <f t="shared" si="13"/>
        <v>2</v>
      </c>
      <c r="G207" s="1">
        <f t="shared" si="14"/>
        <v>2</v>
      </c>
      <c r="H207" s="1">
        <f t="shared" si="15"/>
        <v>1.62</v>
      </c>
    </row>
    <row r="208" spans="1:8">
      <c r="A208" s="1">
        <v>259</v>
      </c>
      <c r="B208" s="8">
        <f>_xlfn.MAXIFS(Transactions[Transaction Date], Transactions[CustomerID],A208)</f>
        <v>43406</v>
      </c>
      <c r="C208" s="1">
        <f t="shared" si="12"/>
        <v>3</v>
      </c>
      <c r="D208" s="1">
        <f>COUNTIF(Transactions[CustomerID],"="&amp;A208)</f>
        <v>7</v>
      </c>
      <c r="E208" s="9">
        <f>IF(_xlfn.MAXIFS(Transactions[Transaction Amount], Transactions[CustomerID],A208)/'Customer Profiles'!$M$10&lt;=10,_xlfn.MAXIFS(Transactions[Transaction Amount], Transactions[CustomerID],A208)/'Customer Profiles'!$M$10,10)</f>
        <v>1.5454411933831973</v>
      </c>
      <c r="F208" s="1">
        <f t="shared" si="13"/>
        <v>3</v>
      </c>
      <c r="G208" s="1">
        <f t="shared" si="14"/>
        <v>1.4</v>
      </c>
      <c r="H208" s="1">
        <f t="shared" si="15"/>
        <v>1</v>
      </c>
    </row>
    <row r="209" spans="1:8">
      <c r="A209" s="1">
        <v>140</v>
      </c>
      <c r="B209" s="8">
        <f>_xlfn.MAXIFS(Transactions[Transaction Date], Transactions[CustomerID],A209)</f>
        <v>43389</v>
      </c>
      <c r="C209" s="1">
        <f t="shared" si="12"/>
        <v>4</v>
      </c>
      <c r="D209" s="1">
        <f>COUNTIF(Transactions[CustomerID],"="&amp;A209)</f>
        <v>3</v>
      </c>
      <c r="E209" s="9">
        <f>IF(_xlfn.MAXIFS(Transactions[Transaction Amount], Transactions[CustomerID],A209)/'Customer Profiles'!$M$10&lt;=10,_xlfn.MAXIFS(Transactions[Transaction Amount], Transactions[CustomerID],A209)/'Customer Profiles'!$M$10,10)</f>
        <v>0.76907002715044992</v>
      </c>
      <c r="F209" s="1">
        <f t="shared" si="13"/>
        <v>4</v>
      </c>
      <c r="G209" s="1">
        <f t="shared" si="14"/>
        <v>0.6</v>
      </c>
      <c r="H209" s="1">
        <f t="shared" si="15"/>
        <v>1</v>
      </c>
    </row>
    <row r="210" spans="1:8">
      <c r="A210" s="1">
        <v>51</v>
      </c>
      <c r="B210" s="8">
        <f>_xlfn.MAXIFS(Transactions[Transaction Date], Transactions[CustomerID],A210)</f>
        <v>43117</v>
      </c>
      <c r="C210" s="1">
        <f t="shared" si="12"/>
        <v>1</v>
      </c>
      <c r="D210" s="1">
        <f>COUNTIF(Transactions[CustomerID],"="&amp;A210)</f>
        <v>2</v>
      </c>
      <c r="E210" s="9">
        <f>IF(_xlfn.MAXIFS(Transactions[Transaction Amount], Transactions[CustomerID],A210)/'Customer Profiles'!$M$10&lt;=10,_xlfn.MAXIFS(Transactions[Transaction Amount], Transactions[CustomerID],A210)/'Customer Profiles'!$M$10,10)</f>
        <v>1.631932442487541</v>
      </c>
      <c r="F210" s="1">
        <f t="shared" si="13"/>
        <v>1</v>
      </c>
      <c r="G210" s="1">
        <f t="shared" si="14"/>
        <v>0.4</v>
      </c>
      <c r="H210" s="1">
        <f t="shared" si="15"/>
        <v>1</v>
      </c>
    </row>
    <row r="211" spans="1:8">
      <c r="A211" s="1">
        <v>24</v>
      </c>
      <c r="B211" s="8">
        <f>_xlfn.MAXIFS(Transactions[Transaction Date], Transactions[CustomerID],A211)</f>
        <v>43187</v>
      </c>
      <c r="C211" s="1">
        <f t="shared" si="12"/>
        <v>11</v>
      </c>
      <c r="D211" s="1">
        <f>COUNTIF(Transactions[CustomerID],"="&amp;A211)</f>
        <v>1</v>
      </c>
      <c r="E211" s="9">
        <f>IF(_xlfn.MAXIFS(Transactions[Transaction Amount], Transactions[CustomerID],A211)/'Customer Profiles'!$M$10&lt;=10,_xlfn.MAXIFS(Transactions[Transaction Amount], Transactions[CustomerID],A211)/'Customer Profiles'!$M$10,10)</f>
        <v>1.002750501513231</v>
      </c>
      <c r="F211" s="1">
        <f t="shared" si="13"/>
        <v>10</v>
      </c>
      <c r="G211" s="1">
        <f t="shared" si="14"/>
        <v>0.2</v>
      </c>
      <c r="H211" s="1">
        <f t="shared" si="15"/>
        <v>1</v>
      </c>
    </row>
    <row r="212" spans="1:8">
      <c r="A212" s="1">
        <v>426</v>
      </c>
      <c r="B212" s="8">
        <f>_xlfn.MAXIFS(Transactions[Transaction Date], Transactions[CustomerID],A212)</f>
        <v>42889</v>
      </c>
      <c r="C212" s="1">
        <f t="shared" si="12"/>
        <v>8</v>
      </c>
      <c r="D212" s="1">
        <f>COUNTIF(Transactions[CustomerID],"="&amp;A212)</f>
        <v>1</v>
      </c>
      <c r="E212" s="9">
        <f>IF(_xlfn.MAXIFS(Transactions[Transaction Amount], Transactions[CustomerID],A212)/'Customer Profiles'!$M$10&lt;=10,_xlfn.MAXIFS(Transactions[Transaction Amount], Transactions[CustomerID],A212)/'Customer Profiles'!$M$10,10)</f>
        <v>4.3844849232357201E-2</v>
      </c>
      <c r="F212" s="1">
        <f t="shared" si="13"/>
        <v>8</v>
      </c>
      <c r="G212" s="1">
        <f t="shared" si="14"/>
        <v>0.2</v>
      </c>
      <c r="H212" s="1">
        <f t="shared" si="15"/>
        <v>1</v>
      </c>
    </row>
    <row r="213" spans="1:8">
      <c r="A213" s="1">
        <v>72</v>
      </c>
      <c r="B213" s="8">
        <f>_xlfn.MAXIFS(Transactions[Transaction Date], Transactions[CustomerID],A213)</f>
        <v>43131</v>
      </c>
      <c r="C213" s="1">
        <f t="shared" si="12"/>
        <v>1</v>
      </c>
      <c r="D213" s="1">
        <f>COUNTIF(Transactions[CustomerID],"="&amp;A213)</f>
        <v>1</v>
      </c>
      <c r="E213" s="9">
        <f>IF(_xlfn.MAXIFS(Transactions[Transaction Amount], Transactions[CustomerID],A213)/'Customer Profiles'!$M$10&lt;=10,_xlfn.MAXIFS(Transactions[Transaction Amount], Transactions[CustomerID],A213)/'Customer Profiles'!$M$10,10)</f>
        <v>0.41450607038411652</v>
      </c>
      <c r="F213" s="1">
        <f t="shared" si="13"/>
        <v>1</v>
      </c>
      <c r="G213" s="1">
        <f t="shared" si="14"/>
        <v>0.2</v>
      </c>
      <c r="H213" s="1">
        <f t="shared" si="15"/>
        <v>1</v>
      </c>
    </row>
    <row r="214" spans="1:8">
      <c r="A214" s="1">
        <v>450</v>
      </c>
      <c r="B214" s="8">
        <f>_xlfn.MAXIFS(Transactions[Transaction Date], Transactions[CustomerID],A214)</f>
        <v>43400</v>
      </c>
      <c r="C214" s="1">
        <f t="shared" si="12"/>
        <v>4</v>
      </c>
      <c r="D214" s="1">
        <f>COUNTIF(Transactions[CustomerID],"="&amp;A214)</f>
        <v>6</v>
      </c>
      <c r="E214" s="9">
        <f>IF(_xlfn.MAXIFS(Transactions[Transaction Amount], Transactions[CustomerID],A214)/'Customer Profiles'!$M$10&lt;=10,_xlfn.MAXIFS(Transactions[Transaction Amount], Transactions[CustomerID],A214)/'Customer Profiles'!$M$10,10)</f>
        <v>2.0944987025281856</v>
      </c>
      <c r="F214" s="1">
        <f t="shared" si="13"/>
        <v>4</v>
      </c>
      <c r="G214" s="1">
        <f t="shared" si="14"/>
        <v>1.2</v>
      </c>
      <c r="H214" s="1">
        <f t="shared" si="15"/>
        <v>1</v>
      </c>
    </row>
    <row r="215" spans="1:8">
      <c r="A215" s="1">
        <v>180</v>
      </c>
      <c r="B215" s="8">
        <f>_xlfn.MAXIFS(Transactions[Transaction Date], Transactions[CustomerID],A215)</f>
        <v>42844</v>
      </c>
      <c r="C215" s="1">
        <f t="shared" si="12"/>
        <v>10</v>
      </c>
      <c r="D215" s="1">
        <f>COUNTIF(Transactions[CustomerID],"="&amp;A215)</f>
        <v>1</v>
      </c>
      <c r="E215" s="9">
        <f>IF(_xlfn.MAXIFS(Transactions[Transaction Amount], Transactions[CustomerID],A215)/'Customer Profiles'!$M$10&lt;=10,_xlfn.MAXIFS(Transactions[Transaction Amount], Transactions[CustomerID],A215)/'Customer Profiles'!$M$10,10)</f>
        <v>0.36315548682580484</v>
      </c>
      <c r="F215" s="1">
        <f t="shared" si="13"/>
        <v>10</v>
      </c>
      <c r="G215" s="1">
        <f t="shared" si="14"/>
        <v>0.2</v>
      </c>
      <c r="H215" s="1">
        <f t="shared" si="15"/>
        <v>1</v>
      </c>
    </row>
    <row r="216" spans="1:8">
      <c r="A216" s="1">
        <v>572</v>
      </c>
      <c r="B216" s="8">
        <f>_xlfn.MAXIFS(Transactions[Transaction Date], Transactions[CustomerID],A216)</f>
        <v>43440</v>
      </c>
      <c r="C216" s="1">
        <f t="shared" si="12"/>
        <v>2</v>
      </c>
      <c r="D216" s="1">
        <f>COUNTIF(Transactions[CustomerID],"="&amp;A216)</f>
        <v>8</v>
      </c>
      <c r="E216" s="9">
        <f>IF(_xlfn.MAXIFS(Transactions[Transaction Amount], Transactions[CustomerID],A216)/'Customer Profiles'!$M$10&lt;=10,_xlfn.MAXIFS(Transactions[Transaction Amount], Transactions[CustomerID],A216)/'Customer Profiles'!$M$10,10)</f>
        <v>3.5101141751889986</v>
      </c>
      <c r="F216" s="1">
        <f t="shared" si="13"/>
        <v>2</v>
      </c>
      <c r="G216" s="1">
        <f t="shared" si="14"/>
        <v>1.6</v>
      </c>
      <c r="H216" s="1">
        <f t="shared" si="15"/>
        <v>1.03</v>
      </c>
    </row>
    <row r="217" spans="1:8">
      <c r="A217" s="1">
        <v>42</v>
      </c>
      <c r="B217" s="8">
        <f>_xlfn.MAXIFS(Transactions[Transaction Date], Transactions[CustomerID],A217)</f>
        <v>43462</v>
      </c>
      <c r="C217" s="1">
        <f t="shared" si="12"/>
        <v>2</v>
      </c>
      <c r="D217" s="1">
        <f>COUNTIF(Transactions[CustomerID],"="&amp;A217)</f>
        <v>2</v>
      </c>
      <c r="E217" s="9">
        <f>IF(_xlfn.MAXIFS(Transactions[Transaction Amount], Transactions[CustomerID],A217)/'Customer Profiles'!$M$10&lt;=10,_xlfn.MAXIFS(Transactions[Transaction Amount], Transactions[CustomerID],A217)/'Customer Profiles'!$M$10,10)</f>
        <v>1.6213485105103822</v>
      </c>
      <c r="F217" s="1">
        <f t="shared" si="13"/>
        <v>2</v>
      </c>
      <c r="G217" s="1">
        <f t="shared" si="14"/>
        <v>0.4</v>
      </c>
      <c r="H217" s="1">
        <f t="shared" si="15"/>
        <v>1</v>
      </c>
    </row>
    <row r="218" spans="1:8">
      <c r="A218" s="1">
        <v>272</v>
      </c>
      <c r="B218" s="8">
        <f>_xlfn.MAXIFS(Transactions[Transaction Date], Transactions[CustomerID],A218)</f>
        <v>43428</v>
      </c>
      <c r="C218" s="1">
        <f t="shared" si="12"/>
        <v>3</v>
      </c>
      <c r="D218" s="1">
        <f>COUNTIF(Transactions[CustomerID],"="&amp;A218)</f>
        <v>5</v>
      </c>
      <c r="E218" s="9">
        <f>IF(_xlfn.MAXIFS(Transactions[Transaction Amount], Transactions[CustomerID],A218)/'Customer Profiles'!$M$10&lt;=10,_xlfn.MAXIFS(Transactions[Transaction Amount], Transactions[CustomerID],A218)/'Customer Profiles'!$M$10,10)</f>
        <v>6.0422741528373471</v>
      </c>
      <c r="F218" s="1">
        <f t="shared" si="13"/>
        <v>3</v>
      </c>
      <c r="G218" s="1">
        <f t="shared" si="14"/>
        <v>1</v>
      </c>
      <c r="H218" s="1">
        <f t="shared" si="15"/>
        <v>1.33</v>
      </c>
    </row>
    <row r="219" spans="1:8">
      <c r="A219" s="1">
        <v>478</v>
      </c>
      <c r="B219" s="8">
        <f>_xlfn.MAXIFS(Transactions[Transaction Date], Transactions[CustomerID],A219)</f>
        <v>43185</v>
      </c>
      <c r="C219" s="1">
        <f t="shared" si="12"/>
        <v>11</v>
      </c>
      <c r="D219" s="1">
        <f>COUNTIF(Transactions[CustomerID],"="&amp;A219)</f>
        <v>5</v>
      </c>
      <c r="E219" s="9">
        <f>IF(_xlfn.MAXIFS(Transactions[Transaction Amount], Transactions[CustomerID],A219)/'Customer Profiles'!$M$10&lt;=10,_xlfn.MAXIFS(Transactions[Transaction Amount], Transactions[CustomerID],A219)/'Customer Profiles'!$M$10,10)</f>
        <v>1.403945033205841</v>
      </c>
      <c r="F219" s="1">
        <f t="shared" si="13"/>
        <v>10</v>
      </c>
      <c r="G219" s="1">
        <f t="shared" si="14"/>
        <v>1</v>
      </c>
      <c r="H219" s="1">
        <f t="shared" si="15"/>
        <v>1</v>
      </c>
    </row>
    <row r="220" spans="1:8">
      <c r="A220" s="1">
        <v>416</v>
      </c>
      <c r="B220" s="8">
        <f>_xlfn.MAXIFS(Transactions[Transaction Date], Transactions[CustomerID],A220)</f>
        <v>42964</v>
      </c>
      <c r="C220" s="1">
        <f t="shared" si="12"/>
        <v>6</v>
      </c>
      <c r="D220" s="1">
        <f>COUNTIF(Transactions[CustomerID],"="&amp;A220)</f>
        <v>1</v>
      </c>
      <c r="E220" s="9">
        <f>IF(_xlfn.MAXIFS(Transactions[Transaction Amount], Transactions[CustomerID],A220)/'Customer Profiles'!$M$10&lt;=10,_xlfn.MAXIFS(Transactions[Transaction Amount], Transactions[CustomerID],A220)/'Customer Profiles'!$M$10,10)</f>
        <v>0.71749441828824245</v>
      </c>
      <c r="F220" s="1">
        <f t="shared" si="13"/>
        <v>6</v>
      </c>
      <c r="G220" s="1">
        <f t="shared" si="14"/>
        <v>0.2</v>
      </c>
      <c r="H220" s="1">
        <f t="shared" si="15"/>
        <v>1</v>
      </c>
    </row>
    <row r="221" spans="1:8">
      <c r="A221" s="1">
        <v>343</v>
      </c>
      <c r="B221" s="8">
        <f>_xlfn.MAXIFS(Transactions[Transaction Date], Transactions[CustomerID],A221)</f>
        <v>43472</v>
      </c>
      <c r="C221" s="1">
        <f t="shared" si="12"/>
        <v>1</v>
      </c>
      <c r="D221" s="1">
        <f>COUNTIF(Transactions[CustomerID],"="&amp;A221)</f>
        <v>12</v>
      </c>
      <c r="E221" s="9">
        <f>IF(_xlfn.MAXIFS(Transactions[Transaction Amount], Transactions[CustomerID],A221)/'Customer Profiles'!$M$10&lt;=10,_xlfn.MAXIFS(Transactions[Transaction Amount], Transactions[CustomerID],A221)/'Customer Profiles'!$M$10,10)</f>
        <v>1.9292466182089116</v>
      </c>
      <c r="F221" s="1">
        <f t="shared" si="13"/>
        <v>1</v>
      </c>
      <c r="G221" s="1">
        <f t="shared" si="14"/>
        <v>2.4</v>
      </c>
      <c r="H221" s="1">
        <f t="shared" si="15"/>
        <v>1.1000000000000001</v>
      </c>
    </row>
    <row r="222" spans="1:8">
      <c r="A222" s="1">
        <v>445</v>
      </c>
      <c r="B222" s="8">
        <f>_xlfn.MAXIFS(Transactions[Transaction Date], Transactions[CustomerID],A222)</f>
        <v>43422</v>
      </c>
      <c r="C222" s="1">
        <f t="shared" si="12"/>
        <v>3</v>
      </c>
      <c r="D222" s="1">
        <f>COUNTIF(Transactions[CustomerID],"="&amp;A222)</f>
        <v>3</v>
      </c>
      <c r="E222" s="9">
        <f>IF(_xlfn.MAXIFS(Transactions[Transaction Amount], Transactions[CustomerID],A222)/'Customer Profiles'!$M$10&lt;=10,_xlfn.MAXIFS(Transactions[Transaction Amount], Transactions[CustomerID],A222)/'Customer Profiles'!$M$10,10)</f>
        <v>1.52168815254816</v>
      </c>
      <c r="F222" s="1">
        <f t="shared" si="13"/>
        <v>3</v>
      </c>
      <c r="G222" s="1">
        <f t="shared" si="14"/>
        <v>0.6</v>
      </c>
      <c r="H222" s="1">
        <f t="shared" si="15"/>
        <v>1</v>
      </c>
    </row>
    <row r="223" spans="1:8">
      <c r="A223" s="1">
        <v>225</v>
      </c>
      <c r="B223" s="8">
        <f>_xlfn.MAXIFS(Transactions[Transaction Date], Transactions[CustomerID],A223)</f>
        <v>43493</v>
      </c>
      <c r="C223" s="1">
        <f t="shared" si="12"/>
        <v>1</v>
      </c>
      <c r="D223" s="1">
        <f>COUNTIF(Transactions[CustomerID],"="&amp;A223)</f>
        <v>9</v>
      </c>
      <c r="E223" s="9">
        <f>IF(_xlfn.MAXIFS(Transactions[Transaction Amount], Transactions[CustomerID],A223)/'Customer Profiles'!$M$10&lt;=10,_xlfn.MAXIFS(Transactions[Transaction Amount], Transactions[CustomerID],A223)/'Customer Profiles'!$M$10,10)</f>
        <v>1.6543411859150807</v>
      </c>
      <c r="F223" s="1">
        <f t="shared" si="13"/>
        <v>1</v>
      </c>
      <c r="G223" s="1">
        <f t="shared" si="14"/>
        <v>1.8</v>
      </c>
      <c r="H223" s="1">
        <f t="shared" si="15"/>
        <v>1</v>
      </c>
    </row>
    <row r="224" spans="1:8">
      <c r="A224" s="1">
        <v>424</v>
      </c>
      <c r="B224" s="8">
        <f>_xlfn.MAXIFS(Transactions[Transaction Date], Transactions[CustomerID],A224)</f>
        <v>43290</v>
      </c>
      <c r="C224" s="1">
        <f t="shared" si="12"/>
        <v>7</v>
      </c>
      <c r="D224" s="1">
        <f>COUNTIF(Transactions[CustomerID],"="&amp;A224)</f>
        <v>4</v>
      </c>
      <c r="E224" s="9">
        <f>IF(_xlfn.MAXIFS(Transactions[Transaction Amount], Transactions[CustomerID],A224)/'Customer Profiles'!$M$10&lt;=10,_xlfn.MAXIFS(Transactions[Transaction Amount], Transactions[CustomerID],A224)/'Customer Profiles'!$M$10,10)</f>
        <v>2.8259226279863565</v>
      </c>
      <c r="F224" s="1">
        <f t="shared" si="13"/>
        <v>7</v>
      </c>
      <c r="G224" s="1">
        <f t="shared" si="14"/>
        <v>0.8</v>
      </c>
      <c r="H224" s="1">
        <f t="shared" si="15"/>
        <v>1</v>
      </c>
    </row>
    <row r="225" spans="1:8">
      <c r="A225" s="1">
        <v>554</v>
      </c>
      <c r="B225" s="8">
        <f>_xlfn.MAXIFS(Transactions[Transaction Date], Transactions[CustomerID],A225)</f>
        <v>43123</v>
      </c>
      <c r="C225" s="1">
        <f t="shared" si="12"/>
        <v>1</v>
      </c>
      <c r="D225" s="1">
        <f>COUNTIF(Transactions[CustomerID],"="&amp;A225)</f>
        <v>3</v>
      </c>
      <c r="E225" s="9">
        <f>IF(_xlfn.MAXIFS(Transactions[Transaction Amount], Transactions[CustomerID],A225)/'Customer Profiles'!$M$10&lt;=10,_xlfn.MAXIFS(Transactions[Transaction Amount], Transactions[CustomerID],A225)/'Customer Profiles'!$M$10,10)</f>
        <v>3.1219652708953447</v>
      </c>
      <c r="F225" s="1">
        <f t="shared" si="13"/>
        <v>1</v>
      </c>
      <c r="G225" s="1">
        <f t="shared" si="14"/>
        <v>0.6</v>
      </c>
      <c r="H225" s="1">
        <f t="shared" si="15"/>
        <v>1</v>
      </c>
    </row>
    <row r="226" spans="1:8">
      <c r="A226" s="1">
        <v>524</v>
      </c>
      <c r="B226" s="8">
        <f>_xlfn.MAXIFS(Transactions[Transaction Date], Transactions[CustomerID],A226)</f>
        <v>42736</v>
      </c>
      <c r="C226" s="1">
        <f t="shared" si="12"/>
        <v>2</v>
      </c>
      <c r="D226" s="1">
        <f>COUNTIF(Transactions[CustomerID],"="&amp;A226)</f>
        <v>1</v>
      </c>
      <c r="E226" s="9">
        <f>IF(_xlfn.MAXIFS(Transactions[Transaction Amount], Transactions[CustomerID],A226)/'Customer Profiles'!$M$10&lt;=10,_xlfn.MAXIFS(Transactions[Transaction Amount], Transactions[CustomerID],A226)/'Customer Profiles'!$M$10,10)</f>
        <v>0.32042771896067157</v>
      </c>
      <c r="F226" s="1">
        <f t="shared" si="13"/>
        <v>2</v>
      </c>
      <c r="G226" s="1">
        <f t="shared" si="14"/>
        <v>0.2</v>
      </c>
      <c r="H226" s="1">
        <f t="shared" si="15"/>
        <v>1</v>
      </c>
    </row>
    <row r="227" spans="1:8">
      <c r="A227" s="1">
        <v>243</v>
      </c>
      <c r="B227" s="8">
        <f>_xlfn.MAXIFS(Transactions[Transaction Date], Transactions[CustomerID],A227)</f>
        <v>43300</v>
      </c>
      <c r="C227" s="1">
        <f t="shared" si="12"/>
        <v>7</v>
      </c>
      <c r="D227" s="1">
        <f>COUNTIF(Transactions[CustomerID],"="&amp;A227)</f>
        <v>3</v>
      </c>
      <c r="E227" s="9">
        <f>IF(_xlfn.MAXIFS(Transactions[Transaction Amount], Transactions[CustomerID],A227)/'Customer Profiles'!$M$10&lt;=10,_xlfn.MAXIFS(Transactions[Transaction Amount], Transactions[CustomerID],A227)/'Customer Profiles'!$M$10,10)</f>
        <v>1.964501602770478</v>
      </c>
      <c r="F227" s="1">
        <f t="shared" si="13"/>
        <v>7</v>
      </c>
      <c r="G227" s="1">
        <f t="shared" si="14"/>
        <v>0.6</v>
      </c>
      <c r="H227" s="1">
        <f t="shared" si="15"/>
        <v>1</v>
      </c>
    </row>
    <row r="228" spans="1:8">
      <c r="A228" s="1">
        <v>186</v>
      </c>
      <c r="B228" s="8">
        <f>_xlfn.MAXIFS(Transactions[Transaction Date], Transactions[CustomerID],A228)</f>
        <v>43313</v>
      </c>
      <c r="C228" s="1">
        <f t="shared" si="12"/>
        <v>7</v>
      </c>
      <c r="D228" s="1">
        <f>COUNTIF(Transactions[CustomerID],"="&amp;A228)</f>
        <v>4</v>
      </c>
      <c r="E228" s="9">
        <f>IF(_xlfn.MAXIFS(Transactions[Transaction Amount], Transactions[CustomerID],A228)/'Customer Profiles'!$M$10&lt;=10,_xlfn.MAXIFS(Transactions[Transaction Amount], Transactions[CustomerID],A228)/'Customer Profiles'!$M$10,10)</f>
        <v>2.3691293204482635</v>
      </c>
      <c r="F228" s="1">
        <f t="shared" si="13"/>
        <v>7</v>
      </c>
      <c r="G228" s="1">
        <f t="shared" si="14"/>
        <v>0.8</v>
      </c>
      <c r="H228" s="1">
        <f t="shared" si="15"/>
        <v>1</v>
      </c>
    </row>
    <row r="229" spans="1:8">
      <c r="A229" s="1">
        <v>79</v>
      </c>
      <c r="B229" s="8">
        <f>_xlfn.MAXIFS(Transactions[Transaction Date], Transactions[CustomerID],A229)</f>
        <v>43403</v>
      </c>
      <c r="C229" s="1">
        <f t="shared" si="12"/>
        <v>4</v>
      </c>
      <c r="D229" s="1">
        <f>COUNTIF(Transactions[CustomerID],"="&amp;A229)</f>
        <v>5</v>
      </c>
      <c r="E229" s="9">
        <f>IF(_xlfn.MAXIFS(Transactions[Transaction Amount], Transactions[CustomerID],A229)/'Customer Profiles'!$M$10&lt;=10,_xlfn.MAXIFS(Transactions[Transaction Amount], Transactions[CustomerID],A229)/'Customer Profiles'!$M$10,10)</f>
        <v>6.40855615454476</v>
      </c>
      <c r="F229" s="1">
        <f t="shared" si="13"/>
        <v>4</v>
      </c>
      <c r="G229" s="1">
        <f t="shared" si="14"/>
        <v>1</v>
      </c>
      <c r="H229" s="1">
        <f t="shared" si="15"/>
        <v>1.1200000000000001</v>
      </c>
    </row>
    <row r="230" spans="1:8">
      <c r="A230" s="1">
        <v>356</v>
      </c>
      <c r="B230" s="8">
        <f>_xlfn.MAXIFS(Transactions[Transaction Date], Transactions[CustomerID],A230)</f>
        <v>43314</v>
      </c>
      <c r="C230" s="1">
        <f t="shared" si="12"/>
        <v>6</v>
      </c>
      <c r="D230" s="1">
        <f>COUNTIF(Transactions[CustomerID],"="&amp;A230)</f>
        <v>4</v>
      </c>
      <c r="E230" s="9">
        <f>IF(_xlfn.MAXIFS(Transactions[Transaction Amount], Transactions[CustomerID],A230)/'Customer Profiles'!$M$10&lt;=10,_xlfn.MAXIFS(Transactions[Transaction Amount], Transactions[CustomerID],A230)/'Customer Profiles'!$M$10,10)</f>
        <v>2.5893103055914928</v>
      </c>
      <c r="F230" s="1">
        <f t="shared" si="13"/>
        <v>6</v>
      </c>
      <c r="G230" s="1">
        <f t="shared" si="14"/>
        <v>0.8</v>
      </c>
      <c r="H230" s="1">
        <f t="shared" si="15"/>
        <v>1</v>
      </c>
    </row>
    <row r="231" spans="1:8">
      <c r="A231" s="1">
        <v>37</v>
      </c>
      <c r="B231" s="8">
        <f>_xlfn.MAXIFS(Transactions[Transaction Date], Transactions[CustomerID],A231)</f>
        <v>43169</v>
      </c>
      <c r="C231" s="1">
        <f t="shared" si="12"/>
        <v>11</v>
      </c>
      <c r="D231" s="1">
        <f>COUNTIF(Transactions[CustomerID],"="&amp;A231)</f>
        <v>2</v>
      </c>
      <c r="E231" s="9">
        <f>IF(_xlfn.MAXIFS(Transactions[Transaction Amount], Transactions[CustomerID],A231)/'Customer Profiles'!$M$10&lt;=10,_xlfn.MAXIFS(Transactions[Transaction Amount], Transactions[CustomerID],A231)/'Customer Profiles'!$M$10,10)</f>
        <v>0.44782515383241761</v>
      </c>
      <c r="F231" s="1">
        <f t="shared" si="13"/>
        <v>10</v>
      </c>
      <c r="G231" s="1">
        <f t="shared" si="14"/>
        <v>0.4</v>
      </c>
      <c r="H231" s="1">
        <f t="shared" si="15"/>
        <v>1</v>
      </c>
    </row>
    <row r="232" spans="1:8">
      <c r="A232" s="1">
        <v>156</v>
      </c>
      <c r="B232" s="8">
        <f>_xlfn.MAXIFS(Transactions[Transaction Date], Transactions[CustomerID],A232)</f>
        <v>43440</v>
      </c>
      <c r="C232" s="1">
        <f t="shared" si="12"/>
        <v>2</v>
      </c>
      <c r="D232" s="1">
        <f>COUNTIF(Transactions[CustomerID],"="&amp;A232)</f>
        <v>8</v>
      </c>
      <c r="E232" s="9">
        <f>IF(_xlfn.MAXIFS(Transactions[Transaction Amount], Transactions[CustomerID],A232)/'Customer Profiles'!$M$10&lt;=10,_xlfn.MAXIFS(Transactions[Transaction Amount], Transactions[CustomerID],A232)/'Customer Profiles'!$M$10,10)</f>
        <v>1.5687334094356296</v>
      </c>
      <c r="F232" s="1">
        <f t="shared" si="13"/>
        <v>2</v>
      </c>
      <c r="G232" s="1">
        <f t="shared" si="14"/>
        <v>1.6</v>
      </c>
      <c r="H232" s="1">
        <f t="shared" si="15"/>
        <v>1</v>
      </c>
    </row>
    <row r="233" spans="1:8">
      <c r="A233" s="1">
        <v>26</v>
      </c>
      <c r="B233" s="8">
        <f>_xlfn.MAXIFS(Transactions[Transaction Date], Transactions[CustomerID],A233)</f>
        <v>42752</v>
      </c>
      <c r="C233" s="1">
        <f t="shared" si="12"/>
        <v>1</v>
      </c>
      <c r="D233" s="1">
        <f>COUNTIF(Transactions[CustomerID],"="&amp;A233)</f>
        <v>1</v>
      </c>
      <c r="E233" s="9">
        <f>IF(_xlfn.MAXIFS(Transactions[Transaction Amount], Transactions[CustomerID],A233)/'Customer Profiles'!$M$10&lt;=10,_xlfn.MAXIFS(Transactions[Transaction Amount], Transactions[CustomerID],A233)/'Customer Profiles'!$M$10,10)</f>
        <v>0.46651842395018034</v>
      </c>
      <c r="F233" s="1">
        <f t="shared" si="13"/>
        <v>1</v>
      </c>
      <c r="G233" s="1">
        <f t="shared" si="14"/>
        <v>0.2</v>
      </c>
      <c r="H233" s="1">
        <f t="shared" si="15"/>
        <v>1</v>
      </c>
    </row>
    <row r="234" spans="1:8">
      <c r="A234" s="1">
        <v>333</v>
      </c>
      <c r="B234" s="8">
        <f>_xlfn.MAXIFS(Transactions[Transaction Date], Transactions[CustomerID],A234)</f>
        <v>43170</v>
      </c>
      <c r="C234" s="1">
        <f t="shared" si="12"/>
        <v>11</v>
      </c>
      <c r="D234" s="1">
        <f>COUNTIF(Transactions[CustomerID],"="&amp;A234)</f>
        <v>1</v>
      </c>
      <c r="E234" s="9">
        <f>IF(_xlfn.MAXIFS(Transactions[Transaction Amount], Transactions[CustomerID],A234)/'Customer Profiles'!$M$10&lt;=10,_xlfn.MAXIFS(Transactions[Transaction Amount], Transactions[CustomerID],A234)/'Customer Profiles'!$M$10,10)</f>
        <v>0.45447793423694582</v>
      </c>
      <c r="F234" s="1">
        <f t="shared" si="13"/>
        <v>10</v>
      </c>
      <c r="G234" s="1">
        <f t="shared" si="14"/>
        <v>0.2</v>
      </c>
      <c r="H234" s="1">
        <f t="shared" si="15"/>
        <v>1</v>
      </c>
    </row>
    <row r="235" spans="1:8">
      <c r="A235" s="1">
        <v>372</v>
      </c>
      <c r="B235" s="8">
        <f>_xlfn.MAXIFS(Transactions[Transaction Date], Transactions[CustomerID],A235)</f>
        <v>43379</v>
      </c>
      <c r="C235" s="1">
        <f t="shared" si="12"/>
        <v>4</v>
      </c>
      <c r="D235" s="1">
        <f>COUNTIF(Transactions[CustomerID],"="&amp;A235)</f>
        <v>1</v>
      </c>
      <c r="E235" s="9">
        <f>IF(_xlfn.MAXIFS(Transactions[Transaction Amount], Transactions[CustomerID],A235)/'Customer Profiles'!$M$10&lt;=10,_xlfn.MAXIFS(Transactions[Transaction Amount], Transactions[CustomerID],A235)/'Customer Profiles'!$M$10,10)</f>
        <v>0.59494973897942083</v>
      </c>
      <c r="F235" s="1">
        <f t="shared" si="13"/>
        <v>4</v>
      </c>
      <c r="G235" s="1">
        <f t="shared" si="14"/>
        <v>0.2</v>
      </c>
      <c r="H235" s="1">
        <f t="shared" si="15"/>
        <v>1</v>
      </c>
    </row>
    <row r="236" spans="1:8">
      <c r="A236" s="1">
        <v>188</v>
      </c>
      <c r="B236" s="8">
        <f>_xlfn.MAXIFS(Transactions[Transaction Date], Transactions[CustomerID],A236)</f>
        <v>42787</v>
      </c>
      <c r="C236" s="1">
        <f t="shared" si="12"/>
        <v>1</v>
      </c>
      <c r="D236" s="1">
        <f>COUNTIF(Transactions[CustomerID],"="&amp;A236)</f>
        <v>1</v>
      </c>
      <c r="E236" s="9">
        <f>IF(_xlfn.MAXIFS(Transactions[Transaction Amount], Transactions[CustomerID],A236)/'Customer Profiles'!$M$10&lt;=10,_xlfn.MAXIFS(Transactions[Transaction Amount], Transactions[CustomerID],A236)/'Customer Profiles'!$M$10,10)</f>
        <v>6.9379511756836834E-2</v>
      </c>
      <c r="F236" s="1">
        <f t="shared" si="13"/>
        <v>1</v>
      </c>
      <c r="G236" s="1">
        <f t="shared" si="14"/>
        <v>0.2</v>
      </c>
      <c r="H236" s="1">
        <f t="shared" si="15"/>
        <v>1</v>
      </c>
    </row>
    <row r="237" spans="1:8">
      <c r="A237" s="1">
        <v>529</v>
      </c>
      <c r="B237" s="8">
        <f>_xlfn.MAXIFS(Transactions[Transaction Date], Transactions[CustomerID],A237)</f>
        <v>43162</v>
      </c>
      <c r="C237" s="1">
        <f t="shared" si="12"/>
        <v>11</v>
      </c>
      <c r="D237" s="1">
        <f>COUNTIF(Transactions[CustomerID],"="&amp;A237)</f>
        <v>1</v>
      </c>
      <c r="E237" s="9">
        <f>IF(_xlfn.MAXIFS(Transactions[Transaction Amount], Transactions[CustomerID],A237)/'Customer Profiles'!$M$10&lt;=10,_xlfn.MAXIFS(Transactions[Transaction Amount], Transactions[CustomerID],A237)/'Customer Profiles'!$M$10,10)</f>
        <v>2.6712023407712744</v>
      </c>
      <c r="F237" s="1">
        <f t="shared" si="13"/>
        <v>10</v>
      </c>
      <c r="G237" s="1">
        <f t="shared" si="14"/>
        <v>0.2</v>
      </c>
      <c r="H237" s="1">
        <f t="shared" si="15"/>
        <v>1</v>
      </c>
    </row>
    <row r="238" spans="1:8">
      <c r="A238" s="1">
        <v>550</v>
      </c>
      <c r="B238" s="8">
        <f>_xlfn.MAXIFS(Transactions[Transaction Date], Transactions[CustomerID],A238)</f>
        <v>43344</v>
      </c>
      <c r="C238" s="1">
        <f t="shared" si="12"/>
        <v>6</v>
      </c>
      <c r="D238" s="1">
        <f>COUNTIF(Transactions[CustomerID],"="&amp;A238)</f>
        <v>1</v>
      </c>
      <c r="E238" s="9">
        <f>IF(_xlfn.MAXIFS(Transactions[Transaction Amount], Transactions[CustomerID],A238)/'Customer Profiles'!$M$10&lt;=10,_xlfn.MAXIFS(Transactions[Transaction Amount], Transactions[CustomerID],A238)/'Customer Profiles'!$M$10,10)</f>
        <v>0.88556812057924572</v>
      </c>
      <c r="F238" s="1">
        <f t="shared" si="13"/>
        <v>6</v>
      </c>
      <c r="G238" s="1">
        <f t="shared" si="14"/>
        <v>0.2</v>
      </c>
      <c r="H238" s="1">
        <f t="shared" si="15"/>
        <v>1</v>
      </c>
    </row>
    <row r="239" spans="1:8">
      <c r="A239" s="1">
        <v>421</v>
      </c>
      <c r="B239" s="8">
        <f>_xlfn.MAXIFS(Transactions[Transaction Date], Transactions[CustomerID],A239)</f>
        <v>43328</v>
      </c>
      <c r="C239" s="1">
        <f t="shared" si="12"/>
        <v>6</v>
      </c>
      <c r="D239" s="1">
        <f>COUNTIF(Transactions[CustomerID],"="&amp;A239)</f>
        <v>4</v>
      </c>
      <c r="E239" s="9">
        <f>IF(_xlfn.MAXIFS(Transactions[Transaction Amount], Transactions[CustomerID],A239)/'Customer Profiles'!$M$10&lt;=10,_xlfn.MAXIFS(Transactions[Transaction Amount], Transactions[CustomerID],A239)/'Customer Profiles'!$M$10,10)</f>
        <v>2.2787682304904315</v>
      </c>
      <c r="F239" s="1">
        <f t="shared" si="13"/>
        <v>6</v>
      </c>
      <c r="G239" s="1">
        <f t="shared" si="14"/>
        <v>0.8</v>
      </c>
      <c r="H239" s="1">
        <f t="shared" si="15"/>
        <v>1</v>
      </c>
    </row>
    <row r="240" spans="1:8">
      <c r="A240" s="1">
        <v>298</v>
      </c>
      <c r="B240" s="8">
        <f>_xlfn.MAXIFS(Transactions[Transaction Date], Transactions[CustomerID],A240)</f>
        <v>43079</v>
      </c>
      <c r="C240" s="1">
        <f t="shared" si="12"/>
        <v>2</v>
      </c>
      <c r="D240" s="1">
        <f>COUNTIF(Transactions[CustomerID],"="&amp;A240)</f>
        <v>1</v>
      </c>
      <c r="E240" s="9">
        <f>IF(_xlfn.MAXIFS(Transactions[Transaction Amount], Transactions[CustomerID],A240)/'Customer Profiles'!$M$10&lt;=10,_xlfn.MAXIFS(Transactions[Transaction Amount], Transactions[CustomerID],A240)/'Customer Profiles'!$M$10,10)</f>
        <v>3.8646962495064803</v>
      </c>
      <c r="F240" s="1">
        <f t="shared" si="13"/>
        <v>2</v>
      </c>
      <c r="G240" s="1">
        <f t="shared" si="14"/>
        <v>0.2</v>
      </c>
      <c r="H240" s="1">
        <f t="shared" si="15"/>
        <v>1</v>
      </c>
    </row>
    <row r="241" spans="1:8">
      <c r="A241" s="1">
        <v>208</v>
      </c>
      <c r="B241" s="8">
        <f>_xlfn.MAXIFS(Transactions[Transaction Date], Transactions[CustomerID],A241)</f>
        <v>42865</v>
      </c>
      <c r="C241" s="1">
        <f t="shared" si="12"/>
        <v>9</v>
      </c>
      <c r="D241" s="1">
        <f>COUNTIF(Transactions[CustomerID],"="&amp;A241)</f>
        <v>1</v>
      </c>
      <c r="E241" s="9">
        <f>IF(_xlfn.MAXIFS(Transactions[Transaction Amount], Transactions[CustomerID],A241)/'Customer Profiles'!$M$10&lt;=10,_xlfn.MAXIFS(Transactions[Transaction Amount], Transactions[CustomerID],A241)/'Customer Profiles'!$M$10,10)</f>
        <v>5.7364733295194954</v>
      </c>
      <c r="F241" s="1">
        <f t="shared" si="13"/>
        <v>9</v>
      </c>
      <c r="G241" s="1">
        <f t="shared" si="14"/>
        <v>0.2</v>
      </c>
      <c r="H241" s="1">
        <f t="shared" si="15"/>
        <v>1</v>
      </c>
    </row>
    <row r="242" spans="1:8">
      <c r="A242" s="1">
        <v>583</v>
      </c>
      <c r="B242" s="8">
        <f>_xlfn.MAXIFS(Transactions[Transaction Date], Transactions[CustomerID],A242)</f>
        <v>43474</v>
      </c>
      <c r="C242" s="1">
        <f t="shared" si="12"/>
        <v>1</v>
      </c>
      <c r="D242" s="1">
        <f>COUNTIF(Transactions[CustomerID],"="&amp;A242)</f>
        <v>1</v>
      </c>
      <c r="E242" s="9">
        <f>IF(_xlfn.MAXIFS(Transactions[Transaction Amount], Transactions[CustomerID],A242)/'Customer Profiles'!$M$10&lt;=10,_xlfn.MAXIFS(Transactions[Transaction Amount], Transactions[CustomerID],A242)/'Customer Profiles'!$M$10,10)</f>
        <v>0.76160403748137151</v>
      </c>
      <c r="F242" s="1">
        <f t="shared" si="13"/>
        <v>1</v>
      </c>
      <c r="G242" s="1">
        <f t="shared" si="14"/>
        <v>0.2</v>
      </c>
      <c r="H242" s="1">
        <f t="shared" si="15"/>
        <v>1</v>
      </c>
    </row>
    <row r="243" spans="1:8">
      <c r="A243" s="1">
        <v>267</v>
      </c>
      <c r="B243" s="8">
        <f>_xlfn.MAXIFS(Transactions[Transaction Date], Transactions[CustomerID],A243)</f>
        <v>43198</v>
      </c>
      <c r="C243" s="1">
        <f t="shared" si="12"/>
        <v>10</v>
      </c>
      <c r="D243" s="1">
        <f>COUNTIF(Transactions[CustomerID],"="&amp;A243)</f>
        <v>6</v>
      </c>
      <c r="E243" s="9">
        <f>IF(_xlfn.MAXIFS(Transactions[Transaction Amount], Transactions[CustomerID],A243)/'Customer Profiles'!$M$10&lt;=10,_xlfn.MAXIFS(Transactions[Transaction Amount], Transactions[CustomerID],A243)/'Customer Profiles'!$M$10,10)</f>
        <v>3.9449385951824945</v>
      </c>
      <c r="F243" s="1">
        <f t="shared" si="13"/>
        <v>10</v>
      </c>
      <c r="G243" s="1">
        <f t="shared" si="14"/>
        <v>1.2</v>
      </c>
      <c r="H243" s="1">
        <f t="shared" si="15"/>
        <v>1</v>
      </c>
    </row>
    <row r="244" spans="1:8">
      <c r="A244" s="1">
        <v>591</v>
      </c>
      <c r="B244" s="8">
        <f>_xlfn.MAXIFS(Transactions[Transaction Date], Transactions[CustomerID],A244)</f>
        <v>43383</v>
      </c>
      <c r="C244" s="1">
        <f t="shared" si="12"/>
        <v>4</v>
      </c>
      <c r="D244" s="1">
        <f>COUNTIF(Transactions[CustomerID],"="&amp;A244)</f>
        <v>9</v>
      </c>
      <c r="E244" s="9">
        <f>IF(_xlfn.MAXIFS(Transactions[Transaction Amount], Transactions[CustomerID],A244)/'Customer Profiles'!$M$10&lt;=10,_xlfn.MAXIFS(Transactions[Transaction Amount], Transactions[CustomerID],A244)/'Customer Profiles'!$M$10,10)</f>
        <v>4.9392474523265939</v>
      </c>
      <c r="F244" s="1">
        <f t="shared" si="13"/>
        <v>4</v>
      </c>
      <c r="G244" s="1">
        <f t="shared" si="14"/>
        <v>1.8</v>
      </c>
      <c r="H244" s="1">
        <f t="shared" si="15"/>
        <v>1</v>
      </c>
    </row>
    <row r="245" spans="1:8">
      <c r="A245" s="1">
        <v>594</v>
      </c>
      <c r="B245" s="8">
        <f>_xlfn.MAXIFS(Transactions[Transaction Date], Transactions[CustomerID],A245)</f>
        <v>43250</v>
      </c>
      <c r="C245" s="1">
        <f t="shared" si="12"/>
        <v>9</v>
      </c>
      <c r="D245" s="1">
        <f>COUNTIF(Transactions[CustomerID],"="&amp;A245)</f>
        <v>2</v>
      </c>
      <c r="E245" s="9">
        <f>IF(_xlfn.MAXIFS(Transactions[Transaction Amount], Transactions[CustomerID],A245)/'Customer Profiles'!$M$10&lt;=10,_xlfn.MAXIFS(Transactions[Transaction Amount], Transactions[CustomerID],A245)/'Customer Profiles'!$M$10,10)</f>
        <v>0.50971946610758645</v>
      </c>
      <c r="F245" s="1">
        <f t="shared" si="13"/>
        <v>9</v>
      </c>
      <c r="G245" s="1">
        <f t="shared" si="14"/>
        <v>0.4</v>
      </c>
      <c r="H245" s="1">
        <f t="shared" si="15"/>
        <v>1</v>
      </c>
    </row>
    <row r="246" spans="1:8">
      <c r="A246" s="1">
        <v>503</v>
      </c>
      <c r="B246" s="8">
        <f>_xlfn.MAXIFS(Transactions[Transaction Date], Transactions[CustomerID],A246)</f>
        <v>43270</v>
      </c>
      <c r="C246" s="1">
        <f t="shared" si="12"/>
        <v>8</v>
      </c>
      <c r="D246" s="1">
        <f>COUNTIF(Transactions[CustomerID],"="&amp;A246)</f>
        <v>2</v>
      </c>
      <c r="E246" s="9">
        <f>IF(_xlfn.MAXIFS(Transactions[Transaction Amount], Transactions[CustomerID],A246)/'Customer Profiles'!$M$10&lt;=10,_xlfn.MAXIFS(Transactions[Transaction Amount], Transactions[CustomerID],A246)/'Customer Profiles'!$M$10,10)</f>
        <v>0.8883870496312587</v>
      </c>
      <c r="F246" s="1">
        <f t="shared" si="13"/>
        <v>8</v>
      </c>
      <c r="G246" s="1">
        <f t="shared" si="14"/>
        <v>0.4</v>
      </c>
      <c r="H246" s="1">
        <f t="shared" si="15"/>
        <v>1</v>
      </c>
    </row>
    <row r="247" spans="1:8">
      <c r="A247" s="1">
        <v>190</v>
      </c>
      <c r="B247" s="8">
        <f>_xlfn.MAXIFS(Transactions[Transaction Date], Transactions[CustomerID],A247)</f>
        <v>43438</v>
      </c>
      <c r="C247" s="1">
        <f t="shared" si="12"/>
        <v>2</v>
      </c>
      <c r="D247" s="1">
        <f>COUNTIF(Transactions[CustomerID],"="&amp;A247)</f>
        <v>6</v>
      </c>
      <c r="E247" s="9">
        <f>IF(_xlfn.MAXIFS(Transactions[Transaction Amount], Transactions[CustomerID],A247)/'Customer Profiles'!$M$10&lt;=10,_xlfn.MAXIFS(Transactions[Transaction Amount], Transactions[CustomerID],A247)/'Customer Profiles'!$M$10,10)</f>
        <v>4.123983534756019</v>
      </c>
      <c r="F247" s="1">
        <f t="shared" si="13"/>
        <v>2</v>
      </c>
      <c r="G247" s="1">
        <f t="shared" si="14"/>
        <v>1.2</v>
      </c>
      <c r="H247" s="1">
        <f t="shared" si="15"/>
        <v>1.1000000000000001</v>
      </c>
    </row>
    <row r="248" spans="1:8">
      <c r="A248" s="1">
        <v>526</v>
      </c>
      <c r="B248" s="8">
        <f>_xlfn.MAXIFS(Transactions[Transaction Date], Transactions[CustomerID],A248)</f>
        <v>43446</v>
      </c>
      <c r="C248" s="1">
        <f t="shared" si="12"/>
        <v>2</v>
      </c>
      <c r="D248" s="1">
        <f>COUNTIF(Transactions[CustomerID],"="&amp;A248)</f>
        <v>9</v>
      </c>
      <c r="E248" s="9">
        <f>IF(_xlfn.MAXIFS(Transactions[Transaction Amount], Transactions[CustomerID],A248)/'Customer Profiles'!$M$10&lt;=10,_xlfn.MAXIFS(Transactions[Transaction Amount], Transactions[CustomerID],A248)/'Customer Profiles'!$M$10,10)</f>
        <v>2.1332422021426773</v>
      </c>
      <c r="F248" s="1">
        <f t="shared" si="13"/>
        <v>2</v>
      </c>
      <c r="G248" s="1">
        <f t="shared" si="14"/>
        <v>1.8</v>
      </c>
      <c r="H248" s="1">
        <f t="shared" si="15"/>
        <v>1</v>
      </c>
    </row>
    <row r="249" spans="1:8">
      <c r="A249" s="1">
        <v>76</v>
      </c>
      <c r="B249" s="8">
        <f>_xlfn.MAXIFS(Transactions[Transaction Date], Transactions[CustomerID],A249)</f>
        <v>43032</v>
      </c>
      <c r="C249" s="1">
        <f t="shared" si="12"/>
        <v>4</v>
      </c>
      <c r="D249" s="1">
        <f>COUNTIF(Transactions[CustomerID],"="&amp;A249)</f>
        <v>1</v>
      </c>
      <c r="E249" s="9">
        <f>IF(_xlfn.MAXIFS(Transactions[Transaction Amount], Transactions[CustomerID],A249)/'Customer Profiles'!$M$10&lt;=10,_xlfn.MAXIFS(Transactions[Transaction Amount], Transactions[CustomerID],A249)/'Customer Profiles'!$M$10,10)</f>
        <v>9.6112270009397954E-2</v>
      </c>
      <c r="F249" s="1">
        <f t="shared" si="13"/>
        <v>4</v>
      </c>
      <c r="G249" s="1">
        <f t="shared" si="14"/>
        <v>0.2</v>
      </c>
      <c r="H249" s="1">
        <f t="shared" si="15"/>
        <v>1</v>
      </c>
    </row>
    <row r="250" spans="1:8">
      <c r="A250" s="1">
        <v>289</v>
      </c>
      <c r="B250" s="8">
        <f>_xlfn.MAXIFS(Transactions[Transaction Date], Transactions[CustomerID],A250)</f>
        <v>43400</v>
      </c>
      <c r="C250" s="1">
        <f t="shared" si="12"/>
        <v>4</v>
      </c>
      <c r="D250" s="1">
        <f>COUNTIF(Transactions[CustomerID],"="&amp;A250)</f>
        <v>6</v>
      </c>
      <c r="E250" s="9">
        <f>IF(_xlfn.MAXIFS(Transactions[Transaction Amount], Transactions[CustomerID],A250)/'Customer Profiles'!$M$10&lt;=10,_xlfn.MAXIFS(Transactions[Transaction Amount], Transactions[CustomerID],A250)/'Customer Profiles'!$M$10,10)</f>
        <v>1.4498986540039747</v>
      </c>
      <c r="F250" s="1">
        <f t="shared" si="13"/>
        <v>4</v>
      </c>
      <c r="G250" s="1">
        <f t="shared" si="14"/>
        <v>1.2</v>
      </c>
      <c r="H250" s="1">
        <f t="shared" si="15"/>
        <v>1</v>
      </c>
    </row>
    <row r="251" spans="1:8">
      <c r="A251" s="1">
        <v>211</v>
      </c>
      <c r="B251" s="8">
        <f>_xlfn.MAXIFS(Transactions[Transaction Date], Transactions[CustomerID],A251)</f>
        <v>43393</v>
      </c>
      <c r="C251" s="1">
        <f t="shared" si="12"/>
        <v>4</v>
      </c>
      <c r="D251" s="1">
        <f>COUNTIF(Transactions[CustomerID],"="&amp;A251)</f>
        <v>3</v>
      </c>
      <c r="E251" s="9">
        <f>IF(_xlfn.MAXIFS(Transactions[Transaction Amount], Transactions[CustomerID],A251)/'Customer Profiles'!$M$10&lt;=10,_xlfn.MAXIFS(Transactions[Transaction Amount], Transactions[CustomerID],A251)/'Customer Profiles'!$M$10,10)</f>
        <v>8.3367015836979892</v>
      </c>
      <c r="F251" s="1">
        <f t="shared" si="13"/>
        <v>4</v>
      </c>
      <c r="G251" s="1">
        <f t="shared" si="14"/>
        <v>0.6</v>
      </c>
      <c r="H251" s="1">
        <f t="shared" si="15"/>
        <v>1.63</v>
      </c>
    </row>
    <row r="252" spans="1:8">
      <c r="A252" s="1">
        <v>73</v>
      </c>
      <c r="B252" s="8">
        <f>_xlfn.MAXIFS(Transactions[Transaction Date], Transactions[CustomerID],A252)</f>
        <v>43452</v>
      </c>
      <c r="C252" s="1">
        <f t="shared" si="12"/>
        <v>2</v>
      </c>
      <c r="D252" s="1">
        <f>COUNTIF(Transactions[CustomerID],"="&amp;A252)</f>
        <v>1</v>
      </c>
      <c r="E252" s="9">
        <f>IF(_xlfn.MAXIFS(Transactions[Transaction Amount], Transactions[CustomerID],A252)/'Customer Profiles'!$M$10&lt;=10,_xlfn.MAXIFS(Transactions[Transaction Amount], Transactions[CustomerID],A252)/'Customer Profiles'!$M$10,10)</f>
        <v>8.3614622557973736E-2</v>
      </c>
      <c r="F252" s="1">
        <f t="shared" si="13"/>
        <v>2</v>
      </c>
      <c r="G252" s="1">
        <f t="shared" si="14"/>
        <v>0.2</v>
      </c>
      <c r="H252" s="1">
        <f t="shared" si="15"/>
        <v>1</v>
      </c>
    </row>
    <row r="253" spans="1:8">
      <c r="A253" s="1">
        <v>97</v>
      </c>
      <c r="B253" s="8">
        <f>_xlfn.MAXIFS(Transactions[Transaction Date], Transactions[CustomerID],A253)</f>
        <v>43275</v>
      </c>
      <c r="C253" s="1">
        <f t="shared" si="12"/>
        <v>8</v>
      </c>
      <c r="D253" s="1">
        <f>COUNTIF(Transactions[CustomerID],"="&amp;A253)</f>
        <v>1</v>
      </c>
      <c r="E253" s="9">
        <f>IF(_xlfn.MAXIFS(Transactions[Transaction Amount], Transactions[CustomerID],A253)/'Customer Profiles'!$M$10&lt;=10,_xlfn.MAXIFS(Transactions[Transaction Amount], Transactions[CustomerID],A253)/'Customer Profiles'!$M$10,10)</f>
        <v>0.64775536081073515</v>
      </c>
      <c r="F253" s="1">
        <f t="shared" si="13"/>
        <v>8</v>
      </c>
      <c r="G253" s="1">
        <f t="shared" si="14"/>
        <v>0.2</v>
      </c>
      <c r="H253" s="1">
        <f t="shared" si="15"/>
        <v>1</v>
      </c>
    </row>
    <row r="254" spans="1:8">
      <c r="A254" s="1">
        <v>589</v>
      </c>
      <c r="B254" s="8">
        <f>_xlfn.MAXIFS(Transactions[Transaction Date], Transactions[CustomerID],A254)</f>
        <v>43428</v>
      </c>
      <c r="C254" s="1">
        <f t="shared" si="12"/>
        <v>3</v>
      </c>
      <c r="D254" s="1">
        <f>COUNTIF(Transactions[CustomerID],"="&amp;A254)</f>
        <v>7</v>
      </c>
      <c r="E254" s="9">
        <f>IF(_xlfn.MAXIFS(Transactions[Transaction Amount], Transactions[CustomerID],A254)/'Customer Profiles'!$M$10&lt;=10,_xlfn.MAXIFS(Transactions[Transaction Amount], Transactions[CustomerID],A254)/'Customer Profiles'!$M$10,10)</f>
        <v>3.6227957069539283</v>
      </c>
      <c r="F254" s="1">
        <f t="shared" si="13"/>
        <v>3</v>
      </c>
      <c r="G254" s="1">
        <f t="shared" si="14"/>
        <v>1.4</v>
      </c>
      <c r="H254" s="1">
        <f t="shared" si="15"/>
        <v>1</v>
      </c>
    </row>
    <row r="255" spans="1:8">
      <c r="A255" s="1">
        <v>236</v>
      </c>
      <c r="B255" s="8">
        <f>_xlfn.MAXIFS(Transactions[Transaction Date], Transactions[CustomerID],A255)</f>
        <v>43336</v>
      </c>
      <c r="C255" s="1">
        <f t="shared" si="12"/>
        <v>6</v>
      </c>
      <c r="D255" s="1">
        <f>COUNTIF(Transactions[CustomerID],"="&amp;A255)</f>
        <v>3</v>
      </c>
      <c r="E255" s="9">
        <f>IF(_xlfn.MAXIFS(Transactions[Transaction Amount], Transactions[CustomerID],A255)/'Customer Profiles'!$M$10&lt;=10,_xlfn.MAXIFS(Transactions[Transaction Amount], Transactions[CustomerID],A255)/'Customer Profiles'!$M$10,10)</f>
        <v>0.95373815295885878</v>
      </c>
      <c r="F255" s="1">
        <f t="shared" si="13"/>
        <v>6</v>
      </c>
      <c r="G255" s="1">
        <f t="shared" si="14"/>
        <v>0.6</v>
      </c>
      <c r="H255" s="1">
        <f t="shared" si="15"/>
        <v>1</v>
      </c>
    </row>
    <row r="256" spans="1:8">
      <c r="A256" s="1">
        <v>360</v>
      </c>
      <c r="B256" s="8">
        <f>_xlfn.MAXIFS(Transactions[Transaction Date], Transactions[CustomerID],A256)</f>
        <v>43007</v>
      </c>
      <c r="C256" s="1">
        <f t="shared" si="12"/>
        <v>5</v>
      </c>
      <c r="D256" s="1">
        <f>COUNTIF(Transactions[CustomerID],"="&amp;A256)</f>
        <v>2</v>
      </c>
      <c r="E256" s="9">
        <f>IF(_xlfn.MAXIFS(Transactions[Transaction Amount], Transactions[CustomerID],A256)/'Customer Profiles'!$M$10&lt;=10,_xlfn.MAXIFS(Transactions[Transaction Amount], Transactions[CustomerID],A256)/'Customer Profiles'!$M$10,10)</f>
        <v>0.82035307921438383</v>
      </c>
      <c r="F256" s="1">
        <f t="shared" si="13"/>
        <v>5</v>
      </c>
      <c r="G256" s="1">
        <f t="shared" si="14"/>
        <v>0.4</v>
      </c>
      <c r="H256" s="1">
        <f t="shared" si="15"/>
        <v>1</v>
      </c>
    </row>
    <row r="257" spans="1:8">
      <c r="A257" s="1">
        <v>120</v>
      </c>
      <c r="B257" s="8">
        <f>_xlfn.MAXIFS(Transactions[Transaction Date], Transactions[CustomerID],A257)</f>
        <v>43179</v>
      </c>
      <c r="C257" s="1">
        <f t="shared" si="12"/>
        <v>11</v>
      </c>
      <c r="D257" s="1">
        <f>COUNTIF(Transactions[CustomerID],"="&amp;A257)</f>
        <v>5</v>
      </c>
      <c r="E257" s="9">
        <f>IF(_xlfn.MAXIFS(Transactions[Transaction Amount], Transactions[CustomerID],A257)/'Customer Profiles'!$M$10&lt;=10,_xlfn.MAXIFS(Transactions[Transaction Amount], Transactions[CustomerID],A257)/'Customer Profiles'!$M$10,10)</f>
        <v>2.4150894870907798</v>
      </c>
      <c r="F257" s="1">
        <f t="shared" si="13"/>
        <v>10</v>
      </c>
      <c r="G257" s="1">
        <f t="shared" si="14"/>
        <v>1</v>
      </c>
      <c r="H257" s="1">
        <f t="shared" si="15"/>
        <v>1</v>
      </c>
    </row>
    <row r="258" spans="1:8">
      <c r="A258" s="1">
        <v>318</v>
      </c>
      <c r="B258" s="8">
        <f>_xlfn.MAXIFS(Transactions[Transaction Date], Transactions[CustomerID],A258)</f>
        <v>43318</v>
      </c>
      <c r="C258" s="1">
        <f t="shared" si="12"/>
        <v>6</v>
      </c>
      <c r="D258" s="1">
        <f>COUNTIF(Transactions[CustomerID],"="&amp;A258)</f>
        <v>6</v>
      </c>
      <c r="E258" s="9">
        <f>IF(_xlfn.MAXIFS(Transactions[Transaction Amount], Transactions[CustomerID],A258)/'Customer Profiles'!$M$10&lt;=10,_xlfn.MAXIFS(Transactions[Transaction Amount], Transactions[CustomerID],A258)/'Customer Profiles'!$M$10,10)</f>
        <v>4.5975691235244733</v>
      </c>
      <c r="F258" s="1">
        <f t="shared" si="13"/>
        <v>6</v>
      </c>
      <c r="G258" s="1">
        <f t="shared" si="14"/>
        <v>1.2</v>
      </c>
      <c r="H258" s="1">
        <f t="shared" si="15"/>
        <v>1</v>
      </c>
    </row>
    <row r="259" spans="1:8">
      <c r="A259" s="1">
        <v>147</v>
      </c>
      <c r="B259" s="8">
        <f>_xlfn.MAXIFS(Transactions[Transaction Date], Transactions[CustomerID],A259)</f>
        <v>43141</v>
      </c>
      <c r="C259" s="1">
        <f t="shared" si="12"/>
        <v>1</v>
      </c>
      <c r="D259" s="1">
        <f>COUNTIF(Transactions[CustomerID],"="&amp;A259)</f>
        <v>1</v>
      </c>
      <c r="E259" s="9">
        <f>IF(_xlfn.MAXIFS(Transactions[Transaction Amount], Transactions[CustomerID],A259)/'Customer Profiles'!$M$10&lt;=10,_xlfn.MAXIFS(Transactions[Transaction Amount], Transactions[CustomerID],A259)/'Customer Profiles'!$M$10,10)</f>
        <v>0.56332531667105534</v>
      </c>
      <c r="F259" s="1">
        <f t="shared" si="13"/>
        <v>1</v>
      </c>
      <c r="G259" s="1">
        <f t="shared" si="14"/>
        <v>0.2</v>
      </c>
      <c r="H259" s="1">
        <f t="shared" si="15"/>
        <v>1</v>
      </c>
    </row>
    <row r="260" spans="1:8">
      <c r="A260" s="1">
        <v>568</v>
      </c>
      <c r="B260" s="8">
        <f>_xlfn.MAXIFS(Transactions[Transaction Date], Transactions[CustomerID],A260)</f>
        <v>43451</v>
      </c>
      <c r="C260" s="1">
        <f t="shared" si="12"/>
        <v>2</v>
      </c>
      <c r="D260" s="1">
        <f>COUNTIF(Transactions[CustomerID],"="&amp;A260)</f>
        <v>3</v>
      </c>
      <c r="E260" s="9">
        <f>IF(_xlfn.MAXIFS(Transactions[Transaction Amount], Transactions[CustomerID],A260)/'Customer Profiles'!$M$10&lt;=10,_xlfn.MAXIFS(Transactions[Transaction Amount], Transactions[CustomerID],A260)/'Customer Profiles'!$M$10,10)</f>
        <v>4.4704431573452084</v>
      </c>
      <c r="F260" s="1">
        <f t="shared" si="13"/>
        <v>2</v>
      </c>
      <c r="G260" s="1">
        <f t="shared" si="14"/>
        <v>0.6</v>
      </c>
      <c r="H260" s="1">
        <f t="shared" si="15"/>
        <v>1.01</v>
      </c>
    </row>
    <row r="261" spans="1:8">
      <c r="A261" s="1">
        <v>264</v>
      </c>
      <c r="B261" s="8">
        <f>_xlfn.MAXIFS(Transactions[Transaction Date], Transactions[CustomerID],A261)</f>
        <v>43408</v>
      </c>
      <c r="C261" s="1">
        <f t="shared" si="12"/>
        <v>3</v>
      </c>
      <c r="D261" s="1">
        <f>COUNTIF(Transactions[CustomerID],"="&amp;A261)</f>
        <v>2</v>
      </c>
      <c r="E261" s="9">
        <f>IF(_xlfn.MAXIFS(Transactions[Transaction Amount], Transactions[CustomerID],A261)/'Customer Profiles'!$M$10&lt;=10,_xlfn.MAXIFS(Transactions[Transaction Amount], Transactions[CustomerID],A261)/'Customer Profiles'!$M$10,10)</f>
        <v>1.1381674933081107</v>
      </c>
      <c r="F261" s="1">
        <f t="shared" si="13"/>
        <v>3</v>
      </c>
      <c r="G261" s="1">
        <f t="shared" si="14"/>
        <v>0.4</v>
      </c>
      <c r="H261" s="1">
        <f t="shared" si="15"/>
        <v>1</v>
      </c>
    </row>
    <row r="262" spans="1:8">
      <c r="A262" s="1">
        <v>321</v>
      </c>
      <c r="B262" s="8">
        <f>_xlfn.MAXIFS(Transactions[Transaction Date], Transactions[CustomerID],A262)</f>
        <v>43274</v>
      </c>
      <c r="C262" s="1">
        <f t="shared" ref="C262:C325" si="16">(MAX(DATEDIF(B262,"03/01/2019","ym"),1))</f>
        <v>8</v>
      </c>
      <c r="D262" s="1">
        <f>COUNTIF(Transactions[CustomerID],"="&amp;A262)</f>
        <v>2</v>
      </c>
      <c r="E262" s="9">
        <f>IF(_xlfn.MAXIFS(Transactions[Transaction Amount], Transactions[CustomerID],A262)/'Customer Profiles'!$M$10&lt;=10,_xlfn.MAXIFS(Transactions[Transaction Amount], Transactions[CustomerID],A262)/'Customer Profiles'!$M$10,10)</f>
        <v>2.8589167952591183</v>
      </c>
      <c r="F262" s="1">
        <f t="shared" ref="F262:F325" si="17">IF(ROUND(C262,2)&lt;=10,ROUND(C262,2),10)</f>
        <v>8</v>
      </c>
      <c r="G262" s="1">
        <f t="shared" ref="G262:G325" si="18">IF(ROUND(D262/$M$6,2)&lt;=10,ROUND(D262/$M$6,2),10)</f>
        <v>0.4</v>
      </c>
      <c r="H262" s="1">
        <f t="shared" ref="H262:H325" si="19">IF(ROUND(E262*$K$8+F262*$K$6+G262*$K$7,2)&lt;1,1,ROUND(E262*$K$8+F262*$K$6+G262*$K$7,2))</f>
        <v>1</v>
      </c>
    </row>
    <row r="263" spans="1:8">
      <c r="A263" s="1">
        <v>1</v>
      </c>
      <c r="B263" s="8">
        <f>_xlfn.MAXIFS(Transactions[Transaction Date], Transactions[CustomerID],A263)</f>
        <v>42740</v>
      </c>
      <c r="C263" s="1">
        <f t="shared" si="16"/>
        <v>1</v>
      </c>
      <c r="D263" s="1">
        <f>COUNTIF(Transactions[CustomerID],"="&amp;A263)</f>
        <v>1</v>
      </c>
      <c r="E263" s="9">
        <f>IF(_xlfn.MAXIFS(Transactions[Transaction Amount], Transactions[CustomerID],A263)/'Customer Profiles'!$M$10&lt;=10,_xlfn.MAXIFS(Transactions[Transaction Amount], Transactions[CustomerID],A263)/'Customer Profiles'!$M$10,10)</f>
        <v>4.8892371680323073E-2</v>
      </c>
      <c r="F263" s="1">
        <f t="shared" si="17"/>
        <v>1</v>
      </c>
      <c r="G263" s="1">
        <f t="shared" si="18"/>
        <v>0.2</v>
      </c>
      <c r="H263" s="1">
        <f t="shared" si="19"/>
        <v>1</v>
      </c>
    </row>
    <row r="264" spans="1:8">
      <c r="A264" s="1">
        <v>218</v>
      </c>
      <c r="B264" s="8">
        <f>_xlfn.MAXIFS(Transactions[Transaction Date], Transactions[CustomerID],A264)</f>
        <v>43143</v>
      </c>
      <c r="C264" s="1">
        <f t="shared" si="16"/>
        <v>1</v>
      </c>
      <c r="D264" s="1">
        <f>COUNTIF(Transactions[CustomerID],"="&amp;A264)</f>
        <v>4</v>
      </c>
      <c r="E264" s="9">
        <f>IF(_xlfn.MAXIFS(Transactions[Transaction Amount], Transactions[CustomerID],A264)/'Customer Profiles'!$M$10&lt;=10,_xlfn.MAXIFS(Transactions[Transaction Amount], Transactions[CustomerID],A264)/'Customer Profiles'!$M$10,10)</f>
        <v>0.63652778144407951</v>
      </c>
      <c r="F264" s="1">
        <f t="shared" si="17"/>
        <v>1</v>
      </c>
      <c r="G264" s="1">
        <f t="shared" si="18"/>
        <v>0.8</v>
      </c>
      <c r="H264" s="1">
        <f t="shared" si="19"/>
        <v>1</v>
      </c>
    </row>
    <row r="265" spans="1:8">
      <c r="A265" s="1">
        <v>409</v>
      </c>
      <c r="B265" s="8">
        <f>_xlfn.MAXIFS(Transactions[Transaction Date], Transactions[CustomerID],A265)</f>
        <v>43140</v>
      </c>
      <c r="C265" s="1">
        <f t="shared" si="16"/>
        <v>1</v>
      </c>
      <c r="D265" s="1">
        <f>COUNTIF(Transactions[CustomerID],"="&amp;A265)</f>
        <v>2</v>
      </c>
      <c r="E265" s="9">
        <f>IF(_xlfn.MAXIFS(Transactions[Transaction Amount], Transactions[CustomerID],A265)/'Customer Profiles'!$M$10&lt;=10,_xlfn.MAXIFS(Transactions[Transaction Amount], Transactions[CustomerID],A265)/'Customer Profiles'!$M$10,10)</f>
        <v>1.5466816456012518</v>
      </c>
      <c r="F265" s="1">
        <f t="shared" si="17"/>
        <v>1</v>
      </c>
      <c r="G265" s="1">
        <f t="shared" si="18"/>
        <v>0.4</v>
      </c>
      <c r="H265" s="1">
        <f t="shared" si="19"/>
        <v>1</v>
      </c>
    </row>
    <row r="266" spans="1:8">
      <c r="A266" s="1">
        <v>576</v>
      </c>
      <c r="B266" s="8">
        <f>_xlfn.MAXIFS(Transactions[Transaction Date], Transactions[CustomerID],A266)</f>
        <v>42886</v>
      </c>
      <c r="C266" s="1">
        <f t="shared" si="16"/>
        <v>9</v>
      </c>
      <c r="D266" s="1">
        <f>COUNTIF(Transactions[CustomerID],"="&amp;A266)</f>
        <v>1</v>
      </c>
      <c r="E266" s="9">
        <f>IF(_xlfn.MAXIFS(Transactions[Transaction Amount], Transactions[CustomerID],A266)/'Customer Profiles'!$M$10&lt;=10,_xlfn.MAXIFS(Transactions[Transaction Amount], Transactions[CustomerID],A266)/'Customer Profiles'!$M$10,10)</f>
        <v>3.25911344188316</v>
      </c>
      <c r="F266" s="1">
        <f t="shared" si="17"/>
        <v>9</v>
      </c>
      <c r="G266" s="1">
        <f t="shared" si="18"/>
        <v>0.2</v>
      </c>
      <c r="H266" s="1">
        <f t="shared" si="19"/>
        <v>1</v>
      </c>
    </row>
    <row r="267" spans="1:8">
      <c r="A267" s="1">
        <v>367</v>
      </c>
      <c r="B267" s="8">
        <f>_xlfn.MAXIFS(Transactions[Transaction Date], Transactions[CustomerID],A267)</f>
        <v>43238</v>
      </c>
      <c r="C267" s="1">
        <f t="shared" si="16"/>
        <v>9</v>
      </c>
      <c r="D267" s="1">
        <f>COUNTIF(Transactions[CustomerID],"="&amp;A267)</f>
        <v>1</v>
      </c>
      <c r="E267" s="9">
        <f>IF(_xlfn.MAXIFS(Transactions[Transaction Amount], Transactions[CustomerID],A267)/'Customer Profiles'!$M$10&lt;=10,_xlfn.MAXIFS(Transactions[Transaction Amount], Transactions[CustomerID],A267)/'Customer Profiles'!$M$10,10)</f>
        <v>0.48606875289538737</v>
      </c>
      <c r="F267" s="1">
        <f t="shared" si="17"/>
        <v>9</v>
      </c>
      <c r="G267" s="1">
        <f t="shared" si="18"/>
        <v>0.2</v>
      </c>
      <c r="H267" s="1">
        <f t="shared" si="19"/>
        <v>1</v>
      </c>
    </row>
    <row r="268" spans="1:8">
      <c r="A268" s="1">
        <v>549</v>
      </c>
      <c r="B268" s="8">
        <f>_xlfn.MAXIFS(Transactions[Transaction Date], Transactions[CustomerID],A268)</f>
        <v>43112</v>
      </c>
      <c r="C268" s="1">
        <f t="shared" si="16"/>
        <v>1</v>
      </c>
      <c r="D268" s="1">
        <f>COUNTIF(Transactions[CustomerID],"="&amp;A268)</f>
        <v>1</v>
      </c>
      <c r="E268" s="9">
        <f>IF(_xlfn.MAXIFS(Transactions[Transaction Amount], Transactions[CustomerID],A268)/'Customer Profiles'!$M$10&lt;=10,_xlfn.MAXIFS(Transactions[Transaction Amount], Transactions[CustomerID],A268)/'Customer Profiles'!$M$10,10)</f>
        <v>0.14934916211537627</v>
      </c>
      <c r="F268" s="1">
        <f t="shared" si="17"/>
        <v>1</v>
      </c>
      <c r="G268" s="1">
        <f t="shared" si="18"/>
        <v>0.2</v>
      </c>
      <c r="H268" s="1">
        <f t="shared" si="19"/>
        <v>1</v>
      </c>
    </row>
    <row r="269" spans="1:8">
      <c r="A269" s="1">
        <v>596</v>
      </c>
      <c r="B269" s="8">
        <f>_xlfn.MAXIFS(Transactions[Transaction Date], Transactions[CustomerID],A269)</f>
        <v>43438</v>
      </c>
      <c r="C269" s="1">
        <f t="shared" si="16"/>
        <v>2</v>
      </c>
      <c r="D269" s="1">
        <f>COUNTIF(Transactions[CustomerID],"="&amp;A269)</f>
        <v>1</v>
      </c>
      <c r="E269" s="9">
        <f>IF(_xlfn.MAXIFS(Transactions[Transaction Amount], Transactions[CustomerID],A269)/'Customer Profiles'!$M$10&lt;=10,_xlfn.MAXIFS(Transactions[Transaction Amount], Transactions[CustomerID],A269)/'Customer Profiles'!$M$10,10)</f>
        <v>1.5817493287916282</v>
      </c>
      <c r="F269" s="1">
        <f t="shared" si="17"/>
        <v>2</v>
      </c>
      <c r="G269" s="1">
        <f t="shared" si="18"/>
        <v>0.2</v>
      </c>
      <c r="H269" s="1">
        <f t="shared" si="19"/>
        <v>1</v>
      </c>
    </row>
    <row r="270" spans="1:8">
      <c r="A270" s="1">
        <v>322</v>
      </c>
      <c r="B270" s="8">
        <f>_xlfn.MAXIFS(Transactions[Transaction Date], Transactions[CustomerID],A270)</f>
        <v>43432</v>
      </c>
      <c r="C270" s="1">
        <f t="shared" si="16"/>
        <v>3</v>
      </c>
      <c r="D270" s="1">
        <f>COUNTIF(Transactions[CustomerID],"="&amp;A270)</f>
        <v>1</v>
      </c>
      <c r="E270" s="9">
        <f>IF(_xlfn.MAXIFS(Transactions[Transaction Amount], Transactions[CustomerID],A270)/'Customer Profiles'!$M$10&lt;=10,_xlfn.MAXIFS(Transactions[Transaction Amount], Transactions[CustomerID],A270)/'Customer Profiles'!$M$10,10)</f>
        <v>0.64315375710259481</v>
      </c>
      <c r="F270" s="1">
        <f t="shared" si="17"/>
        <v>3</v>
      </c>
      <c r="G270" s="1">
        <f t="shared" si="18"/>
        <v>0.2</v>
      </c>
      <c r="H270" s="1">
        <f t="shared" si="19"/>
        <v>1</v>
      </c>
    </row>
    <row r="271" spans="1:8">
      <c r="A271" s="1">
        <v>98</v>
      </c>
      <c r="B271" s="8">
        <f>_xlfn.MAXIFS(Transactions[Transaction Date], Transactions[CustomerID],A271)</f>
        <v>43377</v>
      </c>
      <c r="C271" s="1">
        <f t="shared" si="16"/>
        <v>4</v>
      </c>
      <c r="D271" s="1">
        <f>COUNTIF(Transactions[CustomerID],"="&amp;A271)</f>
        <v>8</v>
      </c>
      <c r="E271" s="9">
        <f>IF(_xlfn.MAXIFS(Transactions[Transaction Amount], Transactions[CustomerID],A271)/'Customer Profiles'!$M$10&lt;=10,_xlfn.MAXIFS(Transactions[Transaction Amount], Transactions[CustomerID],A271)/'Customer Profiles'!$M$10,10)</f>
        <v>1.3077671566385993</v>
      </c>
      <c r="F271" s="1">
        <f t="shared" si="17"/>
        <v>4</v>
      </c>
      <c r="G271" s="1">
        <f t="shared" si="18"/>
        <v>1.6</v>
      </c>
      <c r="H271" s="1">
        <f t="shared" si="19"/>
        <v>1</v>
      </c>
    </row>
    <row r="272" spans="1:8">
      <c r="A272" s="1">
        <v>337</v>
      </c>
      <c r="B272" s="8">
        <f>_xlfn.MAXIFS(Transactions[Transaction Date], Transactions[CustomerID],A272)</f>
        <v>42768</v>
      </c>
      <c r="C272" s="1">
        <f t="shared" si="16"/>
        <v>1</v>
      </c>
      <c r="D272" s="1">
        <f>COUNTIF(Transactions[CustomerID],"="&amp;A272)</f>
        <v>1</v>
      </c>
      <c r="E272" s="9">
        <f>IF(_xlfn.MAXIFS(Transactions[Transaction Amount], Transactions[CustomerID],A272)/'Customer Profiles'!$M$10&lt;=10,_xlfn.MAXIFS(Transactions[Transaction Amount], Transactions[CustomerID],A272)/'Customer Profiles'!$M$10,10)</f>
        <v>8.1915010199062457E-2</v>
      </c>
      <c r="F272" s="1">
        <f t="shared" si="17"/>
        <v>1</v>
      </c>
      <c r="G272" s="1">
        <f t="shared" si="18"/>
        <v>0.2</v>
      </c>
      <c r="H272" s="1">
        <f t="shared" si="19"/>
        <v>1</v>
      </c>
    </row>
    <row r="273" spans="1:8">
      <c r="A273" s="1">
        <v>473</v>
      </c>
      <c r="B273" s="8">
        <f>_xlfn.MAXIFS(Transactions[Transaction Date], Transactions[CustomerID],A273)</f>
        <v>43306</v>
      </c>
      <c r="C273" s="1">
        <f t="shared" si="16"/>
        <v>7</v>
      </c>
      <c r="D273" s="1">
        <f>COUNTIF(Transactions[CustomerID],"="&amp;A273)</f>
        <v>3</v>
      </c>
      <c r="E273" s="9">
        <f>IF(_xlfn.MAXIFS(Transactions[Transaction Amount], Transactions[CustomerID],A273)/'Customer Profiles'!$M$10&lt;=10,_xlfn.MAXIFS(Transactions[Transaction Amount], Transactions[CustomerID],A273)/'Customer Profiles'!$M$10,10)</f>
        <v>4.9980109548192297</v>
      </c>
      <c r="F273" s="1">
        <f t="shared" si="17"/>
        <v>7</v>
      </c>
      <c r="G273" s="1">
        <f t="shared" si="18"/>
        <v>0.6</v>
      </c>
      <c r="H273" s="1">
        <f t="shared" si="19"/>
        <v>1</v>
      </c>
    </row>
    <row r="274" spans="1:8">
      <c r="A274" s="1">
        <v>506</v>
      </c>
      <c r="B274" s="8">
        <f>_xlfn.MAXIFS(Transactions[Transaction Date], Transactions[CustomerID],A274)</f>
        <v>43294</v>
      </c>
      <c r="C274" s="1">
        <f t="shared" si="16"/>
        <v>7</v>
      </c>
      <c r="D274" s="1">
        <f>COUNTIF(Transactions[CustomerID],"="&amp;A274)</f>
        <v>2</v>
      </c>
      <c r="E274" s="9">
        <f>IF(_xlfn.MAXIFS(Transactions[Transaction Amount], Transactions[CustomerID],A274)/'Customer Profiles'!$M$10&lt;=10,_xlfn.MAXIFS(Transactions[Transaction Amount], Transactions[CustomerID],A274)/'Customer Profiles'!$M$10,10)</f>
        <v>0.75465745498170067</v>
      </c>
      <c r="F274" s="1">
        <f t="shared" si="17"/>
        <v>7</v>
      </c>
      <c r="G274" s="1">
        <f t="shared" si="18"/>
        <v>0.4</v>
      </c>
      <c r="H274" s="1">
        <f t="shared" si="19"/>
        <v>1</v>
      </c>
    </row>
    <row r="275" spans="1:8">
      <c r="A275" s="1">
        <v>532</v>
      </c>
      <c r="B275" s="8">
        <f>_xlfn.MAXIFS(Transactions[Transaction Date], Transactions[CustomerID],A275)</f>
        <v>43396</v>
      </c>
      <c r="C275" s="1">
        <f t="shared" si="16"/>
        <v>4</v>
      </c>
      <c r="D275" s="1">
        <f>COUNTIF(Transactions[CustomerID],"="&amp;A275)</f>
        <v>4</v>
      </c>
      <c r="E275" s="9">
        <f>IF(_xlfn.MAXIFS(Transactions[Transaction Amount], Transactions[CustomerID],A275)/'Customer Profiles'!$M$10&lt;=10,_xlfn.MAXIFS(Transactions[Transaction Amount], Transactions[CustomerID],A275)/'Customer Profiles'!$M$10,10)</f>
        <v>1.8888732179155006</v>
      </c>
      <c r="F275" s="1">
        <f t="shared" si="17"/>
        <v>4</v>
      </c>
      <c r="G275" s="1">
        <f t="shared" si="18"/>
        <v>0.8</v>
      </c>
      <c r="H275" s="1">
        <f t="shared" si="19"/>
        <v>1</v>
      </c>
    </row>
    <row r="276" spans="1:8">
      <c r="A276" s="1">
        <v>501</v>
      </c>
      <c r="B276" s="8">
        <f>_xlfn.MAXIFS(Transactions[Transaction Date], Transactions[CustomerID],A276)</f>
        <v>43111</v>
      </c>
      <c r="C276" s="1">
        <f t="shared" si="16"/>
        <v>1</v>
      </c>
      <c r="D276" s="1">
        <f>COUNTIF(Transactions[CustomerID],"="&amp;A276)</f>
        <v>1</v>
      </c>
      <c r="E276" s="9">
        <f>IF(_xlfn.MAXIFS(Transactions[Transaction Amount], Transactions[CustomerID],A276)/'Customer Profiles'!$M$10&lt;=10,_xlfn.MAXIFS(Transactions[Transaction Amount], Transactions[CustomerID],A276)/'Customer Profiles'!$M$10,10)</f>
        <v>0.14463417127585923</v>
      </c>
      <c r="F276" s="1">
        <f t="shared" si="17"/>
        <v>1</v>
      </c>
      <c r="G276" s="1">
        <f t="shared" si="18"/>
        <v>0.2</v>
      </c>
      <c r="H276" s="1">
        <f t="shared" si="19"/>
        <v>1</v>
      </c>
    </row>
    <row r="277" spans="1:8">
      <c r="A277" s="1">
        <v>183</v>
      </c>
      <c r="B277" s="8">
        <f>_xlfn.MAXIFS(Transactions[Transaction Date], Transactions[CustomerID],A277)</f>
        <v>43493</v>
      </c>
      <c r="C277" s="1">
        <f t="shared" si="16"/>
        <v>1</v>
      </c>
      <c r="D277" s="1">
        <f>COUNTIF(Transactions[CustomerID],"="&amp;A277)</f>
        <v>1</v>
      </c>
      <c r="E277" s="9">
        <f>IF(_xlfn.MAXIFS(Transactions[Transaction Amount], Transactions[CustomerID],A277)/'Customer Profiles'!$M$10&lt;=10,_xlfn.MAXIFS(Transactions[Transaction Amount], Transactions[CustomerID],A277)/'Customer Profiles'!$M$10,10)</f>
        <v>0.84289338508080813</v>
      </c>
      <c r="F277" s="1">
        <f t="shared" si="17"/>
        <v>1</v>
      </c>
      <c r="G277" s="1">
        <f t="shared" si="18"/>
        <v>0.2</v>
      </c>
      <c r="H277" s="1">
        <f t="shared" si="19"/>
        <v>1</v>
      </c>
    </row>
    <row r="278" spans="1:8">
      <c r="A278" s="1">
        <v>540</v>
      </c>
      <c r="B278" s="8">
        <f>_xlfn.MAXIFS(Transactions[Transaction Date], Transactions[CustomerID],A278)</f>
        <v>43266</v>
      </c>
      <c r="C278" s="1">
        <f t="shared" si="16"/>
        <v>8</v>
      </c>
      <c r="D278" s="1">
        <f>COUNTIF(Transactions[CustomerID],"="&amp;A278)</f>
        <v>2</v>
      </c>
      <c r="E278" s="9">
        <f>IF(_xlfn.MAXIFS(Transactions[Transaction Amount], Transactions[CustomerID],A278)/'Customer Profiles'!$M$10&lt;=10,_xlfn.MAXIFS(Transactions[Transaction Amount], Transactions[CustomerID],A278)/'Customer Profiles'!$M$10,10)</f>
        <v>0.69037603963933603</v>
      </c>
      <c r="F278" s="1">
        <f t="shared" si="17"/>
        <v>8</v>
      </c>
      <c r="G278" s="1">
        <f t="shared" si="18"/>
        <v>0.4</v>
      </c>
      <c r="H278" s="1">
        <f t="shared" si="19"/>
        <v>1</v>
      </c>
    </row>
    <row r="279" spans="1:8">
      <c r="A279" s="1">
        <v>3</v>
      </c>
      <c r="B279" s="8">
        <f>_xlfn.MAXIFS(Transactions[Transaction Date], Transactions[CustomerID],A279)</f>
        <v>43474</v>
      </c>
      <c r="C279" s="1">
        <f t="shared" si="16"/>
        <v>1</v>
      </c>
      <c r="D279" s="1">
        <f>COUNTIF(Transactions[CustomerID],"="&amp;A279)</f>
        <v>2</v>
      </c>
      <c r="E279" s="9">
        <f>IF(_xlfn.MAXIFS(Transactions[Transaction Amount], Transactions[CustomerID],A279)/'Customer Profiles'!$M$10&lt;=10,_xlfn.MAXIFS(Transactions[Transaction Amount], Transactions[CustomerID],A279)/'Customer Profiles'!$M$10,10)</f>
        <v>4.8055504971668439</v>
      </c>
      <c r="F279" s="1">
        <f t="shared" si="17"/>
        <v>1</v>
      </c>
      <c r="G279" s="1">
        <f t="shared" si="18"/>
        <v>0.4</v>
      </c>
      <c r="H279" s="1">
        <f t="shared" si="19"/>
        <v>1.39</v>
      </c>
    </row>
    <row r="280" spans="1:8">
      <c r="A280" s="1">
        <v>104</v>
      </c>
      <c r="B280" s="8">
        <f>_xlfn.MAXIFS(Transactions[Transaction Date], Transactions[CustomerID],A280)</f>
        <v>42978</v>
      </c>
      <c r="C280" s="1">
        <f t="shared" si="16"/>
        <v>6</v>
      </c>
      <c r="D280" s="1">
        <f>COUNTIF(Transactions[CustomerID],"="&amp;A280)</f>
        <v>1</v>
      </c>
      <c r="E280" s="9">
        <f>IF(_xlfn.MAXIFS(Transactions[Transaction Amount], Transactions[CustomerID],A280)/'Customer Profiles'!$M$10&lt;=10,_xlfn.MAXIFS(Transactions[Transaction Amount], Transactions[CustomerID],A280)/'Customer Profiles'!$M$10,10)</f>
        <v>0.38352201232430272</v>
      </c>
      <c r="F280" s="1">
        <f t="shared" si="17"/>
        <v>6</v>
      </c>
      <c r="G280" s="1">
        <f t="shared" si="18"/>
        <v>0.2</v>
      </c>
      <c r="H280" s="1">
        <f t="shared" si="19"/>
        <v>1</v>
      </c>
    </row>
    <row r="281" spans="1:8">
      <c r="A281" s="1">
        <v>31</v>
      </c>
      <c r="B281" s="8">
        <f>_xlfn.MAXIFS(Transactions[Transaction Date], Transactions[CustomerID],A281)</f>
        <v>43287</v>
      </c>
      <c r="C281" s="1">
        <f t="shared" si="16"/>
        <v>7</v>
      </c>
      <c r="D281" s="1">
        <f>COUNTIF(Transactions[CustomerID],"="&amp;A281)</f>
        <v>1</v>
      </c>
      <c r="E281" s="9">
        <f>IF(_xlfn.MAXIFS(Transactions[Transaction Amount], Transactions[CustomerID],A281)/'Customer Profiles'!$M$10&lt;=10,_xlfn.MAXIFS(Transactions[Transaction Amount], Transactions[CustomerID],A281)/'Customer Profiles'!$M$10,10)</f>
        <v>0.73183847373052335</v>
      </c>
      <c r="F281" s="1">
        <f t="shared" si="17"/>
        <v>7</v>
      </c>
      <c r="G281" s="1">
        <f t="shared" si="18"/>
        <v>0.2</v>
      </c>
      <c r="H281" s="1">
        <f t="shared" si="19"/>
        <v>1</v>
      </c>
    </row>
    <row r="282" spans="1:8">
      <c r="A282" s="1">
        <v>242</v>
      </c>
      <c r="B282" s="8">
        <f>_xlfn.MAXIFS(Transactions[Transaction Date], Transactions[CustomerID],A282)</f>
        <v>43250</v>
      </c>
      <c r="C282" s="1">
        <f t="shared" si="16"/>
        <v>9</v>
      </c>
      <c r="D282" s="1">
        <f>COUNTIF(Transactions[CustomerID],"="&amp;A282)</f>
        <v>2</v>
      </c>
      <c r="E282" s="9">
        <f>IF(_xlfn.MAXIFS(Transactions[Transaction Amount], Transactions[CustomerID],A282)/'Customer Profiles'!$M$10&lt;=10,_xlfn.MAXIFS(Transactions[Transaction Amount], Transactions[CustomerID],A282)/'Customer Profiles'!$M$10,10)</f>
        <v>1.1592213619516509</v>
      </c>
      <c r="F282" s="1">
        <f t="shared" si="17"/>
        <v>9</v>
      </c>
      <c r="G282" s="1">
        <f t="shared" si="18"/>
        <v>0.4</v>
      </c>
      <c r="H282" s="1">
        <f t="shared" si="19"/>
        <v>1</v>
      </c>
    </row>
    <row r="283" spans="1:8">
      <c r="A283" s="1">
        <v>404</v>
      </c>
      <c r="B283" s="8">
        <f>_xlfn.MAXIFS(Transactions[Transaction Date], Transactions[CustomerID],A283)</f>
        <v>43491</v>
      </c>
      <c r="C283" s="1">
        <f t="shared" si="16"/>
        <v>1</v>
      </c>
      <c r="D283" s="1">
        <f>COUNTIF(Transactions[CustomerID],"="&amp;A283)</f>
        <v>3</v>
      </c>
      <c r="E283" s="9">
        <f>IF(_xlfn.MAXIFS(Transactions[Transaction Amount], Transactions[CustomerID],A283)/'Customer Profiles'!$M$10&lt;=10,_xlfn.MAXIFS(Transactions[Transaction Amount], Transactions[CustomerID],A283)/'Customer Profiles'!$M$10,10)</f>
        <v>1.5878500645357061</v>
      </c>
      <c r="F283" s="1">
        <f t="shared" si="17"/>
        <v>1</v>
      </c>
      <c r="G283" s="1">
        <f t="shared" si="18"/>
        <v>0.6</v>
      </c>
      <c r="H283" s="1">
        <f t="shared" si="19"/>
        <v>1</v>
      </c>
    </row>
    <row r="284" spans="1:8">
      <c r="A284" s="1">
        <v>425</v>
      </c>
      <c r="B284" s="8">
        <f>_xlfn.MAXIFS(Transactions[Transaction Date], Transactions[CustomerID],A284)</f>
        <v>43384</v>
      </c>
      <c r="C284" s="1">
        <f t="shared" si="16"/>
        <v>4</v>
      </c>
      <c r="D284" s="1">
        <f>COUNTIF(Transactions[CustomerID],"="&amp;A284)</f>
        <v>1</v>
      </c>
      <c r="E284" s="9">
        <f>IF(_xlfn.MAXIFS(Transactions[Transaction Amount], Transactions[CustomerID],A284)/'Customer Profiles'!$M$10&lt;=10,_xlfn.MAXIFS(Transactions[Transaction Amount], Transactions[CustomerID],A284)/'Customer Profiles'!$M$10,10)</f>
        <v>0.43729723887167055</v>
      </c>
      <c r="F284" s="1">
        <f t="shared" si="17"/>
        <v>4</v>
      </c>
      <c r="G284" s="1">
        <f t="shared" si="18"/>
        <v>0.2</v>
      </c>
      <c r="H284" s="1">
        <f t="shared" si="19"/>
        <v>1</v>
      </c>
    </row>
    <row r="285" spans="1:8">
      <c r="A285" s="1">
        <v>175</v>
      </c>
      <c r="B285" s="8">
        <f>_xlfn.MAXIFS(Transactions[Transaction Date], Transactions[CustomerID],A285)</f>
        <v>43314</v>
      </c>
      <c r="C285" s="1">
        <f t="shared" si="16"/>
        <v>6</v>
      </c>
      <c r="D285" s="1">
        <f>COUNTIF(Transactions[CustomerID],"="&amp;A285)</f>
        <v>8</v>
      </c>
      <c r="E285" s="9">
        <f>IF(_xlfn.MAXIFS(Transactions[Transaction Amount], Transactions[CustomerID],A285)/'Customer Profiles'!$M$10&lt;=10,_xlfn.MAXIFS(Transactions[Transaction Amount], Transactions[CustomerID],A285)/'Customer Profiles'!$M$10,10)</f>
        <v>2.4639676861210216</v>
      </c>
      <c r="F285" s="1">
        <f t="shared" si="17"/>
        <v>6</v>
      </c>
      <c r="G285" s="1">
        <f t="shared" si="18"/>
        <v>1.6</v>
      </c>
      <c r="H285" s="1">
        <f t="shared" si="19"/>
        <v>1</v>
      </c>
    </row>
    <row r="286" spans="1:8">
      <c r="A286" s="1">
        <v>153</v>
      </c>
      <c r="B286" s="8">
        <f>_xlfn.MAXIFS(Transactions[Transaction Date], Transactions[CustomerID],A286)</f>
        <v>42988</v>
      </c>
      <c r="C286" s="1">
        <f t="shared" si="16"/>
        <v>5</v>
      </c>
      <c r="D286" s="1">
        <f>COUNTIF(Transactions[CustomerID],"="&amp;A286)</f>
        <v>1</v>
      </c>
      <c r="E286" s="9">
        <f>IF(_xlfn.MAXIFS(Transactions[Transaction Amount], Transactions[CustomerID],A286)/'Customer Profiles'!$M$10&lt;=10,_xlfn.MAXIFS(Transactions[Transaction Amount], Transactions[CustomerID],A286)/'Customer Profiles'!$M$10,10)</f>
        <v>1.1291276692733228</v>
      </c>
      <c r="F286" s="1">
        <f t="shared" si="17"/>
        <v>5</v>
      </c>
      <c r="G286" s="1">
        <f t="shared" si="18"/>
        <v>0.2</v>
      </c>
      <c r="H286" s="1">
        <f t="shared" si="19"/>
        <v>1</v>
      </c>
    </row>
    <row r="287" spans="1:8">
      <c r="A287" s="1">
        <v>437</v>
      </c>
      <c r="B287" s="8">
        <f>_xlfn.MAXIFS(Transactions[Transaction Date], Transactions[CustomerID],A287)</f>
        <v>43349</v>
      </c>
      <c r="C287" s="1">
        <f t="shared" si="16"/>
        <v>5</v>
      </c>
      <c r="D287" s="1">
        <f>COUNTIF(Transactions[CustomerID],"="&amp;A287)</f>
        <v>1</v>
      </c>
      <c r="E287" s="9">
        <f>IF(_xlfn.MAXIFS(Transactions[Transaction Amount], Transactions[CustomerID],A287)/'Customer Profiles'!$M$10&lt;=10,_xlfn.MAXIFS(Transactions[Transaction Amount], Transactions[CustomerID],A287)/'Customer Profiles'!$M$10,10)</f>
        <v>4.8459183747642721E-2</v>
      </c>
      <c r="F287" s="1">
        <f t="shared" si="17"/>
        <v>5</v>
      </c>
      <c r="G287" s="1">
        <f t="shared" si="18"/>
        <v>0.2</v>
      </c>
      <c r="H287" s="1">
        <f t="shared" si="19"/>
        <v>1</v>
      </c>
    </row>
    <row r="288" spans="1:8">
      <c r="A288" s="1">
        <v>179</v>
      </c>
      <c r="B288" s="8">
        <f>_xlfn.MAXIFS(Transactions[Transaction Date], Transactions[CustomerID],A288)</f>
        <v>43080</v>
      </c>
      <c r="C288" s="1">
        <f t="shared" si="16"/>
        <v>2</v>
      </c>
      <c r="D288" s="1">
        <f>COUNTIF(Transactions[CustomerID],"="&amp;A288)</f>
        <v>1</v>
      </c>
      <c r="E288" s="9">
        <f>IF(_xlfn.MAXIFS(Transactions[Transaction Amount], Transactions[CustomerID],A288)/'Customer Profiles'!$M$10&lt;=10,_xlfn.MAXIFS(Transactions[Transaction Amount], Transactions[CustomerID],A288)/'Customer Profiles'!$M$10,10)</f>
        <v>7.5566805619012634E-2</v>
      </c>
      <c r="F288" s="1">
        <f t="shared" si="17"/>
        <v>2</v>
      </c>
      <c r="G288" s="1">
        <f t="shared" si="18"/>
        <v>0.2</v>
      </c>
      <c r="H288" s="1">
        <f t="shared" si="19"/>
        <v>1</v>
      </c>
    </row>
    <row r="289" spans="1:8">
      <c r="A289" s="1">
        <v>570</v>
      </c>
      <c r="B289" s="8">
        <f>_xlfn.MAXIFS(Transactions[Transaction Date], Transactions[CustomerID],A289)</f>
        <v>43479</v>
      </c>
      <c r="C289" s="1">
        <f t="shared" si="16"/>
        <v>1</v>
      </c>
      <c r="D289" s="1">
        <f>COUNTIF(Transactions[CustomerID],"="&amp;A289)</f>
        <v>3</v>
      </c>
      <c r="E289" s="9">
        <f>IF(_xlfn.MAXIFS(Transactions[Transaction Amount], Transactions[CustomerID],A289)/'Customer Profiles'!$M$10&lt;=10,_xlfn.MAXIFS(Transactions[Transaction Amount], Transactions[CustomerID],A289)/'Customer Profiles'!$M$10,10)</f>
        <v>0.30926006940057477</v>
      </c>
      <c r="F289" s="1">
        <f t="shared" si="17"/>
        <v>1</v>
      </c>
      <c r="G289" s="1">
        <f t="shared" si="18"/>
        <v>0.6</v>
      </c>
      <c r="H289" s="1">
        <f t="shared" si="19"/>
        <v>1</v>
      </c>
    </row>
    <row r="290" spans="1:8">
      <c r="A290" s="1">
        <v>489</v>
      </c>
      <c r="B290" s="8">
        <f>_xlfn.MAXIFS(Transactions[Transaction Date], Transactions[CustomerID],A290)</f>
        <v>43433</v>
      </c>
      <c r="C290" s="1">
        <f t="shared" si="16"/>
        <v>3</v>
      </c>
      <c r="D290" s="1">
        <f>COUNTIF(Transactions[CustomerID],"="&amp;A290)</f>
        <v>3</v>
      </c>
      <c r="E290" s="9">
        <f>IF(_xlfn.MAXIFS(Transactions[Transaction Amount], Transactions[CustomerID],A290)/'Customer Profiles'!$M$10&lt;=10,_xlfn.MAXIFS(Transactions[Transaction Amount], Transactions[CustomerID],A290)/'Customer Profiles'!$M$10,10)</f>
        <v>2.423583212442908</v>
      </c>
      <c r="F290" s="1">
        <f t="shared" si="17"/>
        <v>3</v>
      </c>
      <c r="G290" s="1">
        <f t="shared" si="18"/>
        <v>0.6</v>
      </c>
      <c r="H290" s="1">
        <f t="shared" si="19"/>
        <v>1</v>
      </c>
    </row>
    <row r="291" spans="1:8">
      <c r="A291" s="1">
        <v>124</v>
      </c>
      <c r="B291" s="8">
        <f>_xlfn.MAXIFS(Transactions[Transaction Date], Transactions[CustomerID],A291)</f>
        <v>43224</v>
      </c>
      <c r="C291" s="1">
        <f t="shared" si="16"/>
        <v>9</v>
      </c>
      <c r="D291" s="1">
        <f>COUNTIF(Transactions[CustomerID],"="&amp;A291)</f>
        <v>2</v>
      </c>
      <c r="E291" s="9">
        <f>IF(_xlfn.MAXIFS(Transactions[Transaction Amount], Transactions[CustomerID],A291)/'Customer Profiles'!$M$10&lt;=10,_xlfn.MAXIFS(Transactions[Transaction Amount], Transactions[CustomerID],A291)/'Customer Profiles'!$M$10,10)</f>
        <v>1.9320963930087169</v>
      </c>
      <c r="F291" s="1">
        <f t="shared" si="17"/>
        <v>9</v>
      </c>
      <c r="G291" s="1">
        <f t="shared" si="18"/>
        <v>0.4</v>
      </c>
      <c r="H291" s="1">
        <f t="shared" si="19"/>
        <v>1</v>
      </c>
    </row>
    <row r="292" spans="1:8">
      <c r="A292" s="1">
        <v>276</v>
      </c>
      <c r="B292" s="8">
        <f>_xlfn.MAXIFS(Transactions[Transaction Date], Transactions[CustomerID],A292)</f>
        <v>43117</v>
      </c>
      <c r="C292" s="1">
        <f t="shared" si="16"/>
        <v>1</v>
      </c>
      <c r="D292" s="1">
        <f>COUNTIF(Transactions[CustomerID],"="&amp;A292)</f>
        <v>2</v>
      </c>
      <c r="E292" s="9">
        <f>IF(_xlfn.MAXIFS(Transactions[Transaction Amount], Transactions[CustomerID],A292)/'Customer Profiles'!$M$10&lt;=10,_xlfn.MAXIFS(Transactions[Transaction Amount], Transactions[CustomerID],A292)/'Customer Profiles'!$M$10,10)</f>
        <v>5.9583615742806142</v>
      </c>
      <c r="F292" s="1">
        <f t="shared" si="17"/>
        <v>1</v>
      </c>
      <c r="G292" s="1">
        <f t="shared" si="18"/>
        <v>0.4</v>
      </c>
      <c r="H292" s="1">
        <f t="shared" si="19"/>
        <v>1.77</v>
      </c>
    </row>
    <row r="293" spans="1:8">
      <c r="A293" s="1">
        <v>380</v>
      </c>
      <c r="B293" s="8">
        <f>_xlfn.MAXIFS(Transactions[Transaction Date], Transactions[CustomerID],A293)</f>
        <v>43341</v>
      </c>
      <c r="C293" s="1">
        <f t="shared" si="16"/>
        <v>6</v>
      </c>
      <c r="D293" s="1">
        <f>COUNTIF(Transactions[CustomerID],"="&amp;A293)</f>
        <v>1</v>
      </c>
      <c r="E293" s="9">
        <f>IF(_xlfn.MAXIFS(Transactions[Transaction Amount], Transactions[CustomerID],A293)/'Customer Profiles'!$M$10&lt;=10,_xlfn.MAXIFS(Transactions[Transaction Amount], Transactions[CustomerID],A293)/'Customer Profiles'!$M$10,10)</f>
        <v>5.2410513421873757E-2</v>
      </c>
      <c r="F293" s="1">
        <f t="shared" si="17"/>
        <v>6</v>
      </c>
      <c r="G293" s="1">
        <f t="shared" si="18"/>
        <v>0.2</v>
      </c>
      <c r="H293" s="1">
        <f t="shared" si="19"/>
        <v>1</v>
      </c>
    </row>
    <row r="294" spans="1:8">
      <c r="A294" s="1">
        <v>202</v>
      </c>
      <c r="B294" s="8">
        <f>_xlfn.MAXIFS(Transactions[Transaction Date], Transactions[CustomerID],A294)</f>
        <v>43395</v>
      </c>
      <c r="C294" s="1">
        <f t="shared" si="16"/>
        <v>4</v>
      </c>
      <c r="D294" s="1">
        <f>COUNTIF(Transactions[CustomerID],"="&amp;A294)</f>
        <v>2</v>
      </c>
      <c r="E294" s="9">
        <f>IF(_xlfn.MAXIFS(Transactions[Transaction Amount], Transactions[CustomerID],A294)/'Customer Profiles'!$M$10&lt;=10,_xlfn.MAXIFS(Transactions[Transaction Amount], Transactions[CustomerID],A294)/'Customer Profiles'!$M$10,10)</f>
        <v>2.0569949265709071</v>
      </c>
      <c r="F294" s="1">
        <f t="shared" si="17"/>
        <v>4</v>
      </c>
      <c r="G294" s="1">
        <f t="shared" si="18"/>
        <v>0.4</v>
      </c>
      <c r="H294" s="1">
        <f t="shared" si="19"/>
        <v>1</v>
      </c>
    </row>
    <row r="295" spans="1:8">
      <c r="A295" s="1">
        <v>200</v>
      </c>
      <c r="B295" s="8">
        <f>_xlfn.MAXIFS(Transactions[Transaction Date], Transactions[CustomerID],A295)</f>
        <v>43405</v>
      </c>
      <c r="C295" s="1">
        <f t="shared" si="16"/>
        <v>4</v>
      </c>
      <c r="D295" s="1">
        <f>COUNTIF(Transactions[CustomerID],"="&amp;A295)</f>
        <v>3</v>
      </c>
      <c r="E295" s="9">
        <f>IF(_xlfn.MAXIFS(Transactions[Transaction Amount], Transactions[CustomerID],A295)/'Customer Profiles'!$M$10&lt;=10,_xlfn.MAXIFS(Transactions[Transaction Amount], Transactions[CustomerID],A295)/'Customer Profiles'!$M$10,10)</f>
        <v>1.8472906219402612</v>
      </c>
      <c r="F295" s="1">
        <f t="shared" si="17"/>
        <v>4</v>
      </c>
      <c r="G295" s="1">
        <f t="shared" si="18"/>
        <v>0.6</v>
      </c>
      <c r="H295" s="1">
        <f t="shared" si="19"/>
        <v>1</v>
      </c>
    </row>
    <row r="296" spans="1:8">
      <c r="A296" s="1">
        <v>292</v>
      </c>
      <c r="B296" s="8">
        <f>_xlfn.MAXIFS(Transactions[Transaction Date], Transactions[CustomerID],A296)</f>
        <v>43048</v>
      </c>
      <c r="C296" s="1">
        <f t="shared" si="16"/>
        <v>3</v>
      </c>
      <c r="D296" s="1">
        <f>COUNTIF(Transactions[CustomerID],"="&amp;A296)</f>
        <v>1</v>
      </c>
      <c r="E296" s="9">
        <f>IF(_xlfn.MAXIFS(Transactions[Transaction Amount], Transactions[CustomerID],A296)/'Customer Profiles'!$M$10&lt;=10,_xlfn.MAXIFS(Transactions[Transaction Amount], Transactions[CustomerID],A296)/'Customer Profiles'!$M$10,10)</f>
        <v>0.37373207671732195</v>
      </c>
      <c r="F296" s="1">
        <f t="shared" si="17"/>
        <v>3</v>
      </c>
      <c r="G296" s="1">
        <f t="shared" si="18"/>
        <v>0.2</v>
      </c>
      <c r="H296" s="1">
        <f t="shared" si="19"/>
        <v>1</v>
      </c>
    </row>
    <row r="297" spans="1:8">
      <c r="A297" s="1">
        <v>112</v>
      </c>
      <c r="B297" s="8">
        <f>_xlfn.MAXIFS(Transactions[Transaction Date], Transactions[CustomerID],A297)</f>
        <v>43013</v>
      </c>
      <c r="C297" s="1">
        <f t="shared" si="16"/>
        <v>4</v>
      </c>
      <c r="D297" s="1">
        <f>COUNTIF(Transactions[CustomerID],"="&amp;A297)</f>
        <v>1</v>
      </c>
      <c r="E297" s="9">
        <f>IF(_xlfn.MAXIFS(Transactions[Transaction Amount], Transactions[CustomerID],A297)/'Customer Profiles'!$M$10&lt;=10,_xlfn.MAXIFS(Transactions[Transaction Amount], Transactions[CustomerID],A297)/'Customer Profiles'!$M$10,10)</f>
        <v>0.42298912500949476</v>
      </c>
      <c r="F297" s="1">
        <f t="shared" si="17"/>
        <v>4</v>
      </c>
      <c r="G297" s="1">
        <f t="shared" si="18"/>
        <v>0.2</v>
      </c>
      <c r="H297" s="1">
        <f t="shared" si="19"/>
        <v>1</v>
      </c>
    </row>
    <row r="298" spans="1:8">
      <c r="A298" s="1">
        <v>54</v>
      </c>
      <c r="B298" s="8">
        <f>_xlfn.MAXIFS(Transactions[Transaction Date], Transactions[CustomerID],A298)</f>
        <v>43461</v>
      </c>
      <c r="C298" s="1">
        <f t="shared" si="16"/>
        <v>2</v>
      </c>
      <c r="D298" s="1">
        <f>COUNTIF(Transactions[CustomerID],"="&amp;A298)</f>
        <v>3</v>
      </c>
      <c r="E298" s="9">
        <f>IF(_xlfn.MAXIFS(Transactions[Transaction Amount], Transactions[CustomerID],A298)/'Customer Profiles'!$M$10&lt;=10,_xlfn.MAXIFS(Transactions[Transaction Amount], Transactions[CustomerID],A298)/'Customer Profiles'!$M$10,10)</f>
        <v>7.5541669011483741</v>
      </c>
      <c r="F298" s="1">
        <f t="shared" si="17"/>
        <v>2</v>
      </c>
      <c r="G298" s="1">
        <f t="shared" si="18"/>
        <v>0.6</v>
      </c>
      <c r="H298" s="1">
        <f t="shared" si="19"/>
        <v>2.0299999999999998</v>
      </c>
    </row>
    <row r="299" spans="1:8">
      <c r="A299" s="1">
        <v>122</v>
      </c>
      <c r="B299" s="8">
        <f>_xlfn.MAXIFS(Transactions[Transaction Date], Transactions[CustomerID],A299)</f>
        <v>43288</v>
      </c>
      <c r="C299" s="1">
        <f t="shared" si="16"/>
        <v>7</v>
      </c>
      <c r="D299" s="1">
        <f>COUNTIF(Transactions[CustomerID],"="&amp;A299)</f>
        <v>2</v>
      </c>
      <c r="E299" s="9">
        <f>IF(_xlfn.MAXIFS(Transactions[Transaction Amount], Transactions[CustomerID],A299)/'Customer Profiles'!$M$10&lt;=10,_xlfn.MAXIFS(Transactions[Transaction Amount], Transactions[CustomerID],A299)/'Customer Profiles'!$M$10,10)</f>
        <v>0.81239367626615111</v>
      </c>
      <c r="F299" s="1">
        <f t="shared" si="17"/>
        <v>7</v>
      </c>
      <c r="G299" s="1">
        <f t="shared" si="18"/>
        <v>0.4</v>
      </c>
      <c r="H299" s="1">
        <f t="shared" si="19"/>
        <v>1</v>
      </c>
    </row>
    <row r="300" spans="1:8">
      <c r="A300" s="1">
        <v>245</v>
      </c>
      <c r="B300" s="8">
        <f>_xlfn.MAXIFS(Transactions[Transaction Date], Transactions[CustomerID],A300)</f>
        <v>43201</v>
      </c>
      <c r="C300" s="1">
        <f t="shared" si="16"/>
        <v>10</v>
      </c>
      <c r="D300" s="1">
        <f>COUNTIF(Transactions[CustomerID],"="&amp;A300)</f>
        <v>3</v>
      </c>
      <c r="E300" s="9">
        <f>IF(_xlfn.MAXIFS(Transactions[Transaction Amount], Transactions[CustomerID],A300)/'Customer Profiles'!$M$10&lt;=10,_xlfn.MAXIFS(Transactions[Transaction Amount], Transactions[CustomerID],A300)/'Customer Profiles'!$M$10,10)</f>
        <v>1.8798464029838164</v>
      </c>
      <c r="F300" s="1">
        <f t="shared" si="17"/>
        <v>10</v>
      </c>
      <c r="G300" s="1">
        <f t="shared" si="18"/>
        <v>0.6</v>
      </c>
      <c r="H300" s="1">
        <f t="shared" si="19"/>
        <v>1</v>
      </c>
    </row>
    <row r="301" spans="1:8">
      <c r="A301" s="1">
        <v>17</v>
      </c>
      <c r="B301" s="8">
        <f>_xlfn.MAXIFS(Transactions[Transaction Date], Transactions[CustomerID],A301)</f>
        <v>43196</v>
      </c>
      <c r="C301" s="1">
        <f t="shared" si="16"/>
        <v>10</v>
      </c>
      <c r="D301" s="1">
        <f>COUNTIF(Transactions[CustomerID],"="&amp;A301)</f>
        <v>3</v>
      </c>
      <c r="E301" s="9">
        <f>IF(_xlfn.MAXIFS(Transactions[Transaction Amount], Transactions[CustomerID],A301)/'Customer Profiles'!$M$10&lt;=10,_xlfn.MAXIFS(Transactions[Transaction Amount], Transactions[CustomerID],A301)/'Customer Profiles'!$M$10,10)</f>
        <v>3.2408563958527878</v>
      </c>
      <c r="F301" s="1">
        <f t="shared" si="17"/>
        <v>10</v>
      </c>
      <c r="G301" s="1">
        <f t="shared" si="18"/>
        <v>0.6</v>
      </c>
      <c r="H301" s="1">
        <f t="shared" si="19"/>
        <v>1</v>
      </c>
    </row>
    <row r="302" spans="1:8">
      <c r="A302" s="1">
        <v>313</v>
      </c>
      <c r="B302" s="8">
        <f>_xlfn.MAXIFS(Transactions[Transaction Date], Transactions[CustomerID],A302)</f>
        <v>43221</v>
      </c>
      <c r="C302" s="1">
        <f t="shared" si="16"/>
        <v>10</v>
      </c>
      <c r="D302" s="1">
        <f>COUNTIF(Transactions[CustomerID],"="&amp;A302)</f>
        <v>1</v>
      </c>
      <c r="E302" s="9">
        <f>IF(_xlfn.MAXIFS(Transactions[Transaction Amount], Transactions[CustomerID],A302)/'Customer Profiles'!$M$10&lt;=10,_xlfn.MAXIFS(Transactions[Transaction Amount], Transactions[CustomerID],A302)/'Customer Profiles'!$M$10,10)</f>
        <v>1.2383903430954548</v>
      </c>
      <c r="F302" s="1">
        <f t="shared" si="17"/>
        <v>10</v>
      </c>
      <c r="G302" s="1">
        <f t="shared" si="18"/>
        <v>0.2</v>
      </c>
      <c r="H302" s="1">
        <f t="shared" si="19"/>
        <v>1</v>
      </c>
    </row>
    <row r="303" spans="1:8">
      <c r="A303" s="1">
        <v>154</v>
      </c>
      <c r="B303" s="8">
        <f>_xlfn.MAXIFS(Transactions[Transaction Date], Transactions[CustomerID],A303)</f>
        <v>43265</v>
      </c>
      <c r="C303" s="1">
        <f t="shared" si="16"/>
        <v>8</v>
      </c>
      <c r="D303" s="1">
        <f>COUNTIF(Transactions[CustomerID],"="&amp;A303)</f>
        <v>7</v>
      </c>
      <c r="E303" s="9">
        <f>IF(_xlfn.MAXIFS(Transactions[Transaction Amount], Transactions[CustomerID],A303)/'Customer Profiles'!$M$10&lt;=10,_xlfn.MAXIFS(Transactions[Transaction Amount], Transactions[CustomerID],A303)/'Customer Profiles'!$M$10,10)</f>
        <v>0.99180519677713119</v>
      </c>
      <c r="F303" s="1">
        <f t="shared" si="17"/>
        <v>8</v>
      </c>
      <c r="G303" s="1">
        <f t="shared" si="18"/>
        <v>1.4</v>
      </c>
      <c r="H303" s="1">
        <f t="shared" si="19"/>
        <v>1</v>
      </c>
    </row>
    <row r="304" spans="1:8">
      <c r="A304" s="1">
        <v>556</v>
      </c>
      <c r="B304" s="8">
        <f>_xlfn.MAXIFS(Transactions[Transaction Date], Transactions[CustomerID],A304)</f>
        <v>43360</v>
      </c>
      <c r="C304" s="1">
        <f t="shared" si="16"/>
        <v>5</v>
      </c>
      <c r="D304" s="1">
        <f>COUNTIF(Transactions[CustomerID],"="&amp;A304)</f>
        <v>1</v>
      </c>
      <c r="E304" s="9">
        <f>IF(_xlfn.MAXIFS(Transactions[Transaction Amount], Transactions[CustomerID],A304)/'Customer Profiles'!$M$10&lt;=10,_xlfn.MAXIFS(Transactions[Transaction Amount], Transactions[CustomerID],A304)/'Customer Profiles'!$M$10,10)</f>
        <v>1.4607489806266603</v>
      </c>
      <c r="F304" s="1">
        <f t="shared" si="17"/>
        <v>5</v>
      </c>
      <c r="G304" s="1">
        <f t="shared" si="18"/>
        <v>0.2</v>
      </c>
      <c r="H304" s="1">
        <f t="shared" si="19"/>
        <v>1</v>
      </c>
    </row>
    <row r="305" spans="1:8">
      <c r="A305" s="1">
        <v>214</v>
      </c>
      <c r="B305" s="8">
        <f>_xlfn.MAXIFS(Transactions[Transaction Date], Transactions[CustomerID],A305)</f>
        <v>43494</v>
      </c>
      <c r="C305" s="1">
        <f t="shared" si="16"/>
        <v>1</v>
      </c>
      <c r="D305" s="1">
        <f>COUNTIF(Transactions[CustomerID],"="&amp;A305)</f>
        <v>3</v>
      </c>
      <c r="E305" s="9">
        <f>IF(_xlfn.MAXIFS(Transactions[Transaction Amount], Transactions[CustomerID],A305)/'Customer Profiles'!$M$10&lt;=10,_xlfn.MAXIFS(Transactions[Transaction Amount], Transactions[CustomerID],A305)/'Customer Profiles'!$M$10,10)</f>
        <v>3.1473068181461286</v>
      </c>
      <c r="F305" s="1">
        <f t="shared" si="17"/>
        <v>1</v>
      </c>
      <c r="G305" s="1">
        <f t="shared" si="18"/>
        <v>0.6</v>
      </c>
      <c r="H305" s="1">
        <f t="shared" si="19"/>
        <v>1</v>
      </c>
    </row>
    <row r="306" spans="1:8">
      <c r="A306" s="1">
        <v>295</v>
      </c>
      <c r="B306" s="8">
        <f>_xlfn.MAXIFS(Transactions[Transaction Date], Transactions[CustomerID],A306)</f>
        <v>42903</v>
      </c>
      <c r="C306" s="1">
        <f t="shared" si="16"/>
        <v>8</v>
      </c>
      <c r="D306" s="1">
        <f>COUNTIF(Transactions[CustomerID],"="&amp;A306)</f>
        <v>1</v>
      </c>
      <c r="E306" s="9">
        <f>IF(_xlfn.MAXIFS(Transactions[Transaction Amount], Transactions[CustomerID],A306)/'Customer Profiles'!$M$10&lt;=10,_xlfn.MAXIFS(Transactions[Transaction Amount], Transactions[CustomerID],A306)/'Customer Profiles'!$M$10,10)</f>
        <v>1.4211261429446038</v>
      </c>
      <c r="F306" s="1">
        <f t="shared" si="17"/>
        <v>8</v>
      </c>
      <c r="G306" s="1">
        <f t="shared" si="18"/>
        <v>0.2</v>
      </c>
      <c r="H306" s="1">
        <f t="shared" si="19"/>
        <v>1</v>
      </c>
    </row>
    <row r="307" spans="1:8">
      <c r="A307" s="1">
        <v>119</v>
      </c>
      <c r="B307" s="8">
        <f>_xlfn.MAXIFS(Transactions[Transaction Date], Transactions[CustomerID],A307)</f>
        <v>43366</v>
      </c>
      <c r="C307" s="1">
        <f t="shared" si="16"/>
        <v>5</v>
      </c>
      <c r="D307" s="1">
        <f>COUNTIF(Transactions[CustomerID],"="&amp;A307)</f>
        <v>1</v>
      </c>
      <c r="E307" s="9">
        <f>IF(_xlfn.MAXIFS(Transactions[Transaction Amount], Transactions[CustomerID],A307)/'Customer Profiles'!$M$10&lt;=10,_xlfn.MAXIFS(Transactions[Transaction Amount], Transactions[CustomerID],A307)/'Customer Profiles'!$M$10,10)</f>
        <v>9.6281652626598616E-2</v>
      </c>
      <c r="F307" s="1">
        <f t="shared" si="17"/>
        <v>5</v>
      </c>
      <c r="G307" s="1">
        <f t="shared" si="18"/>
        <v>0.2</v>
      </c>
      <c r="H307" s="1">
        <f t="shared" si="19"/>
        <v>1</v>
      </c>
    </row>
    <row r="308" spans="1:8">
      <c r="A308" s="1">
        <v>316</v>
      </c>
      <c r="B308" s="8">
        <f>_xlfn.MAXIFS(Transactions[Transaction Date], Transactions[CustomerID],A308)</f>
        <v>43478</v>
      </c>
      <c r="C308" s="1">
        <f t="shared" si="16"/>
        <v>1</v>
      </c>
      <c r="D308" s="1">
        <f>COUNTIF(Transactions[CustomerID],"="&amp;A308)</f>
        <v>1</v>
      </c>
      <c r="E308" s="9">
        <f>IF(_xlfn.MAXIFS(Transactions[Transaction Amount], Transactions[CustomerID],A308)/'Customer Profiles'!$M$10&lt;=10,_xlfn.MAXIFS(Transactions[Transaction Amount], Transactions[CustomerID],A308)/'Customer Profiles'!$M$10,10)</f>
        <v>3.8187937878103755</v>
      </c>
      <c r="F308" s="1">
        <f t="shared" si="17"/>
        <v>1</v>
      </c>
      <c r="G308" s="1">
        <f t="shared" si="18"/>
        <v>0.2</v>
      </c>
      <c r="H308" s="1">
        <f t="shared" si="19"/>
        <v>1</v>
      </c>
    </row>
    <row r="309" spans="1:8">
      <c r="A309" s="1">
        <v>32</v>
      </c>
      <c r="B309" s="8">
        <f>_xlfn.MAXIFS(Transactions[Transaction Date], Transactions[CustomerID],A309)</f>
        <v>43344</v>
      </c>
      <c r="C309" s="1">
        <f t="shared" si="16"/>
        <v>6</v>
      </c>
      <c r="D309" s="1">
        <f>COUNTIF(Transactions[CustomerID],"="&amp;A309)</f>
        <v>1</v>
      </c>
      <c r="E309" s="9">
        <f>IF(_xlfn.MAXIFS(Transactions[Transaction Amount], Transactions[CustomerID],A309)/'Customer Profiles'!$M$10&lt;=10,_xlfn.MAXIFS(Transactions[Transaction Amount], Transactions[CustomerID],A309)/'Customer Profiles'!$M$10,10)</f>
        <v>1.1081169061982721</v>
      </c>
      <c r="F309" s="1">
        <f t="shared" si="17"/>
        <v>6</v>
      </c>
      <c r="G309" s="1">
        <f t="shared" si="18"/>
        <v>0.2</v>
      </c>
      <c r="H309" s="1">
        <f t="shared" si="19"/>
        <v>1</v>
      </c>
    </row>
    <row r="310" spans="1:8">
      <c r="A310" s="1">
        <v>132</v>
      </c>
      <c r="B310" s="8">
        <f>_xlfn.MAXIFS(Transactions[Transaction Date], Transactions[CustomerID],A310)</f>
        <v>42999</v>
      </c>
      <c r="C310" s="1">
        <f t="shared" si="16"/>
        <v>5</v>
      </c>
      <c r="D310" s="1">
        <f>COUNTIF(Transactions[CustomerID],"="&amp;A310)</f>
        <v>2</v>
      </c>
      <c r="E310" s="9">
        <f>IF(_xlfn.MAXIFS(Transactions[Transaction Amount], Transactions[CustomerID],A310)/'Customer Profiles'!$M$10&lt;=10,_xlfn.MAXIFS(Transactions[Transaction Amount], Transactions[CustomerID],A310)/'Customer Profiles'!$M$10,10)</f>
        <v>4.9366420460705474</v>
      </c>
      <c r="F310" s="1">
        <f t="shared" si="17"/>
        <v>5</v>
      </c>
      <c r="G310" s="1">
        <f t="shared" si="18"/>
        <v>0.4</v>
      </c>
      <c r="H310" s="1">
        <f t="shared" si="19"/>
        <v>1</v>
      </c>
    </row>
    <row r="311" spans="1:8">
      <c r="A311" s="1">
        <v>460</v>
      </c>
      <c r="B311" s="8">
        <f>_xlfn.MAXIFS(Transactions[Transaction Date], Transactions[CustomerID],A311)</f>
        <v>43262</v>
      </c>
      <c r="C311" s="1">
        <f t="shared" si="16"/>
        <v>8</v>
      </c>
      <c r="D311" s="1">
        <f>COUNTIF(Transactions[CustomerID],"="&amp;A311)</f>
        <v>3</v>
      </c>
      <c r="E311" s="9">
        <f>IF(_xlfn.MAXIFS(Transactions[Transaction Amount], Transactions[CustomerID],A311)/'Customer Profiles'!$M$10&lt;=10,_xlfn.MAXIFS(Transactions[Transaction Amount], Transactions[CustomerID],A311)/'Customer Profiles'!$M$10,10)</f>
        <v>3.6111669254501537</v>
      </c>
      <c r="F311" s="1">
        <f t="shared" si="17"/>
        <v>8</v>
      </c>
      <c r="G311" s="1">
        <f t="shared" si="18"/>
        <v>0.6</v>
      </c>
      <c r="H311" s="1">
        <f t="shared" si="19"/>
        <v>1</v>
      </c>
    </row>
    <row r="312" spans="1:8">
      <c r="A312" s="1">
        <v>35</v>
      </c>
      <c r="B312" s="8">
        <f>_xlfn.MAXIFS(Transactions[Transaction Date], Transactions[CustomerID],A312)</f>
        <v>42741</v>
      </c>
      <c r="C312" s="1">
        <f t="shared" si="16"/>
        <v>1</v>
      </c>
      <c r="D312" s="1">
        <f>COUNTIF(Transactions[CustomerID],"="&amp;A312)</f>
        <v>1</v>
      </c>
      <c r="E312" s="9">
        <f>IF(_xlfn.MAXIFS(Transactions[Transaction Amount], Transactions[CustomerID],A312)/'Customer Profiles'!$M$10&lt;=10,_xlfn.MAXIFS(Transactions[Transaction Amount], Transactions[CustomerID],A312)/'Customer Profiles'!$M$10,10)</f>
        <v>6.4334759892265544E-2</v>
      </c>
      <c r="F312" s="1">
        <f t="shared" si="17"/>
        <v>1</v>
      </c>
      <c r="G312" s="1">
        <f t="shared" si="18"/>
        <v>0.2</v>
      </c>
      <c r="H312" s="1">
        <f t="shared" si="19"/>
        <v>1</v>
      </c>
    </row>
    <row r="313" spans="1:8">
      <c r="A313" s="1">
        <v>251</v>
      </c>
      <c r="B313" s="8">
        <f>_xlfn.MAXIFS(Transactions[Transaction Date], Transactions[CustomerID],A313)</f>
        <v>42989</v>
      </c>
      <c r="C313" s="1">
        <f t="shared" si="16"/>
        <v>5</v>
      </c>
      <c r="D313" s="1">
        <f>COUNTIF(Transactions[CustomerID],"="&amp;A313)</f>
        <v>1</v>
      </c>
      <c r="E313" s="9">
        <f>IF(_xlfn.MAXIFS(Transactions[Transaction Amount], Transactions[CustomerID],A313)/'Customer Profiles'!$M$10&lt;=10,_xlfn.MAXIFS(Transactions[Transaction Amount], Transactions[CustomerID],A313)/'Customer Profiles'!$M$10,10)</f>
        <v>0.37490035465067939</v>
      </c>
      <c r="F313" s="1">
        <f t="shared" si="17"/>
        <v>5</v>
      </c>
      <c r="G313" s="1">
        <f t="shared" si="18"/>
        <v>0.2</v>
      </c>
      <c r="H313" s="1">
        <f t="shared" si="19"/>
        <v>1</v>
      </c>
    </row>
    <row r="314" spans="1:8">
      <c r="A314" s="1">
        <v>135</v>
      </c>
      <c r="B314" s="8">
        <f>_xlfn.MAXIFS(Transactions[Transaction Date], Transactions[CustomerID],A314)</f>
        <v>43073</v>
      </c>
      <c r="C314" s="1">
        <f t="shared" si="16"/>
        <v>2</v>
      </c>
      <c r="D314" s="1">
        <f>COUNTIF(Transactions[CustomerID],"="&amp;A314)</f>
        <v>1</v>
      </c>
      <c r="E314" s="9">
        <f>IF(_xlfn.MAXIFS(Transactions[Transaction Amount], Transactions[CustomerID],A314)/'Customer Profiles'!$M$10&lt;=10,_xlfn.MAXIFS(Transactions[Transaction Amount], Transactions[CustomerID],A314)/'Customer Profiles'!$M$10,10)</f>
        <v>4.4146212081732239</v>
      </c>
      <c r="F314" s="1">
        <f t="shared" si="17"/>
        <v>2</v>
      </c>
      <c r="G314" s="1">
        <f t="shared" si="18"/>
        <v>0.2</v>
      </c>
      <c r="H314" s="1">
        <f t="shared" si="19"/>
        <v>1</v>
      </c>
    </row>
    <row r="315" spans="1:8">
      <c r="A315" s="1">
        <v>477</v>
      </c>
      <c r="B315" s="8">
        <f>_xlfn.MAXIFS(Transactions[Transaction Date], Transactions[CustomerID],A315)</f>
        <v>43089</v>
      </c>
      <c r="C315" s="1">
        <f t="shared" si="16"/>
        <v>2</v>
      </c>
      <c r="D315" s="1">
        <f>COUNTIF(Transactions[CustomerID],"="&amp;A315)</f>
        <v>1</v>
      </c>
      <c r="E315" s="9">
        <f>IF(_xlfn.MAXIFS(Transactions[Transaction Amount], Transactions[CustomerID],A315)/'Customer Profiles'!$M$10&lt;=10,_xlfn.MAXIFS(Transactions[Transaction Amount], Transactions[CustomerID],A315)/'Customer Profiles'!$M$10,10)</f>
        <v>1.0706511890956907</v>
      </c>
      <c r="F315" s="1">
        <f t="shared" si="17"/>
        <v>2</v>
      </c>
      <c r="G315" s="1">
        <f t="shared" si="18"/>
        <v>0.2</v>
      </c>
      <c r="H315" s="1">
        <f t="shared" si="19"/>
        <v>1</v>
      </c>
    </row>
    <row r="316" spans="1:8">
      <c r="A316" s="1">
        <v>389</v>
      </c>
      <c r="B316" s="8">
        <f>_xlfn.MAXIFS(Transactions[Transaction Date], Transactions[CustomerID],A316)</f>
        <v>43206</v>
      </c>
      <c r="C316" s="1">
        <f t="shared" si="16"/>
        <v>10</v>
      </c>
      <c r="D316" s="1">
        <f>COUNTIF(Transactions[CustomerID],"="&amp;A316)</f>
        <v>1</v>
      </c>
      <c r="E316" s="9">
        <f>IF(_xlfn.MAXIFS(Transactions[Transaction Amount], Transactions[CustomerID],A316)/'Customer Profiles'!$M$10&lt;=10,_xlfn.MAXIFS(Transactions[Transaction Amount], Transactions[CustomerID],A316)/'Customer Profiles'!$M$10,10)</f>
        <v>1.0064433664751853</v>
      </c>
      <c r="F316" s="1">
        <f t="shared" si="17"/>
        <v>10</v>
      </c>
      <c r="G316" s="1">
        <f t="shared" si="18"/>
        <v>0.2</v>
      </c>
      <c r="H316" s="1">
        <f t="shared" si="19"/>
        <v>1</v>
      </c>
    </row>
    <row r="317" spans="1:8">
      <c r="A317" s="1">
        <v>330</v>
      </c>
      <c r="B317" s="8">
        <f>_xlfn.MAXIFS(Transactions[Transaction Date], Transactions[CustomerID],A317)</f>
        <v>43034</v>
      </c>
      <c r="C317" s="1">
        <f t="shared" si="16"/>
        <v>4</v>
      </c>
      <c r="D317" s="1">
        <f>COUNTIF(Transactions[CustomerID],"="&amp;A317)</f>
        <v>4</v>
      </c>
      <c r="E317" s="9">
        <f>IF(_xlfn.MAXIFS(Transactions[Transaction Amount], Transactions[CustomerID],A317)/'Customer Profiles'!$M$10&lt;=10,_xlfn.MAXIFS(Transactions[Transaction Amount], Transactions[CustomerID],A317)/'Customer Profiles'!$M$10,10)</f>
        <v>1.3177096606037932</v>
      </c>
      <c r="F317" s="1">
        <f t="shared" si="17"/>
        <v>4</v>
      </c>
      <c r="G317" s="1">
        <f t="shared" si="18"/>
        <v>0.8</v>
      </c>
      <c r="H317" s="1">
        <f t="shared" si="19"/>
        <v>1</v>
      </c>
    </row>
    <row r="318" spans="1:8">
      <c r="A318" s="1">
        <v>317</v>
      </c>
      <c r="B318" s="8">
        <f>_xlfn.MAXIFS(Transactions[Transaction Date], Transactions[CustomerID],A318)</f>
        <v>43337</v>
      </c>
      <c r="C318" s="1">
        <f t="shared" si="16"/>
        <v>6</v>
      </c>
      <c r="D318" s="1">
        <f>COUNTIF(Transactions[CustomerID],"="&amp;A318)</f>
        <v>1</v>
      </c>
      <c r="E318" s="9">
        <f>IF(_xlfn.MAXIFS(Transactions[Transaction Amount], Transactions[CustomerID],A318)/'Customer Profiles'!$M$10&lt;=10,_xlfn.MAXIFS(Transactions[Transaction Amount], Transactions[CustomerID],A318)/'Customer Profiles'!$M$10,10)</f>
        <v>0.57575129774167844</v>
      </c>
      <c r="F318" s="1">
        <f t="shared" si="17"/>
        <v>6</v>
      </c>
      <c r="G318" s="1">
        <f t="shared" si="18"/>
        <v>0.2</v>
      </c>
      <c r="H318" s="1">
        <f t="shared" si="19"/>
        <v>1</v>
      </c>
    </row>
    <row r="319" spans="1:8">
      <c r="A319" s="1">
        <v>239</v>
      </c>
      <c r="B319" s="8">
        <f>_xlfn.MAXIFS(Transactions[Transaction Date], Transactions[CustomerID],A319)</f>
        <v>43388</v>
      </c>
      <c r="C319" s="1">
        <f t="shared" si="16"/>
        <v>4</v>
      </c>
      <c r="D319" s="1">
        <f>COUNTIF(Transactions[CustomerID],"="&amp;A319)</f>
        <v>1</v>
      </c>
      <c r="E319" s="9">
        <f>IF(_xlfn.MAXIFS(Transactions[Transaction Amount], Transactions[CustomerID],A319)/'Customer Profiles'!$M$10&lt;=10,_xlfn.MAXIFS(Transactions[Transaction Amount], Transactions[CustomerID],A319)/'Customer Profiles'!$M$10,10)</f>
        <v>2.2630388540942121</v>
      </c>
      <c r="F319" s="1">
        <f t="shared" si="17"/>
        <v>4</v>
      </c>
      <c r="G319" s="1">
        <f t="shared" si="18"/>
        <v>0.2</v>
      </c>
      <c r="H319" s="1">
        <f t="shared" si="19"/>
        <v>1</v>
      </c>
    </row>
    <row r="320" spans="1:8">
      <c r="A320" s="1">
        <v>500</v>
      </c>
      <c r="B320" s="8">
        <f>_xlfn.MAXIFS(Transactions[Transaction Date], Transactions[CustomerID],A320)</f>
        <v>43372</v>
      </c>
      <c r="C320" s="1">
        <f t="shared" si="16"/>
        <v>5</v>
      </c>
      <c r="D320" s="1">
        <f>COUNTIF(Transactions[CustomerID],"="&amp;A320)</f>
        <v>1</v>
      </c>
      <c r="E320" s="9">
        <f>IF(_xlfn.MAXIFS(Transactions[Transaction Amount], Transactions[CustomerID],A320)/'Customer Profiles'!$M$10&lt;=10,_xlfn.MAXIFS(Transactions[Transaction Amount], Transactions[CustomerID],A320)/'Customer Profiles'!$M$10,10)</f>
        <v>6.5766275057082588E-2</v>
      </c>
      <c r="F320" s="1">
        <f t="shared" si="17"/>
        <v>5</v>
      </c>
      <c r="G320" s="1">
        <f t="shared" si="18"/>
        <v>0.2</v>
      </c>
      <c r="H320" s="1">
        <f t="shared" si="19"/>
        <v>1</v>
      </c>
    </row>
    <row r="321" spans="1:8">
      <c r="A321" s="1">
        <v>271</v>
      </c>
      <c r="B321" s="8">
        <f>_xlfn.MAXIFS(Transactions[Transaction Date], Transactions[CustomerID],A321)</f>
        <v>42991</v>
      </c>
      <c r="C321" s="1">
        <f t="shared" si="16"/>
        <v>5</v>
      </c>
      <c r="D321" s="1">
        <f>COUNTIF(Transactions[CustomerID],"="&amp;A321)</f>
        <v>1</v>
      </c>
      <c r="E321" s="9">
        <f>IF(_xlfn.MAXIFS(Transactions[Transaction Amount], Transactions[CustomerID],A321)/'Customer Profiles'!$M$10&lt;=10,_xlfn.MAXIFS(Transactions[Transaction Amount], Transactions[CustomerID],A321)/'Customer Profiles'!$M$10,10)</f>
        <v>6.7154517658237836E-2</v>
      </c>
      <c r="F321" s="1">
        <f t="shared" si="17"/>
        <v>5</v>
      </c>
      <c r="G321" s="1">
        <f t="shared" si="18"/>
        <v>0.2</v>
      </c>
      <c r="H321" s="1">
        <f t="shared" si="19"/>
        <v>1</v>
      </c>
    </row>
    <row r="322" spans="1:8">
      <c r="A322" s="1">
        <v>301</v>
      </c>
      <c r="B322" s="8">
        <f>_xlfn.MAXIFS(Transactions[Transaction Date], Transactions[CustomerID],A322)</f>
        <v>42874</v>
      </c>
      <c r="C322" s="1">
        <f t="shared" si="16"/>
        <v>9</v>
      </c>
      <c r="D322" s="1">
        <f>COUNTIF(Transactions[CustomerID],"="&amp;A322)</f>
        <v>1</v>
      </c>
      <c r="E322" s="9">
        <f>IF(_xlfn.MAXIFS(Transactions[Transaction Amount], Transactions[CustomerID],A322)/'Customer Profiles'!$M$10&lt;=10,_xlfn.MAXIFS(Transactions[Transaction Amount], Transactions[CustomerID],A322)/'Customer Profiles'!$M$10,10)</f>
        <v>1.9378102000116781</v>
      </c>
      <c r="F322" s="1">
        <f t="shared" si="17"/>
        <v>9</v>
      </c>
      <c r="G322" s="1">
        <f t="shared" si="18"/>
        <v>0.2</v>
      </c>
      <c r="H322" s="1">
        <f t="shared" si="19"/>
        <v>1</v>
      </c>
    </row>
    <row r="323" spans="1:8">
      <c r="A323" s="1">
        <v>142</v>
      </c>
      <c r="B323" s="8">
        <f>_xlfn.MAXIFS(Transactions[Transaction Date], Transactions[CustomerID],A323)</f>
        <v>42950</v>
      </c>
      <c r="C323" s="1">
        <f t="shared" si="16"/>
        <v>6</v>
      </c>
      <c r="D323" s="1">
        <f>COUNTIF(Transactions[CustomerID],"="&amp;A323)</f>
        <v>1</v>
      </c>
      <c r="E323" s="9">
        <f>IF(_xlfn.MAXIFS(Transactions[Transaction Amount], Transactions[CustomerID],A323)/'Customer Profiles'!$M$10&lt;=10,_xlfn.MAXIFS(Transactions[Transaction Amount], Transactions[CustomerID],A323)/'Customer Profiles'!$M$10,10)</f>
        <v>3.1099483155017431</v>
      </c>
      <c r="F323" s="1">
        <f t="shared" si="17"/>
        <v>6</v>
      </c>
      <c r="G323" s="1">
        <f t="shared" si="18"/>
        <v>0.2</v>
      </c>
      <c r="H323" s="1">
        <f t="shared" si="19"/>
        <v>1</v>
      </c>
    </row>
    <row r="324" spans="1:8">
      <c r="A324" s="1">
        <v>411</v>
      </c>
      <c r="B324" s="8">
        <f>_xlfn.MAXIFS(Transactions[Transaction Date], Transactions[CustomerID],A324)</f>
        <v>42793</v>
      </c>
      <c r="C324" s="1">
        <f t="shared" si="16"/>
        <v>1</v>
      </c>
      <c r="D324" s="1">
        <f>COUNTIF(Transactions[CustomerID],"="&amp;A324)</f>
        <v>1</v>
      </c>
      <c r="E324" s="9">
        <f>IF(_xlfn.MAXIFS(Transactions[Transaction Amount], Transactions[CustomerID],A324)/'Customer Profiles'!$M$10&lt;=10,_xlfn.MAXIFS(Transactions[Transaction Amount], Transactions[CustomerID],A324)/'Customer Profiles'!$M$10,10)</f>
        <v>0.15594202637820856</v>
      </c>
      <c r="F324" s="1">
        <f t="shared" si="17"/>
        <v>1</v>
      </c>
      <c r="G324" s="1">
        <f t="shared" si="18"/>
        <v>0.2</v>
      </c>
      <c r="H324" s="1">
        <f t="shared" si="19"/>
        <v>1</v>
      </c>
    </row>
    <row r="325" spans="1:8">
      <c r="A325" s="1">
        <v>53</v>
      </c>
      <c r="B325" s="8">
        <f>_xlfn.MAXIFS(Transactions[Transaction Date], Transactions[CustomerID],A325)</f>
        <v>43118</v>
      </c>
      <c r="C325" s="1">
        <f t="shared" si="16"/>
        <v>1</v>
      </c>
      <c r="D325" s="1">
        <f>COUNTIF(Transactions[CustomerID],"="&amp;A325)</f>
        <v>2</v>
      </c>
      <c r="E325" s="9">
        <f>IF(_xlfn.MAXIFS(Transactions[Transaction Amount], Transactions[CustomerID],A325)/'Customer Profiles'!$M$10&lt;=10,_xlfn.MAXIFS(Transactions[Transaction Amount], Transactions[CustomerID],A325)/'Customer Profiles'!$M$10,10)</f>
        <v>0.98081299339468875</v>
      </c>
      <c r="F325" s="1">
        <f t="shared" si="17"/>
        <v>1</v>
      </c>
      <c r="G325" s="1">
        <f t="shared" si="18"/>
        <v>0.4</v>
      </c>
      <c r="H325" s="1">
        <f t="shared" si="19"/>
        <v>1</v>
      </c>
    </row>
    <row r="326" spans="1:8">
      <c r="A326" s="1">
        <v>129</v>
      </c>
      <c r="B326" s="8">
        <f>_xlfn.MAXIFS(Transactions[Transaction Date], Transactions[CustomerID],A326)</f>
        <v>43225</v>
      </c>
      <c r="C326" s="1">
        <f t="shared" ref="C326:C389" si="20">(MAX(DATEDIF(B326,"03/01/2019","ym"),1))</f>
        <v>9</v>
      </c>
      <c r="D326" s="1">
        <f>COUNTIF(Transactions[CustomerID],"="&amp;A326)</f>
        <v>2</v>
      </c>
      <c r="E326" s="9">
        <f>IF(_xlfn.MAXIFS(Transactions[Transaction Amount], Transactions[CustomerID],A326)/'Customer Profiles'!$M$10&lt;=10,_xlfn.MAXIFS(Transactions[Transaction Amount], Transactions[CustomerID],A326)/'Customer Profiles'!$M$10,10)</f>
        <v>0.39735085015837723</v>
      </c>
      <c r="F326" s="1">
        <f t="shared" ref="F326:F389" si="21">IF(ROUND(C326,2)&lt;=10,ROUND(C326,2),10)</f>
        <v>9</v>
      </c>
      <c r="G326" s="1">
        <f t="shared" ref="G326:G389" si="22">IF(ROUND(D326/$M$6,2)&lt;=10,ROUND(D326/$M$6,2),10)</f>
        <v>0.4</v>
      </c>
      <c r="H326" s="1">
        <f t="shared" ref="H326:H389" si="23">IF(ROUND(E326*$K$8+F326*$K$6+G326*$K$7,2)&lt;1,1,ROUND(E326*$K$8+F326*$K$6+G326*$K$7,2))</f>
        <v>1</v>
      </c>
    </row>
    <row r="327" spans="1:8">
      <c r="A327" s="1">
        <v>291</v>
      </c>
      <c r="B327" s="8">
        <f>_xlfn.MAXIFS(Transactions[Transaction Date], Transactions[CustomerID],A327)</f>
        <v>43269</v>
      </c>
      <c r="C327" s="1">
        <f t="shared" si="20"/>
        <v>8</v>
      </c>
      <c r="D327" s="1">
        <f>COUNTIF(Transactions[CustomerID],"="&amp;A327)</f>
        <v>1</v>
      </c>
      <c r="E327" s="9">
        <f>IF(_xlfn.MAXIFS(Transactions[Transaction Amount], Transactions[CustomerID],A327)/'Customer Profiles'!$M$10&lt;=10,_xlfn.MAXIFS(Transactions[Transaction Amount], Transactions[CustomerID],A327)/'Customer Profiles'!$M$10,10)</f>
        <v>0.72535701895922045</v>
      </c>
      <c r="F327" s="1">
        <f t="shared" si="21"/>
        <v>8</v>
      </c>
      <c r="G327" s="1">
        <f t="shared" si="22"/>
        <v>0.2</v>
      </c>
      <c r="H327" s="1">
        <f t="shared" si="23"/>
        <v>1</v>
      </c>
    </row>
    <row r="328" spans="1:8">
      <c r="A328" s="1">
        <v>191</v>
      </c>
      <c r="B328" s="8">
        <f>_xlfn.MAXIFS(Transactions[Transaction Date], Transactions[CustomerID],A328)</f>
        <v>43251</v>
      </c>
      <c r="C328" s="1">
        <f t="shared" si="20"/>
        <v>9</v>
      </c>
      <c r="D328" s="1">
        <f>COUNTIF(Transactions[CustomerID],"="&amp;A328)</f>
        <v>1</v>
      </c>
      <c r="E328" s="9">
        <f>IF(_xlfn.MAXIFS(Transactions[Transaction Amount], Transactions[CustomerID],A328)/'Customer Profiles'!$M$10&lt;=10,_xlfn.MAXIFS(Transactions[Transaction Amount], Transactions[CustomerID],A328)/'Customer Profiles'!$M$10,10)</f>
        <v>0.14808516886121201</v>
      </c>
      <c r="F328" s="1">
        <f t="shared" si="21"/>
        <v>9</v>
      </c>
      <c r="G328" s="1">
        <f t="shared" si="22"/>
        <v>0.2</v>
      </c>
      <c r="H328" s="1">
        <f t="shared" si="23"/>
        <v>1</v>
      </c>
    </row>
    <row r="329" spans="1:8">
      <c r="A329" s="1">
        <v>288</v>
      </c>
      <c r="B329" s="8">
        <f>_xlfn.MAXIFS(Transactions[Transaction Date], Transactions[CustomerID],A329)</f>
        <v>43235</v>
      </c>
      <c r="C329" s="1">
        <f t="shared" si="20"/>
        <v>9</v>
      </c>
      <c r="D329" s="1">
        <f>COUNTIF(Transactions[CustomerID],"="&amp;A329)</f>
        <v>1</v>
      </c>
      <c r="E329" s="9">
        <f>IF(_xlfn.MAXIFS(Transactions[Transaction Amount], Transactions[CustomerID],A329)/'Customer Profiles'!$M$10&lt;=10,_xlfn.MAXIFS(Transactions[Transaction Amount], Transactions[CustomerID],A329)/'Customer Profiles'!$M$10,10)</f>
        <v>0.2807336128662295</v>
      </c>
      <c r="F329" s="1">
        <f t="shared" si="21"/>
        <v>9</v>
      </c>
      <c r="G329" s="1">
        <f t="shared" si="22"/>
        <v>0.2</v>
      </c>
      <c r="H329" s="1">
        <f t="shared" si="23"/>
        <v>1</v>
      </c>
    </row>
    <row r="330" spans="1:8">
      <c r="A330" s="1">
        <v>522</v>
      </c>
      <c r="B330" s="8">
        <f>_xlfn.MAXIFS(Transactions[Transaction Date], Transactions[CustomerID],A330)</f>
        <v>43164</v>
      </c>
      <c r="C330" s="1">
        <f t="shared" si="20"/>
        <v>11</v>
      </c>
      <c r="D330" s="1">
        <f>COUNTIF(Transactions[CustomerID],"="&amp;A330)</f>
        <v>3</v>
      </c>
      <c r="E330" s="9">
        <f>IF(_xlfn.MAXIFS(Transactions[Transaction Amount], Transactions[CustomerID],A330)/'Customer Profiles'!$M$10&lt;=10,_xlfn.MAXIFS(Transactions[Transaction Amount], Transactions[CustomerID],A330)/'Customer Profiles'!$M$10,10)</f>
        <v>2.1218445236584835</v>
      </c>
      <c r="F330" s="1">
        <f t="shared" si="21"/>
        <v>10</v>
      </c>
      <c r="G330" s="1">
        <f t="shared" si="22"/>
        <v>0.6</v>
      </c>
      <c r="H330" s="1">
        <f t="shared" si="23"/>
        <v>1</v>
      </c>
    </row>
    <row r="331" spans="1:8">
      <c r="A331" s="1">
        <v>537</v>
      </c>
      <c r="B331" s="8">
        <f>_xlfn.MAXIFS(Transactions[Transaction Date], Transactions[CustomerID],A331)</f>
        <v>43443</v>
      </c>
      <c r="C331" s="1">
        <f t="shared" si="20"/>
        <v>2</v>
      </c>
      <c r="D331" s="1">
        <f>COUNTIF(Transactions[CustomerID],"="&amp;A331)</f>
        <v>2</v>
      </c>
      <c r="E331" s="9">
        <f>IF(_xlfn.MAXIFS(Transactions[Transaction Amount], Transactions[CustomerID],A331)/'Customer Profiles'!$M$10&lt;=10,_xlfn.MAXIFS(Transactions[Transaction Amount], Transactions[CustomerID],A331)/'Customer Profiles'!$M$10,10)</f>
        <v>0.37335013273391743</v>
      </c>
      <c r="F331" s="1">
        <f t="shared" si="21"/>
        <v>2</v>
      </c>
      <c r="G331" s="1">
        <f t="shared" si="22"/>
        <v>0.4</v>
      </c>
      <c r="H331" s="1">
        <f t="shared" si="23"/>
        <v>1</v>
      </c>
    </row>
    <row r="332" spans="1:8">
      <c r="A332" s="1">
        <v>7</v>
      </c>
      <c r="B332" s="8">
        <f>_xlfn.MAXIFS(Transactions[Transaction Date], Transactions[CustomerID],A332)</f>
        <v>42997</v>
      </c>
      <c r="C332" s="1">
        <f t="shared" si="20"/>
        <v>5</v>
      </c>
      <c r="D332" s="1">
        <f>COUNTIF(Transactions[CustomerID],"="&amp;A332)</f>
        <v>2</v>
      </c>
      <c r="E332" s="9">
        <f>IF(_xlfn.MAXIFS(Transactions[Transaction Amount], Transactions[CustomerID],A332)/'Customer Profiles'!$M$10&lt;=10,_xlfn.MAXIFS(Transactions[Transaction Amount], Transactions[CustomerID],A332)/'Customer Profiles'!$M$10,10)</f>
        <v>0.2830506319327058</v>
      </c>
      <c r="F332" s="1">
        <f t="shared" si="21"/>
        <v>5</v>
      </c>
      <c r="G332" s="1">
        <f t="shared" si="22"/>
        <v>0.4</v>
      </c>
      <c r="H332" s="1">
        <f t="shared" si="23"/>
        <v>1</v>
      </c>
    </row>
    <row r="333" spans="1:8">
      <c r="A333" s="1">
        <v>331</v>
      </c>
      <c r="B333" s="8">
        <f>_xlfn.MAXIFS(Transactions[Transaction Date], Transactions[CustomerID],A333)</f>
        <v>43127</v>
      </c>
      <c r="C333" s="1">
        <f t="shared" si="20"/>
        <v>1</v>
      </c>
      <c r="D333" s="1">
        <f>COUNTIF(Transactions[CustomerID],"="&amp;A333)</f>
        <v>1</v>
      </c>
      <c r="E333" s="9">
        <f>IF(_xlfn.MAXIFS(Transactions[Transaction Amount], Transactions[CustomerID],A333)/'Customer Profiles'!$M$10&lt;=10,_xlfn.MAXIFS(Transactions[Transaction Amount], Transactions[CustomerID],A333)/'Customer Profiles'!$M$10,10)</f>
        <v>1.558693622966415</v>
      </c>
      <c r="F333" s="1">
        <f t="shared" si="21"/>
        <v>1</v>
      </c>
      <c r="G333" s="1">
        <f t="shared" si="22"/>
        <v>0.2</v>
      </c>
      <c r="H333" s="1">
        <f t="shared" si="23"/>
        <v>1</v>
      </c>
    </row>
    <row r="334" spans="1:8">
      <c r="A334" s="1">
        <v>118</v>
      </c>
      <c r="B334" s="8">
        <f>_xlfn.MAXIFS(Transactions[Transaction Date], Transactions[CustomerID],A334)</f>
        <v>42812</v>
      </c>
      <c r="C334" s="1">
        <f t="shared" si="20"/>
        <v>11</v>
      </c>
      <c r="D334" s="1">
        <f>COUNTIF(Transactions[CustomerID],"="&amp;A334)</f>
        <v>1</v>
      </c>
      <c r="E334" s="9">
        <f>IF(_xlfn.MAXIFS(Transactions[Transaction Amount], Transactions[CustomerID],A334)/'Customer Profiles'!$M$10&lt;=10,_xlfn.MAXIFS(Transactions[Transaction Amount], Transactions[CustomerID],A334)/'Customer Profiles'!$M$10,10)</f>
        <v>1.160979015296659</v>
      </c>
      <c r="F334" s="1">
        <f t="shared" si="21"/>
        <v>10</v>
      </c>
      <c r="G334" s="1">
        <f t="shared" si="22"/>
        <v>0.2</v>
      </c>
      <c r="H334" s="1">
        <f t="shared" si="23"/>
        <v>1</v>
      </c>
    </row>
    <row r="335" spans="1:8">
      <c r="A335" s="1">
        <v>28</v>
      </c>
      <c r="B335" s="8">
        <f>_xlfn.MAXIFS(Transactions[Transaction Date], Transactions[CustomerID],A335)</f>
        <v>42952</v>
      </c>
      <c r="C335" s="1">
        <f t="shared" si="20"/>
        <v>6</v>
      </c>
      <c r="D335" s="1">
        <f>COUNTIF(Transactions[CustomerID],"="&amp;A335)</f>
        <v>2</v>
      </c>
      <c r="E335" s="9">
        <f>IF(_xlfn.MAXIFS(Transactions[Transaction Amount], Transactions[CustomerID],A335)/'Customer Profiles'!$M$10&lt;=10,_xlfn.MAXIFS(Transactions[Transaction Amount], Transactions[CustomerID],A335)/'Customer Profiles'!$M$10,10)</f>
        <v>1.408208380004659</v>
      </c>
      <c r="F335" s="1">
        <f t="shared" si="21"/>
        <v>6</v>
      </c>
      <c r="G335" s="1">
        <f t="shared" si="22"/>
        <v>0.4</v>
      </c>
      <c r="H335" s="1">
        <f t="shared" si="23"/>
        <v>1</v>
      </c>
    </row>
    <row r="336" spans="1:8">
      <c r="A336" s="1">
        <v>13</v>
      </c>
      <c r="B336" s="8">
        <f>_xlfn.MAXIFS(Transactions[Transaction Date], Transactions[CustomerID],A336)</f>
        <v>43494</v>
      </c>
      <c r="C336" s="1">
        <f t="shared" si="20"/>
        <v>1</v>
      </c>
      <c r="D336" s="1">
        <f>COUNTIF(Transactions[CustomerID],"="&amp;A336)</f>
        <v>5</v>
      </c>
      <c r="E336" s="9">
        <f>IF(_xlfn.MAXIFS(Transactions[Transaction Amount], Transactions[CustomerID],A336)/'Customer Profiles'!$M$10&lt;=10,_xlfn.MAXIFS(Transactions[Transaction Amount], Transactions[CustomerID],A336)/'Customer Profiles'!$M$10,10)</f>
        <v>3.8100241270719573</v>
      </c>
      <c r="F336" s="1">
        <f t="shared" si="21"/>
        <v>1</v>
      </c>
      <c r="G336" s="1">
        <f t="shared" si="22"/>
        <v>1</v>
      </c>
      <c r="H336" s="1">
        <f t="shared" si="23"/>
        <v>1.26</v>
      </c>
    </row>
    <row r="337" spans="1:8">
      <c r="A337" s="1">
        <v>113</v>
      </c>
      <c r="B337" s="8">
        <f>_xlfn.MAXIFS(Transactions[Transaction Date], Transactions[CustomerID],A337)</f>
        <v>43088</v>
      </c>
      <c r="C337" s="1">
        <f t="shared" si="20"/>
        <v>2</v>
      </c>
      <c r="D337" s="1">
        <f>COUNTIF(Transactions[CustomerID],"="&amp;A337)</f>
        <v>1</v>
      </c>
      <c r="E337" s="9">
        <f>IF(_xlfn.MAXIFS(Transactions[Transaction Amount], Transactions[CustomerID],A337)/'Customer Profiles'!$M$10&lt;=10,_xlfn.MAXIFS(Transactions[Transaction Amount], Transactions[CustomerID],A337)/'Customer Profiles'!$M$10,10)</f>
        <v>0.74378206378565648</v>
      </c>
      <c r="F337" s="1">
        <f t="shared" si="21"/>
        <v>2</v>
      </c>
      <c r="G337" s="1">
        <f t="shared" si="22"/>
        <v>0.2</v>
      </c>
      <c r="H337" s="1">
        <f t="shared" si="23"/>
        <v>1</v>
      </c>
    </row>
    <row r="338" spans="1:8">
      <c r="A338" s="1">
        <v>232</v>
      </c>
      <c r="B338" s="8">
        <f>_xlfn.MAXIFS(Transactions[Transaction Date], Transactions[CustomerID],A338)</f>
        <v>43178</v>
      </c>
      <c r="C338" s="1">
        <f t="shared" si="20"/>
        <v>11</v>
      </c>
      <c r="D338" s="1">
        <f>COUNTIF(Transactions[CustomerID],"="&amp;A338)</f>
        <v>2</v>
      </c>
      <c r="E338" s="9">
        <f>IF(_xlfn.MAXIFS(Transactions[Transaction Amount], Transactions[CustomerID],A338)/'Customer Profiles'!$M$10&lt;=10,_xlfn.MAXIFS(Transactions[Transaction Amount], Transactions[CustomerID],A338)/'Customer Profiles'!$M$10,10)</f>
        <v>0.11498343591830355</v>
      </c>
      <c r="F338" s="1">
        <f t="shared" si="21"/>
        <v>10</v>
      </c>
      <c r="G338" s="1">
        <f t="shared" si="22"/>
        <v>0.4</v>
      </c>
      <c r="H338" s="1">
        <f t="shared" si="23"/>
        <v>1</v>
      </c>
    </row>
    <row r="339" spans="1:8">
      <c r="A339" s="1">
        <v>434</v>
      </c>
      <c r="B339" s="8">
        <f>_xlfn.MAXIFS(Transactions[Transaction Date], Transactions[CustomerID],A339)</f>
        <v>43282</v>
      </c>
      <c r="C339" s="1">
        <f t="shared" si="20"/>
        <v>8</v>
      </c>
      <c r="D339" s="1">
        <f>COUNTIF(Transactions[CustomerID],"="&amp;A339)</f>
        <v>1</v>
      </c>
      <c r="E339" s="9">
        <f>IF(_xlfn.MAXIFS(Transactions[Transaction Amount], Transactions[CustomerID],A339)/'Customer Profiles'!$M$10&lt;=10,_xlfn.MAXIFS(Transactions[Transaction Amount], Transactions[CustomerID],A339)/'Customer Profiles'!$M$10,10)</f>
        <v>3.1276082768300775</v>
      </c>
      <c r="F339" s="1">
        <f t="shared" si="21"/>
        <v>8</v>
      </c>
      <c r="G339" s="1">
        <f t="shared" si="22"/>
        <v>0.2</v>
      </c>
      <c r="H339" s="1">
        <f t="shared" si="23"/>
        <v>1</v>
      </c>
    </row>
    <row r="340" spans="1:8">
      <c r="A340" s="1">
        <v>305</v>
      </c>
      <c r="B340" s="8">
        <f>_xlfn.MAXIFS(Transactions[Transaction Date], Transactions[CustomerID],A340)</f>
        <v>43214</v>
      </c>
      <c r="C340" s="1">
        <f t="shared" si="20"/>
        <v>10</v>
      </c>
      <c r="D340" s="1">
        <f>COUNTIF(Transactions[CustomerID],"="&amp;A340)</f>
        <v>1</v>
      </c>
      <c r="E340" s="9">
        <f>IF(_xlfn.MAXIFS(Transactions[Transaction Amount], Transactions[CustomerID],A340)/'Customer Profiles'!$M$10&lt;=10,_xlfn.MAXIFS(Transactions[Transaction Amount], Transactions[CustomerID],A340)/'Customer Profiles'!$M$10,10)</f>
        <v>5.8706737153618814E-2</v>
      </c>
      <c r="F340" s="1">
        <f t="shared" si="21"/>
        <v>10</v>
      </c>
      <c r="G340" s="1">
        <f t="shared" si="22"/>
        <v>0.2</v>
      </c>
      <c r="H340" s="1">
        <f t="shared" si="23"/>
        <v>1</v>
      </c>
    </row>
    <row r="341" spans="1:8">
      <c r="A341" s="1">
        <v>402</v>
      </c>
      <c r="B341" s="8">
        <f>_xlfn.MAXIFS(Transactions[Transaction Date], Transactions[CustomerID],A341)</f>
        <v>42827</v>
      </c>
      <c r="C341" s="1">
        <f t="shared" si="20"/>
        <v>10</v>
      </c>
      <c r="D341" s="1">
        <f>COUNTIF(Transactions[CustomerID],"="&amp;A341)</f>
        <v>1</v>
      </c>
      <c r="E341" s="9">
        <f>IF(_xlfn.MAXIFS(Transactions[Transaction Amount], Transactions[CustomerID],A341)/'Customer Profiles'!$M$10&lt;=10,_xlfn.MAXIFS(Transactions[Transaction Amount], Transactions[CustomerID],A341)/'Customer Profiles'!$M$10,10)</f>
        <v>9.054278702931895E-2</v>
      </c>
      <c r="F341" s="1">
        <f t="shared" si="21"/>
        <v>10</v>
      </c>
      <c r="G341" s="1">
        <f t="shared" si="22"/>
        <v>0.2</v>
      </c>
      <c r="H341" s="1">
        <f t="shared" si="23"/>
        <v>1</v>
      </c>
    </row>
    <row r="342" spans="1:8">
      <c r="A342" s="1">
        <v>439</v>
      </c>
      <c r="B342" s="8">
        <f>_xlfn.MAXIFS(Transactions[Transaction Date], Transactions[CustomerID],A342)</f>
        <v>43212</v>
      </c>
      <c r="C342" s="1">
        <f t="shared" si="20"/>
        <v>10</v>
      </c>
      <c r="D342" s="1">
        <f>COUNTIF(Transactions[CustomerID],"="&amp;A342)</f>
        <v>1</v>
      </c>
      <c r="E342" s="9">
        <f>IF(_xlfn.MAXIFS(Transactions[Transaction Amount], Transactions[CustomerID],A342)/'Customer Profiles'!$M$10&lt;=10,_xlfn.MAXIFS(Transactions[Transaction Amount], Transactions[CustomerID],A342)/'Customer Profiles'!$M$10,10)</f>
        <v>1.0527656464101467</v>
      </c>
      <c r="F342" s="1">
        <f t="shared" si="21"/>
        <v>10</v>
      </c>
      <c r="G342" s="1">
        <f t="shared" si="22"/>
        <v>0.2</v>
      </c>
      <c r="H342" s="1">
        <f t="shared" si="23"/>
        <v>1</v>
      </c>
    </row>
    <row r="343" spans="1:8">
      <c r="A343" s="1">
        <v>110</v>
      </c>
      <c r="B343" s="8">
        <f>_xlfn.MAXIFS(Transactions[Transaction Date], Transactions[CustomerID],A343)</f>
        <v>43121</v>
      </c>
      <c r="C343" s="1">
        <f t="shared" si="20"/>
        <v>1</v>
      </c>
      <c r="D343" s="1">
        <f>COUNTIF(Transactions[CustomerID],"="&amp;A343)</f>
        <v>1</v>
      </c>
      <c r="E343" s="9">
        <f>IF(_xlfn.MAXIFS(Transactions[Transaction Amount], Transactions[CustomerID],A343)/'Customer Profiles'!$M$10&lt;=10,_xlfn.MAXIFS(Transactions[Transaction Amount], Transactions[CustomerID],A343)/'Customer Profiles'!$M$10,10)</f>
        <v>0.76125284971728113</v>
      </c>
      <c r="F343" s="1">
        <f t="shared" si="21"/>
        <v>1</v>
      </c>
      <c r="G343" s="1">
        <f t="shared" si="22"/>
        <v>0.2</v>
      </c>
      <c r="H343" s="1">
        <f t="shared" si="23"/>
        <v>1</v>
      </c>
    </row>
    <row r="344" spans="1:8">
      <c r="A344" s="1">
        <v>171</v>
      </c>
      <c r="B344" s="8">
        <f>_xlfn.MAXIFS(Transactions[Transaction Date], Transactions[CustomerID],A344)</f>
        <v>43359</v>
      </c>
      <c r="C344" s="1">
        <f t="shared" si="20"/>
        <v>5</v>
      </c>
      <c r="D344" s="1">
        <f>COUNTIF(Transactions[CustomerID],"="&amp;A344)</f>
        <v>1</v>
      </c>
      <c r="E344" s="9">
        <f>IF(_xlfn.MAXIFS(Transactions[Transaction Amount], Transactions[CustomerID],A344)/'Customer Profiles'!$M$10&lt;=10,_xlfn.MAXIFS(Transactions[Transaction Amount], Transactions[CustomerID],A344)/'Customer Profiles'!$M$10,10)</f>
        <v>2.6304271445590919</v>
      </c>
      <c r="F344" s="1">
        <f t="shared" si="21"/>
        <v>5</v>
      </c>
      <c r="G344" s="1">
        <f t="shared" si="22"/>
        <v>0.2</v>
      </c>
      <c r="H344" s="1">
        <f t="shared" si="23"/>
        <v>1</v>
      </c>
    </row>
    <row r="345" spans="1:8">
      <c r="A345" s="1">
        <v>194</v>
      </c>
      <c r="B345" s="8">
        <f>_xlfn.MAXIFS(Transactions[Transaction Date], Transactions[CustomerID],A345)</f>
        <v>43001</v>
      </c>
      <c r="C345" s="1">
        <f t="shared" si="20"/>
        <v>5</v>
      </c>
      <c r="D345" s="1">
        <f>COUNTIF(Transactions[CustomerID],"="&amp;A345)</f>
        <v>1</v>
      </c>
      <c r="E345" s="9">
        <f>IF(_xlfn.MAXIFS(Transactions[Transaction Amount], Transactions[CustomerID],A345)/'Customer Profiles'!$M$10&lt;=10,_xlfn.MAXIFS(Transactions[Transaction Amount], Transactions[CustomerID],A345)/'Customer Profiles'!$M$10,10)</f>
        <v>4.924471401322541</v>
      </c>
      <c r="F345" s="1">
        <f t="shared" si="21"/>
        <v>5</v>
      </c>
      <c r="G345" s="1">
        <f t="shared" si="22"/>
        <v>0.2</v>
      </c>
      <c r="H345" s="1">
        <f t="shared" si="23"/>
        <v>1</v>
      </c>
    </row>
    <row r="346" spans="1:8">
      <c r="A346" s="1">
        <v>5</v>
      </c>
      <c r="B346" s="8">
        <f>_xlfn.MAXIFS(Transactions[Transaction Date], Transactions[CustomerID],A346)</f>
        <v>42916</v>
      </c>
      <c r="C346" s="1">
        <f t="shared" si="20"/>
        <v>8</v>
      </c>
      <c r="D346" s="1">
        <f>COUNTIF(Transactions[CustomerID],"="&amp;A346)</f>
        <v>1</v>
      </c>
      <c r="E346" s="9">
        <f>IF(_xlfn.MAXIFS(Transactions[Transaction Amount], Transactions[CustomerID],A346)/'Customer Profiles'!$M$10&lt;=10,_xlfn.MAXIFS(Transactions[Transaction Amount], Transactions[CustomerID],A346)/'Customer Profiles'!$M$10,10)</f>
        <v>1.5555473603627983</v>
      </c>
      <c r="F346" s="1">
        <f t="shared" si="21"/>
        <v>8</v>
      </c>
      <c r="G346" s="1">
        <f t="shared" si="22"/>
        <v>0.2</v>
      </c>
      <c r="H346" s="1">
        <f t="shared" si="23"/>
        <v>1</v>
      </c>
    </row>
    <row r="347" spans="1:8">
      <c r="A347" s="1">
        <v>224</v>
      </c>
      <c r="B347" s="8">
        <f>_xlfn.MAXIFS(Transactions[Transaction Date], Transactions[CustomerID],A347)</f>
        <v>42806</v>
      </c>
      <c r="C347" s="1">
        <f t="shared" si="20"/>
        <v>11</v>
      </c>
      <c r="D347" s="1">
        <f>COUNTIF(Transactions[CustomerID],"="&amp;A347)</f>
        <v>1</v>
      </c>
      <c r="E347" s="9">
        <f>IF(_xlfn.MAXIFS(Transactions[Transaction Amount], Transactions[CustomerID],A347)/'Customer Profiles'!$M$10&lt;=10,_xlfn.MAXIFS(Transactions[Transaction Amount], Transactions[CustomerID],A347)/'Customer Profiles'!$M$10,10)</f>
        <v>0.97889735020501334</v>
      </c>
      <c r="F347" s="1">
        <f t="shared" si="21"/>
        <v>10</v>
      </c>
      <c r="G347" s="1">
        <f t="shared" si="22"/>
        <v>0.2</v>
      </c>
      <c r="H347" s="1">
        <f t="shared" si="23"/>
        <v>1</v>
      </c>
    </row>
    <row r="348" spans="1:8">
      <c r="A348" s="1">
        <v>338</v>
      </c>
      <c r="B348" s="8">
        <f>_xlfn.MAXIFS(Transactions[Transaction Date], Transactions[CustomerID],A348)</f>
        <v>42968</v>
      </c>
      <c r="C348" s="1">
        <f t="shared" si="20"/>
        <v>6</v>
      </c>
      <c r="D348" s="1">
        <f>COUNTIF(Transactions[CustomerID],"="&amp;A348)</f>
        <v>1</v>
      </c>
      <c r="E348" s="9">
        <f>IF(_xlfn.MAXIFS(Transactions[Transaction Amount], Transactions[CustomerID],A348)/'Customer Profiles'!$M$10&lt;=10,_xlfn.MAXIFS(Transactions[Transaction Amount], Transactions[CustomerID],A348)/'Customer Profiles'!$M$10,10)</f>
        <v>0.19016785474658154</v>
      </c>
      <c r="F348" s="1">
        <f t="shared" si="21"/>
        <v>6</v>
      </c>
      <c r="G348" s="1">
        <f t="shared" si="22"/>
        <v>0.2</v>
      </c>
      <c r="H348" s="1">
        <f t="shared" si="23"/>
        <v>1</v>
      </c>
    </row>
    <row r="349" spans="1:8">
      <c r="A349" s="1">
        <v>346</v>
      </c>
      <c r="B349" s="8">
        <f>_xlfn.MAXIFS(Transactions[Transaction Date], Transactions[CustomerID],A349)</f>
        <v>43346</v>
      </c>
      <c r="C349" s="1">
        <f t="shared" si="20"/>
        <v>5</v>
      </c>
      <c r="D349" s="1">
        <f>COUNTIF(Transactions[CustomerID],"="&amp;A349)</f>
        <v>2</v>
      </c>
      <c r="E349" s="9">
        <f>IF(_xlfn.MAXIFS(Transactions[Transaction Amount], Transactions[CustomerID],A349)/'Customer Profiles'!$M$10&lt;=10,_xlfn.MAXIFS(Transactions[Transaction Amount], Transactions[CustomerID],A349)/'Customer Profiles'!$M$10,10)</f>
        <v>2.6763448289622334</v>
      </c>
      <c r="F349" s="1">
        <f t="shared" si="21"/>
        <v>5</v>
      </c>
      <c r="G349" s="1">
        <f t="shared" si="22"/>
        <v>0.4</v>
      </c>
      <c r="H349" s="1">
        <f t="shared" si="23"/>
        <v>1</v>
      </c>
    </row>
    <row r="350" spans="1:8">
      <c r="A350" s="1">
        <v>241</v>
      </c>
      <c r="B350" s="8">
        <f>_xlfn.MAXIFS(Transactions[Transaction Date], Transactions[CustomerID],A350)</f>
        <v>43021</v>
      </c>
      <c r="C350" s="1">
        <f t="shared" si="20"/>
        <v>4</v>
      </c>
      <c r="D350" s="1">
        <f>COUNTIF(Transactions[CustomerID],"="&amp;A350)</f>
        <v>1</v>
      </c>
      <c r="E350" s="9">
        <f>IF(_xlfn.MAXIFS(Transactions[Transaction Amount], Transactions[CustomerID],A350)/'Customer Profiles'!$M$10&lt;=10,_xlfn.MAXIFS(Transactions[Transaction Amount], Transactions[CustomerID],A350)/'Customer Profiles'!$M$10,10)</f>
        <v>0.54444204565450793</v>
      </c>
      <c r="F350" s="1">
        <f t="shared" si="21"/>
        <v>4</v>
      </c>
      <c r="G350" s="1">
        <f t="shared" si="22"/>
        <v>0.2</v>
      </c>
      <c r="H350" s="1">
        <f t="shared" si="23"/>
        <v>1</v>
      </c>
    </row>
    <row r="351" spans="1:8">
      <c r="A351" s="1">
        <v>252</v>
      </c>
      <c r="B351" s="8">
        <f>_xlfn.MAXIFS(Transactions[Transaction Date], Transactions[CustomerID],A351)</f>
        <v>43352</v>
      </c>
      <c r="C351" s="1">
        <f t="shared" si="20"/>
        <v>5</v>
      </c>
      <c r="D351" s="1">
        <f>COUNTIF(Transactions[CustomerID],"="&amp;A351)</f>
        <v>4</v>
      </c>
      <c r="E351" s="9">
        <f>IF(_xlfn.MAXIFS(Transactions[Transaction Amount], Transactions[CustomerID],A351)/'Customer Profiles'!$M$10&lt;=10,_xlfn.MAXIFS(Transactions[Transaction Amount], Transactions[CustomerID],A351)/'Customer Profiles'!$M$10,10)</f>
        <v>1.3554435912295699</v>
      </c>
      <c r="F351" s="1">
        <f t="shared" si="21"/>
        <v>5</v>
      </c>
      <c r="G351" s="1">
        <f t="shared" si="22"/>
        <v>0.8</v>
      </c>
      <c r="H351" s="1">
        <f t="shared" si="23"/>
        <v>1</v>
      </c>
    </row>
    <row r="352" spans="1:8">
      <c r="A352" s="1">
        <v>472</v>
      </c>
      <c r="B352" s="8">
        <f>_xlfn.MAXIFS(Transactions[Transaction Date], Transactions[CustomerID],A352)</f>
        <v>43101</v>
      </c>
      <c r="C352" s="1">
        <f t="shared" si="20"/>
        <v>2</v>
      </c>
      <c r="D352" s="1">
        <f>COUNTIF(Transactions[CustomerID],"="&amp;A352)</f>
        <v>1</v>
      </c>
      <c r="E352" s="9">
        <f>IF(_xlfn.MAXIFS(Transactions[Transaction Amount], Transactions[CustomerID],A352)/'Customer Profiles'!$M$10&lt;=10,_xlfn.MAXIFS(Transactions[Transaction Amount], Transactions[CustomerID],A352)/'Customer Profiles'!$M$10,10)</f>
        <v>0.751974902149672</v>
      </c>
      <c r="F352" s="1">
        <f t="shared" si="21"/>
        <v>2</v>
      </c>
      <c r="G352" s="1">
        <f t="shared" si="22"/>
        <v>0.2</v>
      </c>
      <c r="H352" s="1">
        <f t="shared" si="23"/>
        <v>1</v>
      </c>
    </row>
    <row r="353" spans="1:8">
      <c r="A353" s="1">
        <v>144</v>
      </c>
      <c r="B353" s="8">
        <f>_xlfn.MAXIFS(Transactions[Transaction Date], Transactions[CustomerID],A353)</f>
        <v>43278</v>
      </c>
      <c r="C353" s="1">
        <f t="shared" si="20"/>
        <v>8</v>
      </c>
      <c r="D353" s="1">
        <f>COUNTIF(Transactions[CustomerID],"="&amp;A353)</f>
        <v>2</v>
      </c>
      <c r="E353" s="9">
        <f>IF(_xlfn.MAXIFS(Transactions[Transaction Amount], Transactions[CustomerID],A353)/'Customer Profiles'!$M$10&lt;=10,_xlfn.MAXIFS(Transactions[Transaction Amount], Transactions[CustomerID],A353)/'Customer Profiles'!$M$10,10)</f>
        <v>8.7413388716260088E-2</v>
      </c>
      <c r="F353" s="1">
        <f t="shared" si="21"/>
        <v>8</v>
      </c>
      <c r="G353" s="1">
        <f t="shared" si="22"/>
        <v>0.4</v>
      </c>
      <c r="H353" s="1">
        <f t="shared" si="23"/>
        <v>1</v>
      </c>
    </row>
    <row r="354" spans="1:8">
      <c r="A354" s="1">
        <v>275</v>
      </c>
      <c r="B354" s="8">
        <f>_xlfn.MAXIFS(Transactions[Transaction Date], Transactions[CustomerID],A354)</f>
        <v>43493</v>
      </c>
      <c r="C354" s="1">
        <f t="shared" si="20"/>
        <v>1</v>
      </c>
      <c r="D354" s="1">
        <f>COUNTIF(Transactions[CustomerID],"="&amp;A354)</f>
        <v>2</v>
      </c>
      <c r="E354" s="9">
        <f>IF(_xlfn.MAXIFS(Transactions[Transaction Amount], Transactions[CustomerID],A354)/'Customer Profiles'!$M$10&lt;=10,_xlfn.MAXIFS(Transactions[Transaction Amount], Transactions[CustomerID],A354)/'Customer Profiles'!$M$10,10)</f>
        <v>3.1604961696771614</v>
      </c>
      <c r="F354" s="1">
        <f t="shared" si="21"/>
        <v>1</v>
      </c>
      <c r="G354" s="1">
        <f t="shared" si="22"/>
        <v>0.4</v>
      </c>
      <c r="H354" s="1">
        <f t="shared" si="23"/>
        <v>1</v>
      </c>
    </row>
    <row r="355" spans="1:8">
      <c r="A355" s="1">
        <v>49</v>
      </c>
      <c r="B355" s="8">
        <f>_xlfn.MAXIFS(Transactions[Transaction Date], Transactions[CustomerID],A355)</f>
        <v>43081</v>
      </c>
      <c r="C355" s="1">
        <f t="shared" si="20"/>
        <v>2</v>
      </c>
      <c r="D355" s="1">
        <f>COUNTIF(Transactions[CustomerID],"="&amp;A355)</f>
        <v>1</v>
      </c>
      <c r="E355" s="9">
        <f>IF(_xlfn.MAXIFS(Transactions[Transaction Amount], Transactions[CustomerID],A355)/'Customer Profiles'!$M$10&lt;=10,_xlfn.MAXIFS(Transactions[Transaction Amount], Transactions[CustomerID],A355)/'Customer Profiles'!$M$10,10)</f>
        <v>1.2091761932299525</v>
      </c>
      <c r="F355" s="1">
        <f t="shared" si="21"/>
        <v>2</v>
      </c>
      <c r="G355" s="1">
        <f t="shared" si="22"/>
        <v>0.2</v>
      </c>
      <c r="H355" s="1">
        <f t="shared" si="23"/>
        <v>1</v>
      </c>
    </row>
    <row r="356" spans="1:8">
      <c r="A356" s="1">
        <v>456</v>
      </c>
      <c r="B356" s="8">
        <f>_xlfn.MAXIFS(Transactions[Transaction Date], Transactions[CustomerID],A356)</f>
        <v>43238</v>
      </c>
      <c r="C356" s="1">
        <f t="shared" si="20"/>
        <v>9</v>
      </c>
      <c r="D356" s="1">
        <f>COUNTIF(Transactions[CustomerID],"="&amp;A356)</f>
        <v>1</v>
      </c>
      <c r="E356" s="9">
        <f>IF(_xlfn.MAXIFS(Transactions[Transaction Amount], Transactions[CustomerID],A356)/'Customer Profiles'!$M$10&lt;=10,_xlfn.MAXIFS(Transactions[Transaction Amount], Transactions[CustomerID],A356)/'Customer Profiles'!$M$10,10)</f>
        <v>0.95676805617382032</v>
      </c>
      <c r="F356" s="1">
        <f t="shared" si="21"/>
        <v>9</v>
      </c>
      <c r="G356" s="1">
        <f t="shared" si="22"/>
        <v>0.2</v>
      </c>
      <c r="H356" s="1">
        <f t="shared" si="23"/>
        <v>1</v>
      </c>
    </row>
    <row r="357" spans="1:8">
      <c r="A357" s="1">
        <v>82</v>
      </c>
      <c r="B357" s="8">
        <f>_xlfn.MAXIFS(Transactions[Transaction Date], Transactions[CustomerID],A357)</f>
        <v>43447</v>
      </c>
      <c r="C357" s="1">
        <f t="shared" si="20"/>
        <v>2</v>
      </c>
      <c r="D357" s="1">
        <f>COUNTIF(Transactions[CustomerID],"="&amp;A357)</f>
        <v>1</v>
      </c>
      <c r="E357" s="9">
        <f>IF(_xlfn.MAXIFS(Transactions[Transaction Amount], Transactions[CustomerID],A357)/'Customer Profiles'!$M$10&lt;=10,_xlfn.MAXIFS(Transactions[Transaction Amount], Transactions[CustomerID],A357)/'Customer Profiles'!$M$10,10)</f>
        <v>1.8609692988913082</v>
      </c>
      <c r="F357" s="1">
        <f t="shared" si="21"/>
        <v>2</v>
      </c>
      <c r="G357" s="1">
        <f t="shared" si="22"/>
        <v>0.2</v>
      </c>
      <c r="H357" s="1">
        <f t="shared" si="23"/>
        <v>1</v>
      </c>
    </row>
    <row r="358" spans="1:8">
      <c r="A358" s="1">
        <v>423</v>
      </c>
      <c r="B358" s="8">
        <f>_xlfn.MAXIFS(Transactions[Transaction Date], Transactions[CustomerID],A358)</f>
        <v>43305</v>
      </c>
      <c r="C358" s="1">
        <f t="shared" si="20"/>
        <v>7</v>
      </c>
      <c r="D358" s="1">
        <f>COUNTIF(Transactions[CustomerID],"="&amp;A358)</f>
        <v>1</v>
      </c>
      <c r="E358" s="9">
        <f>IF(_xlfn.MAXIFS(Transactions[Transaction Amount], Transactions[CustomerID],A358)/'Customer Profiles'!$M$10&lt;=10,_xlfn.MAXIFS(Transactions[Transaction Amount], Transactions[CustomerID],A358)/'Customer Profiles'!$M$10,10)</f>
        <v>0.77243452374573152</v>
      </c>
      <c r="F358" s="1">
        <f t="shared" si="21"/>
        <v>7</v>
      </c>
      <c r="G358" s="1">
        <f t="shared" si="22"/>
        <v>0.2</v>
      </c>
      <c r="H358" s="1">
        <f t="shared" si="23"/>
        <v>1</v>
      </c>
    </row>
    <row r="359" spans="1:8">
      <c r="A359" s="1">
        <v>70</v>
      </c>
      <c r="B359" s="8">
        <f>_xlfn.MAXIFS(Transactions[Transaction Date], Transactions[CustomerID],A359)</f>
        <v>43349</v>
      </c>
      <c r="C359" s="1">
        <f t="shared" si="20"/>
        <v>5</v>
      </c>
      <c r="D359" s="1">
        <f>COUNTIF(Transactions[CustomerID],"="&amp;A359)</f>
        <v>1</v>
      </c>
      <c r="E359" s="9">
        <f>IF(_xlfn.MAXIFS(Transactions[Transaction Amount], Transactions[CustomerID],A359)/'Customer Profiles'!$M$10&lt;=10,_xlfn.MAXIFS(Transactions[Transaction Amount], Transactions[CustomerID],A359)/'Customer Profiles'!$M$10,10)</f>
        <v>0.19859056426170185</v>
      </c>
      <c r="F359" s="1">
        <f t="shared" si="21"/>
        <v>5</v>
      </c>
      <c r="G359" s="1">
        <f t="shared" si="22"/>
        <v>0.2</v>
      </c>
      <c r="H359" s="1">
        <f t="shared" si="23"/>
        <v>1</v>
      </c>
    </row>
    <row r="360" spans="1:8">
      <c r="A360" s="1">
        <v>195</v>
      </c>
      <c r="B360" s="8">
        <f>_xlfn.MAXIFS(Transactions[Transaction Date], Transactions[CustomerID],A360)</f>
        <v>43315</v>
      </c>
      <c r="C360" s="1">
        <f t="shared" si="20"/>
        <v>6</v>
      </c>
      <c r="D360" s="1">
        <f>COUNTIF(Transactions[CustomerID],"="&amp;A360)</f>
        <v>4</v>
      </c>
      <c r="E360" s="9">
        <f>IF(_xlfn.MAXIFS(Transactions[Transaction Amount], Transactions[CustomerID],A360)/'Customer Profiles'!$M$10&lt;=10,_xlfn.MAXIFS(Transactions[Transaction Amount], Transactions[CustomerID],A360)/'Customer Profiles'!$M$10,10)</f>
        <v>1.0907725351428608</v>
      </c>
      <c r="F360" s="1">
        <f t="shared" si="21"/>
        <v>6</v>
      </c>
      <c r="G360" s="1">
        <f t="shared" si="22"/>
        <v>0.8</v>
      </c>
      <c r="H360" s="1">
        <f t="shared" si="23"/>
        <v>1</v>
      </c>
    </row>
    <row r="361" spans="1:8">
      <c r="A361" s="1">
        <v>270</v>
      </c>
      <c r="B361" s="8">
        <f>_xlfn.MAXIFS(Transactions[Transaction Date], Transactions[CustomerID],A361)</f>
        <v>42892</v>
      </c>
      <c r="C361" s="1">
        <f t="shared" si="20"/>
        <v>8</v>
      </c>
      <c r="D361" s="1">
        <f>COUNTIF(Transactions[CustomerID],"="&amp;A361)</f>
        <v>1</v>
      </c>
      <c r="E361" s="9">
        <f>IF(_xlfn.MAXIFS(Transactions[Transaction Amount], Transactions[CustomerID],A361)/'Customer Profiles'!$M$10&lt;=10,_xlfn.MAXIFS(Transactions[Transaction Amount], Transactions[CustomerID],A361)/'Customer Profiles'!$M$10,10)</f>
        <v>5.8918278396049386</v>
      </c>
      <c r="F361" s="1">
        <f t="shared" si="21"/>
        <v>8</v>
      </c>
      <c r="G361" s="1">
        <f t="shared" si="22"/>
        <v>0.2</v>
      </c>
      <c r="H361" s="1">
        <f t="shared" si="23"/>
        <v>1</v>
      </c>
    </row>
    <row r="362" spans="1:8">
      <c r="A362" s="1">
        <v>128</v>
      </c>
      <c r="B362" s="8">
        <f>_xlfn.MAXIFS(Transactions[Transaction Date], Transactions[CustomerID],A362)</f>
        <v>43470</v>
      </c>
      <c r="C362" s="1">
        <f t="shared" si="20"/>
        <v>1</v>
      </c>
      <c r="D362" s="1">
        <f>COUNTIF(Transactions[CustomerID],"="&amp;A362)</f>
        <v>3</v>
      </c>
      <c r="E362" s="9">
        <f>IF(_xlfn.MAXIFS(Transactions[Transaction Amount], Transactions[CustomerID],A362)/'Customer Profiles'!$M$10&lt;=10,_xlfn.MAXIFS(Transactions[Transaction Amount], Transactions[CustomerID],A362)/'Customer Profiles'!$M$10,10)</f>
        <v>1.579016925369316</v>
      </c>
      <c r="F362" s="1">
        <f t="shared" si="21"/>
        <v>1</v>
      </c>
      <c r="G362" s="1">
        <f t="shared" si="22"/>
        <v>0.6</v>
      </c>
      <c r="H362" s="1">
        <f t="shared" si="23"/>
        <v>1</v>
      </c>
    </row>
    <row r="363" spans="1:8">
      <c r="A363" s="1">
        <v>106</v>
      </c>
      <c r="B363" s="8">
        <f>_xlfn.MAXIFS(Transactions[Transaction Date], Transactions[CustomerID],A363)</f>
        <v>43081</v>
      </c>
      <c r="C363" s="1">
        <f t="shared" si="20"/>
        <v>2</v>
      </c>
      <c r="D363" s="1">
        <f>COUNTIF(Transactions[CustomerID],"="&amp;A363)</f>
        <v>1</v>
      </c>
      <c r="E363" s="9">
        <f>IF(_xlfn.MAXIFS(Transactions[Transaction Amount], Transactions[CustomerID],A363)/'Customer Profiles'!$M$10&lt;=10,_xlfn.MAXIFS(Transactions[Transaction Amount], Transactions[CustomerID],A363)/'Customer Profiles'!$M$10,10)</f>
        <v>0.23852610104433888</v>
      </c>
      <c r="F363" s="1">
        <f t="shared" si="21"/>
        <v>2</v>
      </c>
      <c r="G363" s="1">
        <f t="shared" si="22"/>
        <v>0.2</v>
      </c>
      <c r="H363" s="1">
        <f t="shared" si="23"/>
        <v>1</v>
      </c>
    </row>
    <row r="364" spans="1:8">
      <c r="A364" s="1">
        <v>427</v>
      </c>
      <c r="B364" s="8">
        <f>_xlfn.MAXIFS(Transactions[Transaction Date], Transactions[CustomerID],A364)</f>
        <v>43478</v>
      </c>
      <c r="C364" s="1">
        <f t="shared" si="20"/>
        <v>1</v>
      </c>
      <c r="D364" s="1">
        <f>COUNTIF(Transactions[CustomerID],"="&amp;A364)</f>
        <v>6</v>
      </c>
      <c r="E364" s="9">
        <f>IF(_xlfn.MAXIFS(Transactions[Transaction Amount], Transactions[CustomerID],A364)/'Customer Profiles'!$M$10&lt;=10,_xlfn.MAXIFS(Transactions[Transaction Amount], Transactions[CustomerID],A364)/'Customer Profiles'!$M$10,10)</f>
        <v>1.9731396097237166</v>
      </c>
      <c r="F364" s="1">
        <f t="shared" si="21"/>
        <v>1</v>
      </c>
      <c r="G364" s="1">
        <f t="shared" si="22"/>
        <v>1.2</v>
      </c>
      <c r="H364" s="1">
        <f t="shared" si="23"/>
        <v>1</v>
      </c>
    </row>
    <row r="365" spans="1:8">
      <c r="A365" s="1">
        <v>552</v>
      </c>
      <c r="B365" s="8">
        <f>_xlfn.MAXIFS(Transactions[Transaction Date], Transactions[CustomerID],A365)</f>
        <v>43080</v>
      </c>
      <c r="C365" s="1">
        <f t="shared" si="20"/>
        <v>2</v>
      </c>
      <c r="D365" s="1">
        <f>COUNTIF(Transactions[CustomerID],"="&amp;A365)</f>
        <v>1</v>
      </c>
      <c r="E365" s="9">
        <f>IF(_xlfn.MAXIFS(Transactions[Transaction Amount], Transactions[CustomerID],A365)/'Customer Profiles'!$M$10&lt;=10,_xlfn.MAXIFS(Transactions[Transaction Amount], Transactions[CustomerID],A365)/'Customer Profiles'!$M$10,10)</f>
        <v>5.4729563539070183</v>
      </c>
      <c r="F365" s="1">
        <f t="shared" si="21"/>
        <v>2</v>
      </c>
      <c r="G365" s="1">
        <f t="shared" si="22"/>
        <v>0.2</v>
      </c>
      <c r="H365" s="1">
        <f t="shared" si="23"/>
        <v>1.21</v>
      </c>
    </row>
    <row r="366" spans="1:8">
      <c r="A366" s="1">
        <v>328</v>
      </c>
      <c r="B366" s="8">
        <f>_xlfn.MAXIFS(Transactions[Transaction Date], Transactions[CustomerID],A366)</f>
        <v>43205</v>
      </c>
      <c r="C366" s="1">
        <f t="shared" si="20"/>
        <v>10</v>
      </c>
      <c r="D366" s="1">
        <f>COUNTIF(Transactions[CustomerID],"="&amp;A366)</f>
        <v>1</v>
      </c>
      <c r="E366" s="9">
        <f>IF(_xlfn.MAXIFS(Transactions[Transaction Amount], Transactions[CustomerID],A366)/'Customer Profiles'!$M$10&lt;=10,_xlfn.MAXIFS(Transactions[Transaction Amount], Transactions[CustomerID],A366)/'Customer Profiles'!$M$10,10)</f>
        <v>1.7865785793809947</v>
      </c>
      <c r="F366" s="1">
        <f t="shared" si="21"/>
        <v>10</v>
      </c>
      <c r="G366" s="1">
        <f t="shared" si="22"/>
        <v>0.2</v>
      </c>
      <c r="H366" s="1">
        <f t="shared" si="23"/>
        <v>1</v>
      </c>
    </row>
    <row r="367" spans="1:8">
      <c r="A367" s="1">
        <v>560</v>
      </c>
      <c r="B367" s="8">
        <f>_xlfn.MAXIFS(Transactions[Transaction Date], Transactions[CustomerID],A367)</f>
        <v>43386</v>
      </c>
      <c r="C367" s="1">
        <f t="shared" si="20"/>
        <v>4</v>
      </c>
      <c r="D367" s="1">
        <f>COUNTIF(Transactions[CustomerID],"="&amp;A367)</f>
        <v>4</v>
      </c>
      <c r="E367" s="9">
        <f>IF(_xlfn.MAXIFS(Transactions[Transaction Amount], Transactions[CustomerID],A367)/'Customer Profiles'!$M$10&lt;=10,_xlfn.MAXIFS(Transactions[Transaction Amount], Transactions[CustomerID],A367)/'Customer Profiles'!$M$10,10)</f>
        <v>2.4466259235794148</v>
      </c>
      <c r="F367" s="1">
        <f t="shared" si="21"/>
        <v>4</v>
      </c>
      <c r="G367" s="1">
        <f t="shared" si="22"/>
        <v>0.8</v>
      </c>
      <c r="H367" s="1">
        <f t="shared" si="23"/>
        <v>1</v>
      </c>
    </row>
    <row r="368" spans="1:8">
      <c r="A368" s="1">
        <v>574</v>
      </c>
      <c r="B368" s="8">
        <f>_xlfn.MAXIFS(Transactions[Transaction Date], Transactions[CustomerID],A368)</f>
        <v>43232</v>
      </c>
      <c r="C368" s="1">
        <f t="shared" si="20"/>
        <v>9</v>
      </c>
      <c r="D368" s="1">
        <f>COUNTIF(Transactions[CustomerID],"="&amp;A368)</f>
        <v>1</v>
      </c>
      <c r="E368" s="9">
        <f>IF(_xlfn.MAXIFS(Transactions[Transaction Amount], Transactions[CustomerID],A368)/'Customer Profiles'!$M$10&lt;=10,_xlfn.MAXIFS(Transactions[Transaction Amount], Transactions[CustomerID],A368)/'Customer Profiles'!$M$10,10)</f>
        <v>0.77201658598058331</v>
      </c>
      <c r="F368" s="1">
        <f t="shared" si="21"/>
        <v>9</v>
      </c>
      <c r="G368" s="1">
        <f t="shared" si="22"/>
        <v>0.2</v>
      </c>
      <c r="H368" s="1">
        <f t="shared" si="23"/>
        <v>1</v>
      </c>
    </row>
    <row r="369" spans="1:8">
      <c r="A369" s="1">
        <v>280</v>
      </c>
      <c r="B369" s="8">
        <f>_xlfn.MAXIFS(Transactions[Transaction Date], Transactions[CustomerID],A369)</f>
        <v>42899</v>
      </c>
      <c r="C369" s="1">
        <f t="shared" si="20"/>
        <v>8</v>
      </c>
      <c r="D369" s="1">
        <f>COUNTIF(Transactions[CustomerID],"="&amp;A369)</f>
        <v>1</v>
      </c>
      <c r="E369" s="9">
        <f>IF(_xlfn.MAXIFS(Transactions[Transaction Amount], Transactions[CustomerID],A369)/'Customer Profiles'!$M$10&lt;=10,_xlfn.MAXIFS(Transactions[Transaction Amount], Transactions[CustomerID],A369)/'Customer Profiles'!$M$10,10)</f>
        <v>1.6937083195559286</v>
      </c>
      <c r="F369" s="1">
        <f t="shared" si="21"/>
        <v>8</v>
      </c>
      <c r="G369" s="1">
        <f t="shared" si="22"/>
        <v>0.2</v>
      </c>
      <c r="H369" s="1">
        <f t="shared" si="23"/>
        <v>1</v>
      </c>
    </row>
    <row r="370" spans="1:8">
      <c r="A370" s="1">
        <v>353</v>
      </c>
      <c r="B370" s="8">
        <f>_xlfn.MAXIFS(Transactions[Transaction Date], Transactions[CustomerID],A370)</f>
        <v>43338</v>
      </c>
      <c r="C370" s="1">
        <f t="shared" si="20"/>
        <v>6</v>
      </c>
      <c r="D370" s="1">
        <f>COUNTIF(Transactions[CustomerID],"="&amp;A370)</f>
        <v>3</v>
      </c>
      <c r="E370" s="9">
        <f>IF(_xlfn.MAXIFS(Transactions[Transaction Amount], Transactions[CustomerID],A370)/'Customer Profiles'!$M$10&lt;=10,_xlfn.MAXIFS(Transactions[Transaction Amount], Transactions[CustomerID],A370)/'Customer Profiles'!$M$10,10)</f>
        <v>0.66239386875380246</v>
      </c>
      <c r="F370" s="1">
        <f t="shared" si="21"/>
        <v>6</v>
      </c>
      <c r="G370" s="1">
        <f t="shared" si="22"/>
        <v>0.6</v>
      </c>
      <c r="H370" s="1">
        <f t="shared" si="23"/>
        <v>1</v>
      </c>
    </row>
    <row r="371" spans="1:8">
      <c r="A371" s="1">
        <v>349</v>
      </c>
      <c r="B371" s="8">
        <f>_xlfn.MAXIFS(Transactions[Transaction Date], Transactions[CustomerID],A371)</f>
        <v>43186</v>
      </c>
      <c r="C371" s="1">
        <f t="shared" si="20"/>
        <v>11</v>
      </c>
      <c r="D371" s="1">
        <f>COUNTIF(Transactions[CustomerID],"="&amp;A371)</f>
        <v>1</v>
      </c>
      <c r="E371" s="9">
        <f>IF(_xlfn.MAXIFS(Transactions[Transaction Amount], Transactions[CustomerID],A371)/'Customer Profiles'!$M$10&lt;=10,_xlfn.MAXIFS(Transactions[Transaction Amount], Transactions[CustomerID],A371)/'Customer Profiles'!$M$10,10)</f>
        <v>1.2737534902492194</v>
      </c>
      <c r="F371" s="1">
        <f t="shared" si="21"/>
        <v>10</v>
      </c>
      <c r="G371" s="1">
        <f t="shared" si="22"/>
        <v>0.2</v>
      </c>
      <c r="H371" s="1">
        <f t="shared" si="23"/>
        <v>1</v>
      </c>
    </row>
    <row r="372" spans="1:8">
      <c r="A372" s="1">
        <v>314</v>
      </c>
      <c r="B372" s="8">
        <f>_xlfn.MAXIFS(Transactions[Transaction Date], Transactions[CustomerID],A372)</f>
        <v>43360</v>
      </c>
      <c r="C372" s="1">
        <f t="shared" si="20"/>
        <v>5</v>
      </c>
      <c r="D372" s="1">
        <f>COUNTIF(Transactions[CustomerID],"="&amp;A372)</f>
        <v>1</v>
      </c>
      <c r="E372" s="9">
        <f>IF(_xlfn.MAXIFS(Transactions[Transaction Amount], Transactions[CustomerID],A372)/'Customer Profiles'!$M$10&lt;=10,_xlfn.MAXIFS(Transactions[Transaction Amount], Transactions[CustomerID],A372)/'Customer Profiles'!$M$10,10)</f>
        <v>1.1305588370297655</v>
      </c>
      <c r="F372" s="1">
        <f t="shared" si="21"/>
        <v>5</v>
      </c>
      <c r="G372" s="1">
        <f t="shared" si="22"/>
        <v>0.2</v>
      </c>
      <c r="H372" s="1">
        <f t="shared" si="23"/>
        <v>1</v>
      </c>
    </row>
    <row r="373" spans="1:8">
      <c r="A373" s="1">
        <v>101</v>
      </c>
      <c r="B373" s="8">
        <f>_xlfn.MAXIFS(Transactions[Transaction Date], Transactions[CustomerID],A373)</f>
        <v>43218</v>
      </c>
      <c r="C373" s="1">
        <f t="shared" si="20"/>
        <v>10</v>
      </c>
      <c r="D373" s="1">
        <f>COUNTIF(Transactions[CustomerID],"="&amp;A373)</f>
        <v>1</v>
      </c>
      <c r="E373" s="9">
        <f>IF(_xlfn.MAXIFS(Transactions[Transaction Amount], Transactions[CustomerID],A373)/'Customer Profiles'!$M$10&lt;=10,_xlfn.MAXIFS(Transactions[Transaction Amount], Transactions[CustomerID],A373)/'Customer Profiles'!$M$10,10)</f>
        <v>0.15967465365615349</v>
      </c>
      <c r="F373" s="1">
        <f t="shared" si="21"/>
        <v>10</v>
      </c>
      <c r="G373" s="1">
        <f t="shared" si="22"/>
        <v>0.2</v>
      </c>
      <c r="H373" s="1">
        <f t="shared" si="23"/>
        <v>1</v>
      </c>
    </row>
    <row r="374" spans="1:8">
      <c r="A374" s="1">
        <v>255</v>
      </c>
      <c r="B374" s="8">
        <f>_xlfn.MAXIFS(Transactions[Transaction Date], Transactions[CustomerID],A374)</f>
        <v>43395</v>
      </c>
      <c r="C374" s="1">
        <f t="shared" si="20"/>
        <v>4</v>
      </c>
      <c r="D374" s="1">
        <f>COUNTIF(Transactions[CustomerID],"="&amp;A374)</f>
        <v>1</v>
      </c>
      <c r="E374" s="9">
        <f>IF(_xlfn.MAXIFS(Transactions[Transaction Amount], Transactions[CustomerID],A374)/'Customer Profiles'!$M$10&lt;=10,_xlfn.MAXIFS(Transactions[Transaction Amount], Transactions[CustomerID],A374)/'Customer Profiles'!$M$10,10)</f>
        <v>2.9499398818961873</v>
      </c>
      <c r="F374" s="1">
        <f t="shared" si="21"/>
        <v>4</v>
      </c>
      <c r="G374" s="1">
        <f t="shared" si="22"/>
        <v>0.2</v>
      </c>
      <c r="H374" s="1">
        <f t="shared" si="23"/>
        <v>1</v>
      </c>
    </row>
    <row r="375" spans="1:8">
      <c r="A375" s="1">
        <v>553</v>
      </c>
      <c r="B375" s="8">
        <f>_xlfn.MAXIFS(Transactions[Transaction Date], Transactions[CustomerID],A375)</f>
        <v>43410</v>
      </c>
      <c r="C375" s="1">
        <f t="shared" si="20"/>
        <v>3</v>
      </c>
      <c r="D375" s="1">
        <f>COUNTIF(Transactions[CustomerID],"="&amp;A375)</f>
        <v>5</v>
      </c>
      <c r="E375" s="9">
        <f>IF(_xlfn.MAXIFS(Transactions[Transaction Amount], Transactions[CustomerID],A375)/'Customer Profiles'!$M$10&lt;=10,_xlfn.MAXIFS(Transactions[Transaction Amount], Transactions[CustomerID],A375)/'Customer Profiles'!$M$10,10)</f>
        <v>1.0790047631528195</v>
      </c>
      <c r="F375" s="1">
        <f t="shared" si="21"/>
        <v>3</v>
      </c>
      <c r="G375" s="1">
        <f t="shared" si="22"/>
        <v>1</v>
      </c>
      <c r="H375" s="1">
        <f t="shared" si="23"/>
        <v>1</v>
      </c>
    </row>
    <row r="376" spans="1:8">
      <c r="A376" s="1">
        <v>56</v>
      </c>
      <c r="B376" s="8">
        <f>_xlfn.MAXIFS(Transactions[Transaction Date], Transactions[CustomerID],A376)</f>
        <v>43170</v>
      </c>
      <c r="C376" s="1">
        <f t="shared" si="20"/>
        <v>11</v>
      </c>
      <c r="D376" s="1">
        <f>COUNTIF(Transactions[CustomerID],"="&amp;A376)</f>
        <v>1</v>
      </c>
      <c r="E376" s="9">
        <f>IF(_xlfn.MAXIFS(Transactions[Transaction Amount], Transactions[CustomerID],A376)/'Customer Profiles'!$M$10&lt;=10,_xlfn.MAXIFS(Transactions[Transaction Amount], Transactions[CustomerID],A376)/'Customer Profiles'!$M$10,10)</f>
        <v>0.32857690820653918</v>
      </c>
      <c r="F376" s="1">
        <f t="shared" si="21"/>
        <v>10</v>
      </c>
      <c r="G376" s="1">
        <f t="shared" si="22"/>
        <v>0.2</v>
      </c>
      <c r="H376" s="1">
        <f t="shared" si="23"/>
        <v>1</v>
      </c>
    </row>
    <row r="377" spans="1:8">
      <c r="A377" s="1">
        <v>357</v>
      </c>
      <c r="B377" s="8">
        <f>_xlfn.MAXIFS(Transactions[Transaction Date], Transactions[CustomerID],A377)</f>
        <v>43334</v>
      </c>
      <c r="C377" s="1">
        <f t="shared" si="20"/>
        <v>6</v>
      </c>
      <c r="D377" s="1">
        <f>COUNTIF(Transactions[CustomerID],"="&amp;A377)</f>
        <v>2</v>
      </c>
      <c r="E377" s="9">
        <f>IF(_xlfn.MAXIFS(Transactions[Transaction Amount], Transactions[CustomerID],A377)/'Customer Profiles'!$M$10&lt;=10,_xlfn.MAXIFS(Transactions[Transaction Amount], Transactions[CustomerID],A377)/'Customer Profiles'!$M$10,10)</f>
        <v>1.3812099118404855</v>
      </c>
      <c r="F377" s="1">
        <f t="shared" si="21"/>
        <v>6</v>
      </c>
      <c r="G377" s="1">
        <f t="shared" si="22"/>
        <v>0.4</v>
      </c>
      <c r="H377" s="1">
        <f t="shared" si="23"/>
        <v>1</v>
      </c>
    </row>
    <row r="378" spans="1:8">
      <c r="A378" s="1">
        <v>141</v>
      </c>
      <c r="B378" s="8">
        <f>_xlfn.MAXIFS(Transactions[Transaction Date], Transactions[CustomerID],A378)</f>
        <v>43385</v>
      </c>
      <c r="C378" s="1">
        <f t="shared" si="20"/>
        <v>4</v>
      </c>
      <c r="D378" s="1">
        <f>COUNTIF(Transactions[CustomerID],"="&amp;A378)</f>
        <v>8</v>
      </c>
      <c r="E378" s="9">
        <f>IF(_xlfn.MAXIFS(Transactions[Transaction Amount], Transactions[CustomerID],A378)/'Customer Profiles'!$M$10&lt;=10,_xlfn.MAXIFS(Transactions[Transaction Amount], Transactions[CustomerID],A378)/'Customer Profiles'!$M$10,10)</f>
        <v>0.83541387963442248</v>
      </c>
      <c r="F378" s="1">
        <f t="shared" si="21"/>
        <v>4</v>
      </c>
      <c r="G378" s="1">
        <f t="shared" si="22"/>
        <v>1.6</v>
      </c>
      <c r="H378" s="1">
        <f t="shared" si="23"/>
        <v>1</v>
      </c>
    </row>
    <row r="379" spans="1:8">
      <c r="A379" s="1">
        <v>547</v>
      </c>
      <c r="B379" s="8">
        <f>_xlfn.MAXIFS(Transactions[Transaction Date], Transactions[CustomerID],A379)</f>
        <v>42828</v>
      </c>
      <c r="C379" s="1">
        <f t="shared" si="20"/>
        <v>10</v>
      </c>
      <c r="D379" s="1">
        <f>COUNTIF(Transactions[CustomerID],"="&amp;A379)</f>
        <v>1</v>
      </c>
      <c r="E379" s="9">
        <f>IF(_xlfn.MAXIFS(Transactions[Transaction Amount], Transactions[CustomerID],A379)/'Customer Profiles'!$M$10&lt;=10,_xlfn.MAXIFS(Transactions[Transaction Amount], Transactions[CustomerID],A379)/'Customer Profiles'!$M$10,10)</f>
        <v>5.1122913847437633E-2</v>
      </c>
      <c r="F379" s="1">
        <f t="shared" si="21"/>
        <v>10</v>
      </c>
      <c r="G379" s="1">
        <f t="shared" si="22"/>
        <v>0.2</v>
      </c>
      <c r="H379" s="1">
        <f t="shared" si="23"/>
        <v>1</v>
      </c>
    </row>
    <row r="380" spans="1:8">
      <c r="A380" s="1">
        <v>94</v>
      </c>
      <c r="B380" s="8">
        <f>_xlfn.MAXIFS(Transactions[Transaction Date], Transactions[CustomerID],A380)</f>
        <v>43409</v>
      </c>
      <c r="C380" s="1">
        <f t="shared" si="20"/>
        <v>3</v>
      </c>
      <c r="D380" s="1">
        <f>COUNTIF(Transactions[CustomerID],"="&amp;A380)</f>
        <v>1</v>
      </c>
      <c r="E380" s="9">
        <f>IF(_xlfn.MAXIFS(Transactions[Transaction Amount], Transactions[CustomerID],A380)/'Customer Profiles'!$M$10&lt;=10,_xlfn.MAXIFS(Transactions[Transaction Amount], Transactions[CustomerID],A380)/'Customer Profiles'!$M$10,10)</f>
        <v>0.18348966771240124</v>
      </c>
      <c r="F380" s="1">
        <f t="shared" si="21"/>
        <v>3</v>
      </c>
      <c r="G380" s="1">
        <f t="shared" si="22"/>
        <v>0.2</v>
      </c>
      <c r="H380" s="1">
        <f t="shared" si="23"/>
        <v>1</v>
      </c>
    </row>
    <row r="381" spans="1:8">
      <c r="A381" s="1">
        <v>377</v>
      </c>
      <c r="B381" s="8">
        <f>_xlfn.MAXIFS(Transactions[Transaction Date], Transactions[CustomerID],A381)</f>
        <v>43148</v>
      </c>
      <c r="C381" s="1">
        <f t="shared" si="20"/>
        <v>1</v>
      </c>
      <c r="D381" s="1">
        <f>COUNTIF(Transactions[CustomerID],"="&amp;A381)</f>
        <v>3</v>
      </c>
      <c r="E381" s="9">
        <f>IF(_xlfn.MAXIFS(Transactions[Transaction Amount], Transactions[CustomerID],A381)/'Customer Profiles'!$M$10&lt;=10,_xlfn.MAXIFS(Transactions[Transaction Amount], Transactions[CustomerID],A381)/'Customer Profiles'!$M$10,10)</f>
        <v>1.2432378402632178</v>
      </c>
      <c r="F381" s="1">
        <f t="shared" si="21"/>
        <v>1</v>
      </c>
      <c r="G381" s="1">
        <f t="shared" si="22"/>
        <v>0.6</v>
      </c>
      <c r="H381" s="1">
        <f t="shared" si="23"/>
        <v>1</v>
      </c>
    </row>
    <row r="382" spans="1:8">
      <c r="A382" s="1">
        <v>595</v>
      </c>
      <c r="B382" s="8">
        <f>_xlfn.MAXIFS(Transactions[Transaction Date], Transactions[CustomerID],A382)</f>
        <v>42994</v>
      </c>
      <c r="C382" s="1">
        <f t="shared" si="20"/>
        <v>5</v>
      </c>
      <c r="D382" s="1">
        <f>COUNTIF(Transactions[CustomerID],"="&amp;A382)</f>
        <v>1</v>
      </c>
      <c r="E382" s="9">
        <f>IF(_xlfn.MAXIFS(Transactions[Transaction Amount], Transactions[CustomerID],A382)/'Customer Profiles'!$M$10&lt;=10,_xlfn.MAXIFS(Transactions[Transaction Amount], Transactions[CustomerID],A382)/'Customer Profiles'!$M$10,10)</f>
        <v>0.28800703322945181</v>
      </c>
      <c r="F382" s="1">
        <f t="shared" si="21"/>
        <v>5</v>
      </c>
      <c r="G382" s="1">
        <f t="shared" si="22"/>
        <v>0.2</v>
      </c>
      <c r="H382" s="1">
        <f t="shared" si="23"/>
        <v>1</v>
      </c>
    </row>
    <row r="383" spans="1:8">
      <c r="A383" s="1">
        <v>87</v>
      </c>
      <c r="B383" s="8">
        <f>_xlfn.MAXIFS(Transactions[Transaction Date], Transactions[CustomerID],A383)</f>
        <v>43333</v>
      </c>
      <c r="C383" s="1">
        <f t="shared" si="20"/>
        <v>6</v>
      </c>
      <c r="D383" s="1">
        <f>COUNTIF(Transactions[CustomerID],"="&amp;A383)</f>
        <v>1</v>
      </c>
      <c r="E383" s="9">
        <f>IF(_xlfn.MAXIFS(Transactions[Transaction Amount], Transactions[CustomerID],A383)/'Customer Profiles'!$M$10&lt;=10,_xlfn.MAXIFS(Transactions[Transaction Amount], Transactions[CustomerID],A383)/'Customer Profiles'!$M$10,10)</f>
        <v>0.66739188203255262</v>
      </c>
      <c r="F383" s="1">
        <f t="shared" si="21"/>
        <v>6</v>
      </c>
      <c r="G383" s="1">
        <f t="shared" si="22"/>
        <v>0.2</v>
      </c>
      <c r="H383" s="1">
        <f t="shared" si="23"/>
        <v>1</v>
      </c>
    </row>
    <row r="384" spans="1:8">
      <c r="A384" s="1">
        <v>16</v>
      </c>
      <c r="B384" s="8">
        <f>_xlfn.MAXIFS(Transactions[Transaction Date], Transactions[CustomerID],A384)</f>
        <v>43486</v>
      </c>
      <c r="C384" s="1">
        <f t="shared" si="20"/>
        <v>1</v>
      </c>
      <c r="D384" s="1">
        <f>COUNTIF(Transactions[CustomerID],"="&amp;A384)</f>
        <v>4</v>
      </c>
      <c r="E384" s="9">
        <f>IF(_xlfn.MAXIFS(Transactions[Transaction Amount], Transactions[CustomerID],A384)/'Customer Profiles'!$M$10&lt;=10,_xlfn.MAXIFS(Transactions[Transaction Amount], Transactions[CustomerID],A384)/'Customer Profiles'!$M$10,10)</f>
        <v>3.2905520464806126</v>
      </c>
      <c r="F384" s="1">
        <f t="shared" si="21"/>
        <v>1</v>
      </c>
      <c r="G384" s="1">
        <f t="shared" si="22"/>
        <v>0.8</v>
      </c>
      <c r="H384" s="1">
        <f t="shared" si="23"/>
        <v>1.02</v>
      </c>
    </row>
    <row r="385" spans="1:8">
      <c r="A385" s="1">
        <v>315</v>
      </c>
      <c r="B385" s="8">
        <f>_xlfn.MAXIFS(Transactions[Transaction Date], Transactions[CustomerID],A385)</f>
        <v>43004</v>
      </c>
      <c r="C385" s="1">
        <f t="shared" si="20"/>
        <v>5</v>
      </c>
      <c r="D385" s="1">
        <f>COUNTIF(Transactions[CustomerID],"="&amp;A385)</f>
        <v>2</v>
      </c>
      <c r="E385" s="9">
        <f>IF(_xlfn.MAXIFS(Transactions[Transaction Amount], Transactions[CustomerID],A385)/'Customer Profiles'!$M$10&lt;=10,_xlfn.MAXIFS(Transactions[Transaction Amount], Transactions[CustomerID],A385)/'Customer Profiles'!$M$10,10)</f>
        <v>0.31414898053360973</v>
      </c>
      <c r="F385" s="1">
        <f t="shared" si="21"/>
        <v>5</v>
      </c>
      <c r="G385" s="1">
        <f t="shared" si="22"/>
        <v>0.4</v>
      </c>
      <c r="H385" s="1">
        <f t="shared" si="23"/>
        <v>1</v>
      </c>
    </row>
    <row r="386" spans="1:8">
      <c r="A386" s="1">
        <v>441</v>
      </c>
      <c r="B386" s="8">
        <f>_xlfn.MAXIFS(Transactions[Transaction Date], Transactions[CustomerID],A386)</f>
        <v>42810</v>
      </c>
      <c r="C386" s="1">
        <f t="shared" si="20"/>
        <v>11</v>
      </c>
      <c r="D386" s="1">
        <f>COUNTIF(Transactions[CustomerID],"="&amp;A386)</f>
        <v>1</v>
      </c>
      <c r="E386" s="9">
        <f>IF(_xlfn.MAXIFS(Transactions[Transaction Amount], Transactions[CustomerID],A386)/'Customer Profiles'!$M$10&lt;=10,_xlfn.MAXIFS(Transactions[Transaction Amount], Transactions[CustomerID],A386)/'Customer Profiles'!$M$10,10)</f>
        <v>3.3347473201513966</v>
      </c>
      <c r="F386" s="1">
        <f t="shared" si="21"/>
        <v>10</v>
      </c>
      <c r="G386" s="1">
        <f t="shared" si="22"/>
        <v>0.2</v>
      </c>
      <c r="H386" s="1">
        <f t="shared" si="23"/>
        <v>1</v>
      </c>
    </row>
    <row r="387" spans="1:8">
      <c r="A387" s="1">
        <v>193</v>
      </c>
      <c r="B387" s="8">
        <f>_xlfn.MAXIFS(Transactions[Transaction Date], Transactions[CustomerID],A387)</f>
        <v>43426</v>
      </c>
      <c r="C387" s="1">
        <f t="shared" si="20"/>
        <v>3</v>
      </c>
      <c r="D387" s="1">
        <f>COUNTIF(Transactions[CustomerID],"="&amp;A387)</f>
        <v>1</v>
      </c>
      <c r="E387" s="9">
        <f>IF(_xlfn.MAXIFS(Transactions[Transaction Amount], Transactions[CustomerID],A387)/'Customer Profiles'!$M$10&lt;=10,_xlfn.MAXIFS(Transactions[Transaction Amount], Transactions[CustomerID],A387)/'Customer Profiles'!$M$10,10)</f>
        <v>2.8116432388331454</v>
      </c>
      <c r="F387" s="1">
        <f t="shared" si="21"/>
        <v>3</v>
      </c>
      <c r="G387" s="1">
        <f t="shared" si="22"/>
        <v>0.2</v>
      </c>
      <c r="H387" s="1">
        <f t="shared" si="23"/>
        <v>1</v>
      </c>
    </row>
    <row r="388" spans="1:8">
      <c r="A388" s="1">
        <v>324</v>
      </c>
      <c r="B388" s="8">
        <f>_xlfn.MAXIFS(Transactions[Transaction Date], Transactions[CustomerID],A388)</f>
        <v>42891</v>
      </c>
      <c r="C388" s="1">
        <f t="shared" si="20"/>
        <v>8</v>
      </c>
      <c r="D388" s="1">
        <f>COUNTIF(Transactions[CustomerID],"="&amp;A388)</f>
        <v>1</v>
      </c>
      <c r="E388" s="9">
        <f>IF(_xlfn.MAXIFS(Transactions[Transaction Amount], Transactions[CustomerID],A388)/'Customer Profiles'!$M$10&lt;=10,_xlfn.MAXIFS(Transactions[Transaction Amount], Transactions[CustomerID],A388)/'Customer Profiles'!$M$10,10)</f>
        <v>9.8696184925056968E-2</v>
      </c>
      <c r="F388" s="1">
        <f t="shared" si="21"/>
        <v>8</v>
      </c>
      <c r="G388" s="1">
        <f t="shared" si="22"/>
        <v>0.2</v>
      </c>
      <c r="H388" s="1">
        <f t="shared" si="23"/>
        <v>1</v>
      </c>
    </row>
    <row r="389" spans="1:8">
      <c r="A389" s="1">
        <v>19</v>
      </c>
      <c r="B389" s="8">
        <f>_xlfn.MAXIFS(Transactions[Transaction Date], Transactions[CustomerID],A389)</f>
        <v>43152</v>
      </c>
      <c r="C389" s="1">
        <f t="shared" si="20"/>
        <v>1</v>
      </c>
      <c r="D389" s="1">
        <f>COUNTIF(Transactions[CustomerID],"="&amp;A389)</f>
        <v>3</v>
      </c>
      <c r="E389" s="9">
        <f>IF(_xlfn.MAXIFS(Transactions[Transaction Amount], Transactions[CustomerID],A389)/'Customer Profiles'!$M$10&lt;=10,_xlfn.MAXIFS(Transactions[Transaction Amount], Transactions[CustomerID],A389)/'Customer Profiles'!$M$10,10)</f>
        <v>0.33659271301336346</v>
      </c>
      <c r="F389" s="1">
        <f t="shared" si="21"/>
        <v>1</v>
      </c>
      <c r="G389" s="1">
        <f t="shared" si="22"/>
        <v>0.6</v>
      </c>
      <c r="H389" s="1">
        <f t="shared" si="23"/>
        <v>1</v>
      </c>
    </row>
    <row r="390" spans="1:8">
      <c r="A390" s="1">
        <v>436</v>
      </c>
      <c r="B390" s="8">
        <f>_xlfn.MAXIFS(Transactions[Transaction Date], Transactions[CustomerID],A390)</f>
        <v>43129</v>
      </c>
      <c r="C390" s="1">
        <f t="shared" ref="C390:C453" si="24">(MAX(DATEDIF(B390,"03/01/2019","ym"),1))</f>
        <v>1</v>
      </c>
      <c r="D390" s="1">
        <f>COUNTIF(Transactions[CustomerID],"="&amp;A390)</f>
        <v>1</v>
      </c>
      <c r="E390" s="9">
        <f>IF(_xlfn.MAXIFS(Transactions[Transaction Amount], Transactions[CustomerID],A390)/'Customer Profiles'!$M$10&lt;=10,_xlfn.MAXIFS(Transactions[Transaction Amount], Transactions[CustomerID],A390)/'Customer Profiles'!$M$10,10)</f>
        <v>1.252420242525508</v>
      </c>
      <c r="F390" s="1">
        <f t="shared" ref="F390:F453" si="25">IF(ROUND(C390,2)&lt;=10,ROUND(C390,2),10)</f>
        <v>1</v>
      </c>
      <c r="G390" s="1">
        <f t="shared" ref="G390:G453" si="26">IF(ROUND(D390/$M$6,2)&lt;=10,ROUND(D390/$M$6,2),10)</f>
        <v>0.2</v>
      </c>
      <c r="H390" s="1">
        <f t="shared" ref="H390:H453" si="27">IF(ROUND(E390*$K$8+F390*$K$6+G390*$K$7,2)&lt;1,1,ROUND(E390*$K$8+F390*$K$6+G390*$K$7,2))</f>
        <v>1</v>
      </c>
    </row>
    <row r="391" spans="1:8">
      <c r="A391" s="1">
        <v>502</v>
      </c>
      <c r="B391" s="8">
        <f>_xlfn.MAXIFS(Transactions[Transaction Date], Transactions[CustomerID],A391)</f>
        <v>43422</v>
      </c>
      <c r="C391" s="1">
        <f t="shared" si="24"/>
        <v>3</v>
      </c>
      <c r="D391" s="1">
        <f>COUNTIF(Transactions[CustomerID],"="&amp;A391)</f>
        <v>5</v>
      </c>
      <c r="E391" s="9">
        <f>IF(_xlfn.MAXIFS(Transactions[Transaction Amount], Transactions[CustomerID],A391)/'Customer Profiles'!$M$10&lt;=10,_xlfn.MAXIFS(Transactions[Transaction Amount], Transactions[CustomerID],A391)/'Customer Profiles'!$M$10,10)</f>
        <v>0.70345356230220513</v>
      </c>
      <c r="F391" s="1">
        <f t="shared" si="25"/>
        <v>3</v>
      </c>
      <c r="G391" s="1">
        <f t="shared" si="26"/>
        <v>1</v>
      </c>
      <c r="H391" s="1">
        <f t="shared" si="27"/>
        <v>1</v>
      </c>
    </row>
    <row r="392" spans="1:8">
      <c r="A392" s="1">
        <v>446</v>
      </c>
      <c r="B392" s="8">
        <f>_xlfn.MAXIFS(Transactions[Transaction Date], Transactions[CustomerID],A392)</f>
        <v>43460</v>
      </c>
      <c r="C392" s="1">
        <f t="shared" si="24"/>
        <v>2</v>
      </c>
      <c r="D392" s="1">
        <f>COUNTIF(Transactions[CustomerID],"="&amp;A392)</f>
        <v>1</v>
      </c>
      <c r="E392" s="9">
        <f>IF(_xlfn.MAXIFS(Transactions[Transaction Amount], Transactions[CustomerID],A392)/'Customer Profiles'!$M$10&lt;=10,_xlfn.MAXIFS(Transactions[Transaction Amount], Transactions[CustomerID],A392)/'Customer Profiles'!$M$10,10)</f>
        <v>1.4457912041707588</v>
      </c>
      <c r="F392" s="1">
        <f t="shared" si="25"/>
        <v>2</v>
      </c>
      <c r="G392" s="1">
        <f t="shared" si="26"/>
        <v>0.2</v>
      </c>
      <c r="H392" s="1">
        <f t="shared" si="27"/>
        <v>1</v>
      </c>
    </row>
    <row r="393" spans="1:8">
      <c r="A393" s="1">
        <v>533</v>
      </c>
      <c r="B393" s="8">
        <f>_xlfn.MAXIFS(Transactions[Transaction Date], Transactions[CustomerID],A393)</f>
        <v>43256</v>
      </c>
      <c r="C393" s="1">
        <f t="shared" si="24"/>
        <v>8</v>
      </c>
      <c r="D393" s="1">
        <f>COUNTIF(Transactions[CustomerID],"="&amp;A393)</f>
        <v>1</v>
      </c>
      <c r="E393" s="9">
        <f>IF(_xlfn.MAXIFS(Transactions[Transaction Amount], Transactions[CustomerID],A393)/'Customer Profiles'!$M$10&lt;=10,_xlfn.MAXIFS(Transactions[Transaction Amount], Transactions[CustomerID],A393)/'Customer Profiles'!$M$10,10)</f>
        <v>6.1681803988615398</v>
      </c>
      <c r="F393" s="1">
        <f t="shared" si="25"/>
        <v>8</v>
      </c>
      <c r="G393" s="1">
        <f t="shared" si="26"/>
        <v>0.2</v>
      </c>
      <c r="H393" s="1">
        <f t="shared" si="27"/>
        <v>1</v>
      </c>
    </row>
    <row r="394" spans="1:8">
      <c r="A394" s="1">
        <v>133</v>
      </c>
      <c r="B394" s="8">
        <f>_xlfn.MAXIFS(Transactions[Transaction Date], Transactions[CustomerID],A394)</f>
        <v>42835</v>
      </c>
      <c r="C394" s="1">
        <f t="shared" si="24"/>
        <v>10</v>
      </c>
      <c r="D394" s="1">
        <f>COUNTIF(Transactions[CustomerID],"="&amp;A394)</f>
        <v>1</v>
      </c>
      <c r="E394" s="9">
        <f>IF(_xlfn.MAXIFS(Transactions[Transaction Amount], Transactions[CustomerID],A394)/'Customer Profiles'!$M$10&lt;=10,_xlfn.MAXIFS(Transactions[Transaction Amount], Transactions[CustomerID],A394)/'Customer Profiles'!$M$10,10)</f>
        <v>3.4772867563935486</v>
      </c>
      <c r="F394" s="1">
        <f t="shared" si="25"/>
        <v>10</v>
      </c>
      <c r="G394" s="1">
        <f t="shared" si="26"/>
        <v>0.2</v>
      </c>
      <c r="H394" s="1">
        <f t="shared" si="27"/>
        <v>1</v>
      </c>
    </row>
    <row r="395" spans="1:8">
      <c r="A395" s="1">
        <v>127</v>
      </c>
      <c r="B395" s="8">
        <f>_xlfn.MAXIFS(Transactions[Transaction Date], Transactions[CustomerID],A395)</f>
        <v>43056</v>
      </c>
      <c r="C395" s="1">
        <f t="shared" si="24"/>
        <v>3</v>
      </c>
      <c r="D395" s="1">
        <f>COUNTIF(Transactions[CustomerID],"="&amp;A395)</f>
        <v>2</v>
      </c>
      <c r="E395" s="9">
        <f>IF(_xlfn.MAXIFS(Transactions[Transaction Amount], Transactions[CustomerID],A395)/'Customer Profiles'!$M$10&lt;=10,_xlfn.MAXIFS(Transactions[Transaction Amount], Transactions[CustomerID],A395)/'Customer Profiles'!$M$10,10)</f>
        <v>2.0671392224023393</v>
      </c>
      <c r="F395" s="1">
        <f t="shared" si="25"/>
        <v>3</v>
      </c>
      <c r="G395" s="1">
        <f t="shared" si="26"/>
        <v>0.4</v>
      </c>
      <c r="H395" s="1">
        <f t="shared" si="27"/>
        <v>1</v>
      </c>
    </row>
    <row r="396" spans="1:8">
      <c r="A396" s="1">
        <v>240</v>
      </c>
      <c r="B396" s="8">
        <f>_xlfn.MAXIFS(Transactions[Transaction Date], Transactions[CustomerID],A396)</f>
        <v>42953</v>
      </c>
      <c r="C396" s="1">
        <f t="shared" si="24"/>
        <v>6</v>
      </c>
      <c r="D396" s="1">
        <f>COUNTIF(Transactions[CustomerID],"="&amp;A396)</f>
        <v>1</v>
      </c>
      <c r="E396" s="9">
        <f>IF(_xlfn.MAXIFS(Transactions[Transaction Amount], Transactions[CustomerID],A396)/'Customer Profiles'!$M$10&lt;=10,_xlfn.MAXIFS(Transactions[Transaction Amount], Transactions[CustomerID],A396)/'Customer Profiles'!$M$10,10)</f>
        <v>3.094424869803944</v>
      </c>
      <c r="F396" s="1">
        <f t="shared" si="25"/>
        <v>6</v>
      </c>
      <c r="G396" s="1">
        <f t="shared" si="26"/>
        <v>0.2</v>
      </c>
      <c r="H396" s="1">
        <f t="shared" si="27"/>
        <v>1</v>
      </c>
    </row>
    <row r="397" spans="1:8">
      <c r="A397" s="1">
        <v>86</v>
      </c>
      <c r="B397" s="8">
        <f>_xlfn.MAXIFS(Transactions[Transaction Date], Transactions[CustomerID],A397)</f>
        <v>42807</v>
      </c>
      <c r="C397" s="1">
        <f t="shared" si="24"/>
        <v>11</v>
      </c>
      <c r="D397" s="1">
        <f>COUNTIF(Transactions[CustomerID],"="&amp;A397)</f>
        <v>1</v>
      </c>
      <c r="E397" s="9">
        <f>IF(_xlfn.MAXIFS(Transactions[Transaction Amount], Transactions[CustomerID],A397)/'Customer Profiles'!$M$10&lt;=10,_xlfn.MAXIFS(Transactions[Transaction Amount], Transactions[CustomerID],A397)/'Customer Profiles'!$M$10,10)</f>
        <v>0.12930481913430344</v>
      </c>
      <c r="F397" s="1">
        <f t="shared" si="25"/>
        <v>10</v>
      </c>
      <c r="G397" s="1">
        <f t="shared" si="26"/>
        <v>0.2</v>
      </c>
      <c r="H397" s="1">
        <f t="shared" si="27"/>
        <v>1</v>
      </c>
    </row>
    <row r="398" spans="1:8">
      <c r="A398" s="1">
        <v>6</v>
      </c>
      <c r="B398" s="8">
        <f>_xlfn.MAXIFS(Transactions[Transaction Date], Transactions[CustomerID],A398)</f>
        <v>43309</v>
      </c>
      <c r="C398" s="1">
        <f t="shared" si="24"/>
        <v>7</v>
      </c>
      <c r="D398" s="1">
        <f>COUNTIF(Transactions[CustomerID],"="&amp;A398)</f>
        <v>1</v>
      </c>
      <c r="E398" s="9">
        <f>IF(_xlfn.MAXIFS(Transactions[Transaction Amount], Transactions[CustomerID],A398)/'Customer Profiles'!$M$10&lt;=10,_xlfn.MAXIFS(Transactions[Transaction Amount], Transactions[CustomerID],A398)/'Customer Profiles'!$M$10,10)</f>
        <v>4.9962682888761414</v>
      </c>
      <c r="F398" s="1">
        <f t="shared" si="25"/>
        <v>7</v>
      </c>
      <c r="G398" s="1">
        <f t="shared" si="26"/>
        <v>0.2</v>
      </c>
      <c r="H398" s="1">
        <f t="shared" si="27"/>
        <v>1</v>
      </c>
    </row>
    <row r="399" spans="1:8">
      <c r="A399" s="1">
        <v>300</v>
      </c>
      <c r="B399" s="8">
        <f>_xlfn.MAXIFS(Transactions[Transaction Date], Transactions[CustomerID],A399)</f>
        <v>43290</v>
      </c>
      <c r="C399" s="1">
        <f t="shared" si="24"/>
        <v>7</v>
      </c>
      <c r="D399" s="1">
        <f>COUNTIF(Transactions[CustomerID],"="&amp;A399)</f>
        <v>1</v>
      </c>
      <c r="E399" s="9">
        <f>IF(_xlfn.MAXIFS(Transactions[Transaction Amount], Transactions[CustomerID],A399)/'Customer Profiles'!$M$10&lt;=10,_xlfn.MAXIFS(Transactions[Transaction Amount], Transactions[CustomerID],A399)/'Customer Profiles'!$M$10,10)</f>
        <v>0.45642145383988814</v>
      </c>
      <c r="F399" s="1">
        <f t="shared" si="25"/>
        <v>7</v>
      </c>
      <c r="G399" s="1">
        <f t="shared" si="26"/>
        <v>0.2</v>
      </c>
      <c r="H399" s="1">
        <f t="shared" si="27"/>
        <v>1</v>
      </c>
    </row>
    <row r="400" spans="1:8">
      <c r="A400" s="1">
        <v>39</v>
      </c>
      <c r="B400" s="8">
        <f>_xlfn.MAXIFS(Transactions[Transaction Date], Transactions[CustomerID],A400)</f>
        <v>43389</v>
      </c>
      <c r="C400" s="1">
        <f t="shared" si="24"/>
        <v>4</v>
      </c>
      <c r="D400" s="1">
        <f>COUNTIF(Transactions[CustomerID],"="&amp;A400)</f>
        <v>1</v>
      </c>
      <c r="E400" s="9">
        <f>IF(_xlfn.MAXIFS(Transactions[Transaction Amount], Transactions[CustomerID],A400)/'Customer Profiles'!$M$10&lt;=10,_xlfn.MAXIFS(Transactions[Transaction Amount], Transactions[CustomerID],A400)/'Customer Profiles'!$M$10,10)</f>
        <v>3.119505828781246</v>
      </c>
      <c r="F400" s="1">
        <f t="shared" si="25"/>
        <v>4</v>
      </c>
      <c r="G400" s="1">
        <f t="shared" si="26"/>
        <v>0.2</v>
      </c>
      <c r="H400" s="1">
        <f t="shared" si="27"/>
        <v>1</v>
      </c>
    </row>
    <row r="401" spans="1:8">
      <c r="A401" s="1">
        <v>290</v>
      </c>
      <c r="B401" s="8">
        <f>_xlfn.MAXIFS(Transactions[Transaction Date], Transactions[CustomerID],A401)</f>
        <v>43290</v>
      </c>
      <c r="C401" s="1">
        <f t="shared" si="24"/>
        <v>7</v>
      </c>
      <c r="D401" s="1">
        <f>COUNTIF(Transactions[CustomerID],"="&amp;A401)</f>
        <v>4</v>
      </c>
      <c r="E401" s="9">
        <f>IF(_xlfn.MAXIFS(Transactions[Transaction Amount], Transactions[CustomerID],A401)/'Customer Profiles'!$M$10&lt;=10,_xlfn.MAXIFS(Transactions[Transaction Amount], Transactions[CustomerID],A401)/'Customer Profiles'!$M$10,10)</f>
        <v>1.0707418719741644</v>
      </c>
      <c r="F401" s="1">
        <f t="shared" si="25"/>
        <v>7</v>
      </c>
      <c r="G401" s="1">
        <f t="shared" si="26"/>
        <v>0.8</v>
      </c>
      <c r="H401" s="1">
        <f t="shared" si="27"/>
        <v>1</v>
      </c>
    </row>
    <row r="402" spans="1:8">
      <c r="A402" s="1">
        <v>415</v>
      </c>
      <c r="B402" s="8">
        <f>_xlfn.MAXIFS(Transactions[Transaction Date], Transactions[CustomerID],A402)</f>
        <v>43174</v>
      </c>
      <c r="C402" s="1">
        <f t="shared" si="24"/>
        <v>11</v>
      </c>
      <c r="D402" s="1">
        <f>COUNTIF(Transactions[CustomerID],"="&amp;A402)</f>
        <v>2</v>
      </c>
      <c r="E402" s="9">
        <f>IF(_xlfn.MAXIFS(Transactions[Transaction Amount], Transactions[CustomerID],A402)/'Customer Profiles'!$M$10&lt;=10,_xlfn.MAXIFS(Transactions[Transaction Amount], Transactions[CustomerID],A402)/'Customer Profiles'!$M$10,10)</f>
        <v>2.2166040229730117</v>
      </c>
      <c r="F402" s="1">
        <f t="shared" si="25"/>
        <v>10</v>
      </c>
      <c r="G402" s="1">
        <f t="shared" si="26"/>
        <v>0.4</v>
      </c>
      <c r="H402" s="1">
        <f t="shared" si="27"/>
        <v>1</v>
      </c>
    </row>
    <row r="403" spans="1:8">
      <c r="A403" s="1">
        <v>443</v>
      </c>
      <c r="B403" s="8">
        <f>_xlfn.MAXIFS(Transactions[Transaction Date], Transactions[CustomerID],A403)</f>
        <v>43033</v>
      </c>
      <c r="C403" s="1">
        <f t="shared" si="24"/>
        <v>4</v>
      </c>
      <c r="D403" s="1">
        <f>COUNTIF(Transactions[CustomerID],"="&amp;A403)</f>
        <v>1</v>
      </c>
      <c r="E403" s="9">
        <f>IF(_xlfn.MAXIFS(Transactions[Transaction Amount], Transactions[CustomerID],A403)/'Customer Profiles'!$M$10&lt;=10,_xlfn.MAXIFS(Transactions[Transaction Amount], Transactions[CustomerID],A403)/'Customer Profiles'!$M$10,10)</f>
        <v>0.33285214413815989</v>
      </c>
      <c r="F403" s="1">
        <f t="shared" si="25"/>
        <v>4</v>
      </c>
      <c r="G403" s="1">
        <f t="shared" si="26"/>
        <v>0.2</v>
      </c>
      <c r="H403" s="1">
        <f t="shared" si="27"/>
        <v>1</v>
      </c>
    </row>
    <row r="404" spans="1:8">
      <c r="A404" s="1">
        <v>519</v>
      </c>
      <c r="B404" s="8">
        <f>_xlfn.MAXIFS(Transactions[Transaction Date], Transactions[CustomerID],A404)</f>
        <v>43453</v>
      </c>
      <c r="C404" s="1">
        <f t="shared" si="24"/>
        <v>2</v>
      </c>
      <c r="D404" s="1">
        <f>COUNTIF(Transactions[CustomerID],"="&amp;A404)</f>
        <v>2</v>
      </c>
      <c r="E404" s="9">
        <f>IF(_xlfn.MAXIFS(Transactions[Transaction Amount], Transactions[CustomerID],A404)/'Customer Profiles'!$M$10&lt;=10,_xlfn.MAXIFS(Transactions[Transaction Amount], Transactions[CustomerID],A404)/'Customer Profiles'!$M$10,10)</f>
        <v>0.77623879551834007</v>
      </c>
      <c r="F404" s="1">
        <f t="shared" si="25"/>
        <v>2</v>
      </c>
      <c r="G404" s="1">
        <f t="shared" si="26"/>
        <v>0.4</v>
      </c>
      <c r="H404" s="1">
        <f t="shared" si="27"/>
        <v>1</v>
      </c>
    </row>
    <row r="405" spans="1:8">
      <c r="A405" s="1">
        <v>111</v>
      </c>
      <c r="B405" s="8">
        <f>_xlfn.MAXIFS(Transactions[Transaction Date], Transactions[CustomerID],A405)</f>
        <v>43207</v>
      </c>
      <c r="C405" s="1">
        <f t="shared" si="24"/>
        <v>10</v>
      </c>
      <c r="D405" s="1">
        <f>COUNTIF(Transactions[CustomerID],"="&amp;A405)</f>
        <v>1</v>
      </c>
      <c r="E405" s="9">
        <f>IF(_xlfn.MAXIFS(Transactions[Transaction Amount], Transactions[CustomerID],A405)/'Customer Profiles'!$M$10&lt;=10,_xlfn.MAXIFS(Transactions[Transaction Amount], Transactions[CustomerID],A405)/'Customer Profiles'!$M$10,10)</f>
        <v>1.7622840186442574</v>
      </c>
      <c r="F405" s="1">
        <f t="shared" si="25"/>
        <v>10</v>
      </c>
      <c r="G405" s="1">
        <f t="shared" si="26"/>
        <v>0.2</v>
      </c>
      <c r="H405" s="1">
        <f t="shared" si="27"/>
        <v>1</v>
      </c>
    </row>
    <row r="406" spans="1:8">
      <c r="A406" s="1">
        <v>508</v>
      </c>
      <c r="B406" s="8">
        <f>_xlfn.MAXIFS(Transactions[Transaction Date], Transactions[CustomerID],A406)</f>
        <v>42878</v>
      </c>
      <c r="C406" s="1">
        <f t="shared" si="24"/>
        <v>9</v>
      </c>
      <c r="D406" s="1">
        <f>COUNTIF(Transactions[CustomerID],"="&amp;A406)</f>
        <v>1</v>
      </c>
      <c r="E406" s="9">
        <f>IF(_xlfn.MAXIFS(Transactions[Transaction Amount], Transactions[CustomerID],A406)/'Customer Profiles'!$M$10&lt;=10,_xlfn.MAXIFS(Transactions[Transaction Amount], Transactions[CustomerID],A406)/'Customer Profiles'!$M$10,10)</f>
        <v>0.35807723765089888</v>
      </c>
      <c r="F406" s="1">
        <f t="shared" si="25"/>
        <v>9</v>
      </c>
      <c r="G406" s="1">
        <f t="shared" si="26"/>
        <v>0.2</v>
      </c>
      <c r="H406" s="1">
        <f t="shared" si="27"/>
        <v>1</v>
      </c>
    </row>
    <row r="407" spans="1:8">
      <c r="A407" s="1">
        <v>4</v>
      </c>
      <c r="B407" s="8">
        <f>_xlfn.MAXIFS(Transactions[Transaction Date], Transactions[CustomerID],A407)</f>
        <v>43061</v>
      </c>
      <c r="C407" s="1">
        <f t="shared" si="24"/>
        <v>3</v>
      </c>
      <c r="D407" s="1">
        <f>COUNTIF(Transactions[CustomerID],"="&amp;A407)</f>
        <v>1</v>
      </c>
      <c r="E407" s="9">
        <f>IF(_xlfn.MAXIFS(Transactions[Transaction Amount], Transactions[CustomerID],A407)/'Customer Profiles'!$M$10&lt;=10,_xlfn.MAXIFS(Transactions[Transaction Amount], Transactions[CustomerID],A407)/'Customer Profiles'!$M$10,10)</f>
        <v>7.5805785553232294E-2</v>
      </c>
      <c r="F407" s="1">
        <f t="shared" si="25"/>
        <v>3</v>
      </c>
      <c r="G407" s="1">
        <f t="shared" si="26"/>
        <v>0.2</v>
      </c>
      <c r="H407" s="1">
        <f t="shared" si="27"/>
        <v>1</v>
      </c>
    </row>
    <row r="408" spans="1:8">
      <c r="A408" s="1">
        <v>342</v>
      </c>
      <c r="B408" s="8">
        <f>_xlfn.MAXIFS(Transactions[Transaction Date], Transactions[CustomerID],A408)</f>
        <v>43263</v>
      </c>
      <c r="C408" s="1">
        <f t="shared" si="24"/>
        <v>8</v>
      </c>
      <c r="D408" s="1">
        <f>COUNTIF(Transactions[CustomerID],"="&amp;A408)</f>
        <v>1</v>
      </c>
      <c r="E408" s="9">
        <f>IF(_xlfn.MAXIFS(Transactions[Transaction Amount], Transactions[CustomerID],A408)/'Customer Profiles'!$M$10&lt;=10,_xlfn.MAXIFS(Transactions[Transaction Amount], Transactions[CustomerID],A408)/'Customer Profiles'!$M$10,10)</f>
        <v>0.66130931113828995</v>
      </c>
      <c r="F408" s="1">
        <f t="shared" si="25"/>
        <v>8</v>
      </c>
      <c r="G408" s="1">
        <f t="shared" si="26"/>
        <v>0.2</v>
      </c>
      <c r="H408" s="1">
        <f t="shared" si="27"/>
        <v>1</v>
      </c>
    </row>
    <row r="409" spans="1:8">
      <c r="A409" s="1">
        <v>433</v>
      </c>
      <c r="B409" s="8">
        <f>_xlfn.MAXIFS(Transactions[Transaction Date], Transactions[CustomerID],A409)</f>
        <v>42746</v>
      </c>
      <c r="C409" s="1">
        <f t="shared" si="24"/>
        <v>1</v>
      </c>
      <c r="D409" s="1">
        <f>COUNTIF(Transactions[CustomerID],"="&amp;A409)</f>
        <v>1</v>
      </c>
      <c r="E409" s="9">
        <f>IF(_xlfn.MAXIFS(Transactions[Transaction Amount], Transactions[CustomerID],A409)/'Customer Profiles'!$M$10&lt;=10,_xlfn.MAXIFS(Transactions[Transaction Amount], Transactions[CustomerID],A409)/'Customer Profiles'!$M$10,10)</f>
        <v>1.1241698147675416</v>
      </c>
      <c r="F409" s="1">
        <f t="shared" si="25"/>
        <v>1</v>
      </c>
      <c r="G409" s="1">
        <f t="shared" si="26"/>
        <v>0.2</v>
      </c>
      <c r="H409" s="1">
        <f t="shared" si="27"/>
        <v>1</v>
      </c>
    </row>
    <row r="410" spans="1:8">
      <c r="A410" s="1">
        <v>168</v>
      </c>
      <c r="B410" s="8">
        <f>_xlfn.MAXIFS(Transactions[Transaction Date], Transactions[CustomerID],A410)</f>
        <v>43129</v>
      </c>
      <c r="C410" s="1">
        <f t="shared" si="24"/>
        <v>1</v>
      </c>
      <c r="D410" s="1">
        <f>COUNTIF(Transactions[CustomerID],"="&amp;A410)</f>
        <v>2</v>
      </c>
      <c r="E410" s="9">
        <f>IF(_xlfn.MAXIFS(Transactions[Transaction Amount], Transactions[CustomerID],A410)/'Customer Profiles'!$M$10&lt;=10,_xlfn.MAXIFS(Transactions[Transaction Amount], Transactions[CustomerID],A410)/'Customer Profiles'!$M$10,10)</f>
        <v>0.48519587688677734</v>
      </c>
      <c r="F410" s="1">
        <f t="shared" si="25"/>
        <v>1</v>
      </c>
      <c r="G410" s="1">
        <f t="shared" si="26"/>
        <v>0.4</v>
      </c>
      <c r="H410" s="1">
        <f t="shared" si="27"/>
        <v>1</v>
      </c>
    </row>
    <row r="411" spans="1:8">
      <c r="A411" s="1">
        <v>452</v>
      </c>
      <c r="B411" s="8">
        <f>_xlfn.MAXIFS(Transactions[Transaction Date], Transactions[CustomerID],A411)</f>
        <v>43285</v>
      </c>
      <c r="C411" s="1">
        <f t="shared" si="24"/>
        <v>7</v>
      </c>
      <c r="D411" s="1">
        <f>COUNTIF(Transactions[CustomerID],"="&amp;A411)</f>
        <v>1</v>
      </c>
      <c r="E411" s="9">
        <f>IF(_xlfn.MAXIFS(Transactions[Transaction Amount], Transactions[CustomerID],A411)/'Customer Profiles'!$M$10&lt;=10,_xlfn.MAXIFS(Transactions[Transaction Amount], Transactions[CustomerID],A411)/'Customer Profiles'!$M$10,10)</f>
        <v>1.9271379145118976</v>
      </c>
      <c r="F411" s="1">
        <f t="shared" si="25"/>
        <v>7</v>
      </c>
      <c r="G411" s="1">
        <f t="shared" si="26"/>
        <v>0.2</v>
      </c>
      <c r="H411" s="1">
        <f t="shared" si="27"/>
        <v>1</v>
      </c>
    </row>
    <row r="412" spans="1:8">
      <c r="A412" s="1">
        <v>274</v>
      </c>
      <c r="B412" s="8">
        <f>_xlfn.MAXIFS(Transactions[Transaction Date], Transactions[CustomerID],A412)</f>
        <v>43223</v>
      </c>
      <c r="C412" s="1">
        <f t="shared" si="24"/>
        <v>9</v>
      </c>
      <c r="D412" s="1">
        <f>COUNTIF(Transactions[CustomerID],"="&amp;A412)</f>
        <v>1</v>
      </c>
      <c r="E412" s="9">
        <f>IF(_xlfn.MAXIFS(Transactions[Transaction Amount], Transactions[CustomerID],A412)/'Customer Profiles'!$M$10&lt;=10,_xlfn.MAXIFS(Transactions[Transaction Amount], Transactions[CustomerID],A412)/'Customer Profiles'!$M$10,10)</f>
        <v>5.4868335720343264</v>
      </c>
      <c r="F412" s="1">
        <f t="shared" si="25"/>
        <v>9</v>
      </c>
      <c r="G412" s="1">
        <f t="shared" si="26"/>
        <v>0.2</v>
      </c>
      <c r="H412" s="1">
        <f t="shared" si="27"/>
        <v>1</v>
      </c>
    </row>
    <row r="413" spans="1:8">
      <c r="A413" s="1">
        <v>210</v>
      </c>
      <c r="B413" s="8">
        <f>_xlfn.MAXIFS(Transactions[Transaction Date], Transactions[CustomerID],A413)</f>
        <v>43309</v>
      </c>
      <c r="C413" s="1">
        <f t="shared" si="24"/>
        <v>7</v>
      </c>
      <c r="D413" s="1">
        <f>COUNTIF(Transactions[CustomerID],"="&amp;A413)</f>
        <v>1</v>
      </c>
      <c r="E413" s="9">
        <f>IF(_xlfn.MAXIFS(Transactions[Transaction Amount], Transactions[CustomerID],A413)/'Customer Profiles'!$M$10&lt;=10,_xlfn.MAXIFS(Transactions[Transaction Amount], Transactions[CustomerID],A413)/'Customer Profiles'!$M$10,10)</f>
        <v>0.76510318330745308</v>
      </c>
      <c r="F413" s="1">
        <f t="shared" si="25"/>
        <v>7</v>
      </c>
      <c r="G413" s="1">
        <f t="shared" si="26"/>
        <v>0.2</v>
      </c>
      <c r="H413" s="1">
        <f t="shared" si="27"/>
        <v>1</v>
      </c>
    </row>
    <row r="414" spans="1:8">
      <c r="A414" s="1">
        <v>562</v>
      </c>
      <c r="B414" s="8">
        <f>_xlfn.MAXIFS(Transactions[Transaction Date], Transactions[CustomerID],A414)</f>
        <v>43340</v>
      </c>
      <c r="C414" s="1">
        <f t="shared" si="24"/>
        <v>6</v>
      </c>
      <c r="D414" s="1">
        <f>COUNTIF(Transactions[CustomerID],"="&amp;A414)</f>
        <v>4</v>
      </c>
      <c r="E414" s="9">
        <f>IF(_xlfn.MAXIFS(Transactions[Transaction Amount], Transactions[CustomerID],A414)/'Customer Profiles'!$M$10&lt;=10,_xlfn.MAXIFS(Transactions[Transaction Amount], Transactions[CustomerID],A414)/'Customer Profiles'!$M$10,10)</f>
        <v>0.7355576985417418</v>
      </c>
      <c r="F414" s="1">
        <f t="shared" si="25"/>
        <v>6</v>
      </c>
      <c r="G414" s="1">
        <f t="shared" si="26"/>
        <v>0.8</v>
      </c>
      <c r="H414" s="1">
        <f t="shared" si="27"/>
        <v>1</v>
      </c>
    </row>
    <row r="415" spans="1:8">
      <c r="A415" s="1">
        <v>250</v>
      </c>
      <c r="B415" s="8">
        <f>_xlfn.MAXIFS(Transactions[Transaction Date], Transactions[CustomerID],A415)</f>
        <v>43272</v>
      </c>
      <c r="C415" s="1">
        <f t="shared" si="24"/>
        <v>8</v>
      </c>
      <c r="D415" s="1">
        <f>COUNTIF(Transactions[CustomerID],"="&amp;A415)</f>
        <v>1</v>
      </c>
      <c r="E415" s="9">
        <f>IF(_xlfn.MAXIFS(Transactions[Transaction Amount], Transactions[CustomerID],A415)/'Customer Profiles'!$M$10&lt;=10,_xlfn.MAXIFS(Transactions[Transaction Amount], Transactions[CustomerID],A415)/'Customer Profiles'!$M$10,10)</f>
        <v>0.35321975707384057</v>
      </c>
      <c r="F415" s="1">
        <f t="shared" si="25"/>
        <v>8</v>
      </c>
      <c r="G415" s="1">
        <f t="shared" si="26"/>
        <v>0.2</v>
      </c>
      <c r="H415" s="1">
        <f t="shared" si="27"/>
        <v>1</v>
      </c>
    </row>
    <row r="416" spans="1:8">
      <c r="A416" s="1">
        <v>85</v>
      </c>
      <c r="B416" s="8">
        <f>_xlfn.MAXIFS(Transactions[Transaction Date], Transactions[CustomerID],A416)</f>
        <v>42755</v>
      </c>
      <c r="C416" s="1">
        <f t="shared" si="24"/>
        <v>1</v>
      </c>
      <c r="D416" s="1">
        <f>COUNTIF(Transactions[CustomerID],"="&amp;A416)</f>
        <v>1</v>
      </c>
      <c r="E416" s="9">
        <f>IF(_xlfn.MAXIFS(Transactions[Transaction Amount], Transactions[CustomerID],A416)/'Customer Profiles'!$M$10&lt;=10,_xlfn.MAXIFS(Transactions[Transaction Amount], Transactions[CustomerID],A416)/'Customer Profiles'!$M$10,10)</f>
        <v>0.4419706207205113</v>
      </c>
      <c r="F416" s="1">
        <f t="shared" si="25"/>
        <v>1</v>
      </c>
      <c r="G416" s="1">
        <f t="shared" si="26"/>
        <v>0.2</v>
      </c>
      <c r="H416" s="1">
        <f t="shared" si="27"/>
        <v>1</v>
      </c>
    </row>
    <row r="417" spans="1:8">
      <c r="A417" s="1">
        <v>507</v>
      </c>
      <c r="B417" s="8">
        <f>_xlfn.MAXIFS(Transactions[Transaction Date], Transactions[CustomerID],A417)</f>
        <v>43191</v>
      </c>
      <c r="C417" s="1">
        <f t="shared" si="24"/>
        <v>11</v>
      </c>
      <c r="D417" s="1">
        <f>COUNTIF(Transactions[CustomerID],"="&amp;A417)</f>
        <v>1</v>
      </c>
      <c r="E417" s="9">
        <f>IF(_xlfn.MAXIFS(Transactions[Transaction Amount], Transactions[CustomerID],A417)/'Customer Profiles'!$M$10&lt;=10,_xlfn.MAXIFS(Transactions[Transaction Amount], Transactions[CustomerID],A417)/'Customer Profiles'!$M$10,10)</f>
        <v>1.6573096294829406</v>
      </c>
      <c r="F417" s="1">
        <f t="shared" si="25"/>
        <v>10</v>
      </c>
      <c r="G417" s="1">
        <f t="shared" si="26"/>
        <v>0.2</v>
      </c>
      <c r="H417" s="1">
        <f t="shared" si="27"/>
        <v>1</v>
      </c>
    </row>
    <row r="418" spans="1:8">
      <c r="A418" s="1">
        <v>516</v>
      </c>
      <c r="B418" s="8">
        <f>_xlfn.MAXIFS(Transactions[Transaction Date], Transactions[CustomerID],A418)</f>
        <v>42825</v>
      </c>
      <c r="C418" s="1">
        <f t="shared" si="24"/>
        <v>11</v>
      </c>
      <c r="D418" s="1">
        <f>COUNTIF(Transactions[CustomerID],"="&amp;A418)</f>
        <v>1</v>
      </c>
      <c r="E418" s="9">
        <f>IF(_xlfn.MAXIFS(Transactions[Transaction Amount], Transactions[CustomerID],A418)/'Customer Profiles'!$M$10&lt;=10,_xlfn.MAXIFS(Transactions[Transaction Amount], Transactions[CustomerID],A418)/'Customer Profiles'!$M$10,10)</f>
        <v>1.6198873966343454</v>
      </c>
      <c r="F418" s="1">
        <f t="shared" si="25"/>
        <v>10</v>
      </c>
      <c r="G418" s="1">
        <f t="shared" si="26"/>
        <v>0.2</v>
      </c>
      <c r="H418" s="1">
        <f t="shared" si="27"/>
        <v>1</v>
      </c>
    </row>
    <row r="419" spans="1:8">
      <c r="A419" s="1">
        <v>517</v>
      </c>
      <c r="B419" s="8">
        <f>_xlfn.MAXIFS(Transactions[Transaction Date], Transactions[CustomerID],A419)</f>
        <v>42796</v>
      </c>
      <c r="C419" s="1">
        <f t="shared" si="24"/>
        <v>11</v>
      </c>
      <c r="D419" s="1">
        <f>COUNTIF(Transactions[CustomerID],"="&amp;A419)</f>
        <v>1</v>
      </c>
      <c r="E419" s="9">
        <f>IF(_xlfn.MAXIFS(Transactions[Transaction Amount], Transactions[CustomerID],A419)/'Customer Profiles'!$M$10&lt;=10,_xlfn.MAXIFS(Transactions[Transaction Amount], Transactions[CustomerID],A419)/'Customer Profiles'!$M$10,10)</f>
        <v>0.27759010098123421</v>
      </c>
      <c r="F419" s="1">
        <f t="shared" si="25"/>
        <v>10</v>
      </c>
      <c r="G419" s="1">
        <f t="shared" si="26"/>
        <v>0.2</v>
      </c>
      <c r="H419" s="1">
        <f t="shared" si="27"/>
        <v>1</v>
      </c>
    </row>
    <row r="420" spans="1:8">
      <c r="A420" s="1">
        <v>327</v>
      </c>
      <c r="B420" s="8">
        <f>_xlfn.MAXIFS(Transactions[Transaction Date], Transactions[CustomerID],A420)</f>
        <v>42876</v>
      </c>
      <c r="C420" s="1">
        <f t="shared" si="24"/>
        <v>9</v>
      </c>
      <c r="D420" s="1">
        <f>COUNTIF(Transactions[CustomerID],"="&amp;A420)</f>
        <v>2</v>
      </c>
      <c r="E420" s="9">
        <f>IF(_xlfn.MAXIFS(Transactions[Transaction Amount], Transactions[CustomerID],A420)/'Customer Profiles'!$M$10&lt;=10,_xlfn.MAXIFS(Transactions[Transaction Amount], Transactions[CustomerID],A420)/'Customer Profiles'!$M$10,10)</f>
        <v>0.68142288277585394</v>
      </c>
      <c r="F420" s="1">
        <f t="shared" si="25"/>
        <v>9</v>
      </c>
      <c r="G420" s="1">
        <f t="shared" si="26"/>
        <v>0.4</v>
      </c>
      <c r="H420" s="1">
        <f t="shared" si="27"/>
        <v>1</v>
      </c>
    </row>
    <row r="421" spans="1:8">
      <c r="A421" s="1">
        <v>158</v>
      </c>
      <c r="B421" s="8">
        <f>_xlfn.MAXIFS(Transactions[Transaction Date], Transactions[CustomerID],A421)</f>
        <v>43084</v>
      </c>
      <c r="C421" s="1">
        <f t="shared" si="24"/>
        <v>2</v>
      </c>
      <c r="D421" s="1">
        <f>COUNTIF(Transactions[CustomerID],"="&amp;A421)</f>
        <v>1</v>
      </c>
      <c r="E421" s="9">
        <f>IF(_xlfn.MAXIFS(Transactions[Transaction Amount], Transactions[CustomerID],A421)/'Customer Profiles'!$M$10&lt;=10,_xlfn.MAXIFS(Transactions[Transaction Amount], Transactions[CustomerID],A421)/'Customer Profiles'!$M$10,10)</f>
        <v>7.1815980259127526E-2</v>
      </c>
      <c r="F421" s="1">
        <f t="shared" si="25"/>
        <v>2</v>
      </c>
      <c r="G421" s="1">
        <f t="shared" si="26"/>
        <v>0.2</v>
      </c>
      <c r="H421" s="1">
        <f t="shared" si="27"/>
        <v>1</v>
      </c>
    </row>
    <row r="422" spans="1:8">
      <c r="A422" s="1">
        <v>131</v>
      </c>
      <c r="B422" s="8">
        <f>_xlfn.MAXIFS(Transactions[Transaction Date], Transactions[CustomerID],A422)</f>
        <v>42846</v>
      </c>
      <c r="C422" s="1">
        <f t="shared" si="24"/>
        <v>10</v>
      </c>
      <c r="D422" s="1">
        <f>COUNTIF(Transactions[CustomerID],"="&amp;A422)</f>
        <v>1</v>
      </c>
      <c r="E422" s="9">
        <f>IF(_xlfn.MAXIFS(Transactions[Transaction Amount], Transactions[CustomerID],A422)/'Customer Profiles'!$M$10&lt;=10,_xlfn.MAXIFS(Transactions[Transaction Amount], Transactions[CustomerID],A422)/'Customer Profiles'!$M$10,10)</f>
        <v>0.2847708192909158</v>
      </c>
      <c r="F422" s="1">
        <f t="shared" si="25"/>
        <v>10</v>
      </c>
      <c r="G422" s="1">
        <f t="shared" si="26"/>
        <v>0.2</v>
      </c>
      <c r="H422" s="1">
        <f t="shared" si="27"/>
        <v>1</v>
      </c>
    </row>
    <row r="423" spans="1:8">
      <c r="A423" s="1">
        <v>344</v>
      </c>
      <c r="B423" s="8">
        <f>_xlfn.MAXIFS(Transactions[Transaction Date], Transactions[CustomerID],A423)</f>
        <v>43433</v>
      </c>
      <c r="C423" s="1">
        <f t="shared" si="24"/>
        <v>3</v>
      </c>
      <c r="D423" s="1">
        <f>COUNTIF(Transactions[CustomerID],"="&amp;A423)</f>
        <v>3</v>
      </c>
      <c r="E423" s="9">
        <f>IF(_xlfn.MAXIFS(Transactions[Transaction Amount], Transactions[CustomerID],A423)/'Customer Profiles'!$M$10&lt;=10,_xlfn.MAXIFS(Transactions[Transaction Amount], Transactions[CustomerID],A423)/'Customer Profiles'!$M$10,10)</f>
        <v>2.3929810407618239</v>
      </c>
      <c r="F423" s="1">
        <f t="shared" si="25"/>
        <v>3</v>
      </c>
      <c r="G423" s="1">
        <f t="shared" si="26"/>
        <v>0.6</v>
      </c>
      <c r="H423" s="1">
        <f t="shared" si="27"/>
        <v>1</v>
      </c>
    </row>
    <row r="424" spans="1:8">
      <c r="A424" s="1">
        <v>455</v>
      </c>
      <c r="B424" s="8">
        <f>_xlfn.MAXIFS(Transactions[Transaction Date], Transactions[CustomerID],A424)</f>
        <v>42852</v>
      </c>
      <c r="C424" s="1">
        <f t="shared" si="24"/>
        <v>10</v>
      </c>
      <c r="D424" s="1">
        <f>COUNTIF(Transactions[CustomerID],"="&amp;A424)</f>
        <v>1</v>
      </c>
      <c r="E424" s="9">
        <f>IF(_xlfn.MAXIFS(Transactions[Transaction Amount], Transactions[CustomerID],A424)/'Customer Profiles'!$M$10&lt;=10,_xlfn.MAXIFS(Transactions[Transaction Amount], Transactions[CustomerID],A424)/'Customer Profiles'!$M$10,10)</f>
        <v>1.9031712004643448</v>
      </c>
      <c r="F424" s="1">
        <f t="shared" si="25"/>
        <v>10</v>
      </c>
      <c r="G424" s="1">
        <f t="shared" si="26"/>
        <v>0.2</v>
      </c>
      <c r="H424" s="1">
        <f t="shared" si="27"/>
        <v>1</v>
      </c>
    </row>
    <row r="425" spans="1:8">
      <c r="A425" s="1">
        <v>237</v>
      </c>
      <c r="B425" s="8">
        <f>_xlfn.MAXIFS(Transactions[Transaction Date], Transactions[CustomerID],A425)</f>
        <v>43191</v>
      </c>
      <c r="C425" s="1">
        <f t="shared" si="24"/>
        <v>11</v>
      </c>
      <c r="D425" s="1">
        <f>COUNTIF(Transactions[CustomerID],"="&amp;A425)</f>
        <v>1</v>
      </c>
      <c r="E425" s="9">
        <f>IF(_xlfn.MAXIFS(Transactions[Transaction Amount], Transactions[CustomerID],A425)/'Customer Profiles'!$M$10&lt;=10,_xlfn.MAXIFS(Transactions[Transaction Amount], Transactions[CustomerID],A425)/'Customer Profiles'!$M$10,10)</f>
        <v>4.569621164333923E-2</v>
      </c>
      <c r="F425" s="1">
        <f t="shared" si="25"/>
        <v>10</v>
      </c>
      <c r="G425" s="1">
        <f t="shared" si="26"/>
        <v>0.2</v>
      </c>
      <c r="H425" s="1">
        <f t="shared" si="27"/>
        <v>1</v>
      </c>
    </row>
    <row r="426" spans="1:8">
      <c r="A426" s="1">
        <v>323</v>
      </c>
      <c r="B426" s="8">
        <f>_xlfn.MAXIFS(Transactions[Transaction Date], Transactions[CustomerID],A426)</f>
        <v>43127</v>
      </c>
      <c r="C426" s="1">
        <f t="shared" si="24"/>
        <v>1</v>
      </c>
      <c r="D426" s="1">
        <f>COUNTIF(Transactions[CustomerID],"="&amp;A426)</f>
        <v>2</v>
      </c>
      <c r="E426" s="9">
        <f>IF(_xlfn.MAXIFS(Transactions[Transaction Amount], Transactions[CustomerID],A426)/'Customer Profiles'!$M$10&lt;=10,_xlfn.MAXIFS(Transactions[Transaction Amount], Transactions[CustomerID],A426)/'Customer Profiles'!$M$10,10)</f>
        <v>0.68883248425765098</v>
      </c>
      <c r="F426" s="1">
        <f t="shared" si="25"/>
        <v>1</v>
      </c>
      <c r="G426" s="1">
        <f t="shared" si="26"/>
        <v>0.4</v>
      </c>
      <c r="H426" s="1">
        <f t="shared" si="27"/>
        <v>1</v>
      </c>
    </row>
    <row r="427" spans="1:8">
      <c r="A427" s="1">
        <v>201</v>
      </c>
      <c r="B427" s="8">
        <f>_xlfn.MAXIFS(Transactions[Transaction Date], Transactions[CustomerID],A427)</f>
        <v>43458</v>
      </c>
      <c r="C427" s="1">
        <f t="shared" si="24"/>
        <v>2</v>
      </c>
      <c r="D427" s="1">
        <f>COUNTIF(Transactions[CustomerID],"="&amp;A427)</f>
        <v>3</v>
      </c>
      <c r="E427" s="9">
        <f>IF(_xlfn.MAXIFS(Transactions[Transaction Amount], Transactions[CustomerID],A427)/'Customer Profiles'!$M$10&lt;=10,_xlfn.MAXIFS(Transactions[Transaction Amount], Transactions[CustomerID],A427)/'Customer Profiles'!$M$10,10)</f>
        <v>3.3914909313501025</v>
      </c>
      <c r="F427" s="1">
        <f t="shared" si="25"/>
        <v>2</v>
      </c>
      <c r="G427" s="1">
        <f t="shared" si="26"/>
        <v>0.6</v>
      </c>
      <c r="H427" s="1">
        <f t="shared" si="27"/>
        <v>1</v>
      </c>
    </row>
    <row r="428" spans="1:8">
      <c r="A428" s="1">
        <v>166</v>
      </c>
      <c r="B428" s="8">
        <f>_xlfn.MAXIFS(Transactions[Transaction Date], Transactions[CustomerID],A428)</f>
        <v>43405</v>
      </c>
      <c r="C428" s="1">
        <f t="shared" si="24"/>
        <v>4</v>
      </c>
      <c r="D428" s="1">
        <f>COUNTIF(Transactions[CustomerID],"="&amp;A428)</f>
        <v>1</v>
      </c>
      <c r="E428" s="9">
        <f>IF(_xlfn.MAXIFS(Transactions[Transaction Amount], Transactions[CustomerID],A428)/'Customer Profiles'!$M$10&lt;=10,_xlfn.MAXIFS(Transactions[Transaction Amount], Transactions[CustomerID],A428)/'Customer Profiles'!$M$10,10)</f>
        <v>0.2352057039033697</v>
      </c>
      <c r="F428" s="1">
        <f t="shared" si="25"/>
        <v>4</v>
      </c>
      <c r="G428" s="1">
        <f t="shared" si="26"/>
        <v>0.2</v>
      </c>
      <c r="H428" s="1">
        <f t="shared" si="27"/>
        <v>1</v>
      </c>
    </row>
    <row r="429" spans="1:8">
      <c r="A429" s="1">
        <v>523</v>
      </c>
      <c r="B429" s="8">
        <f>_xlfn.MAXIFS(Transactions[Transaction Date], Transactions[CustomerID],A429)</f>
        <v>43141</v>
      </c>
      <c r="C429" s="1">
        <f t="shared" si="24"/>
        <v>1</v>
      </c>
      <c r="D429" s="1">
        <f>COUNTIF(Transactions[CustomerID],"="&amp;A429)</f>
        <v>2</v>
      </c>
      <c r="E429" s="9">
        <f>IF(_xlfn.MAXIFS(Transactions[Transaction Amount], Transactions[CustomerID],A429)/'Customer Profiles'!$M$10&lt;=10,_xlfn.MAXIFS(Transactions[Transaction Amount], Transactions[CustomerID],A429)/'Customer Profiles'!$M$10,10)</f>
        <v>0.53999023879846209</v>
      </c>
      <c r="F429" s="1">
        <f t="shared" si="25"/>
        <v>1</v>
      </c>
      <c r="G429" s="1">
        <f t="shared" si="26"/>
        <v>0.4</v>
      </c>
      <c r="H429" s="1">
        <f t="shared" si="27"/>
        <v>1</v>
      </c>
    </row>
    <row r="430" spans="1:8">
      <c r="A430" s="1">
        <v>600</v>
      </c>
      <c r="B430" s="8">
        <f>_xlfn.MAXIFS(Transactions[Transaction Date], Transactions[CustomerID],A430)</f>
        <v>43343</v>
      </c>
      <c r="C430" s="1">
        <f t="shared" si="24"/>
        <v>6</v>
      </c>
      <c r="D430" s="1">
        <f>COUNTIF(Transactions[CustomerID],"="&amp;A430)</f>
        <v>1</v>
      </c>
      <c r="E430" s="9">
        <f>IF(_xlfn.MAXIFS(Transactions[Transaction Amount], Transactions[CustomerID],A430)/'Customer Profiles'!$M$10&lt;=10,_xlfn.MAXIFS(Transactions[Transaction Amount], Transactions[CustomerID],A430)/'Customer Profiles'!$M$10,10)</f>
        <v>0.43759904264163685</v>
      </c>
      <c r="F430" s="1">
        <f t="shared" si="25"/>
        <v>6</v>
      </c>
      <c r="G430" s="1">
        <f t="shared" si="26"/>
        <v>0.2</v>
      </c>
      <c r="H430" s="1">
        <f t="shared" si="27"/>
        <v>1</v>
      </c>
    </row>
    <row r="431" spans="1:8">
      <c r="A431" s="1">
        <v>283</v>
      </c>
      <c r="B431" s="8">
        <f>_xlfn.MAXIFS(Transactions[Transaction Date], Transactions[CustomerID],A431)</f>
        <v>43001</v>
      </c>
      <c r="C431" s="1">
        <f t="shared" si="24"/>
        <v>5</v>
      </c>
      <c r="D431" s="1">
        <f>COUNTIF(Transactions[CustomerID],"="&amp;A431)</f>
        <v>1</v>
      </c>
      <c r="E431" s="9">
        <f>IF(_xlfn.MAXIFS(Transactions[Transaction Amount], Transactions[CustomerID],A431)/'Customer Profiles'!$M$10&lt;=10,_xlfn.MAXIFS(Transactions[Transaction Amount], Transactions[CustomerID],A431)/'Customer Profiles'!$M$10,10)</f>
        <v>1.6613563504433275</v>
      </c>
      <c r="F431" s="1">
        <f t="shared" si="25"/>
        <v>5</v>
      </c>
      <c r="G431" s="1">
        <f t="shared" si="26"/>
        <v>0.2</v>
      </c>
      <c r="H431" s="1">
        <f t="shared" si="27"/>
        <v>1</v>
      </c>
    </row>
    <row r="432" spans="1:8">
      <c r="A432" s="1">
        <v>325</v>
      </c>
      <c r="B432" s="8">
        <f>_xlfn.MAXIFS(Transactions[Transaction Date], Transactions[CustomerID],A432)</f>
        <v>42742</v>
      </c>
      <c r="C432" s="1">
        <f t="shared" si="24"/>
        <v>1</v>
      </c>
      <c r="D432" s="1">
        <f>COUNTIF(Transactions[CustomerID],"="&amp;A432)</f>
        <v>1</v>
      </c>
      <c r="E432" s="9">
        <f>IF(_xlfn.MAXIFS(Transactions[Transaction Amount], Transactions[CustomerID],A432)/'Customer Profiles'!$M$10&lt;=10,_xlfn.MAXIFS(Transactions[Transaction Amount], Transactions[CustomerID],A432)/'Customer Profiles'!$M$10,10)</f>
        <v>6.8196976187874458E-2</v>
      </c>
      <c r="F432" s="1">
        <f t="shared" si="25"/>
        <v>1</v>
      </c>
      <c r="G432" s="1">
        <f t="shared" si="26"/>
        <v>0.2</v>
      </c>
      <c r="H432" s="1">
        <f t="shared" si="27"/>
        <v>1</v>
      </c>
    </row>
    <row r="433" spans="1:8">
      <c r="A433" s="1">
        <v>542</v>
      </c>
      <c r="B433" s="8">
        <f>_xlfn.MAXIFS(Transactions[Transaction Date], Transactions[CustomerID],A433)</f>
        <v>43381</v>
      </c>
      <c r="C433" s="1">
        <f t="shared" si="24"/>
        <v>4</v>
      </c>
      <c r="D433" s="1">
        <f>COUNTIF(Transactions[CustomerID],"="&amp;A433)</f>
        <v>1</v>
      </c>
      <c r="E433" s="9">
        <f>IF(_xlfn.MAXIFS(Transactions[Transaction Amount], Transactions[CustomerID],A433)/'Customer Profiles'!$M$10&lt;=10,_xlfn.MAXIFS(Transactions[Transaction Amount], Transactions[CustomerID],A433)/'Customer Profiles'!$M$10,10)</f>
        <v>0.93784269205969628</v>
      </c>
      <c r="F433" s="1">
        <f t="shared" si="25"/>
        <v>4</v>
      </c>
      <c r="G433" s="1">
        <f t="shared" si="26"/>
        <v>0.2</v>
      </c>
      <c r="H433" s="1">
        <f t="shared" si="27"/>
        <v>1</v>
      </c>
    </row>
    <row r="434" spans="1:8">
      <c r="A434" s="1">
        <v>590</v>
      </c>
      <c r="B434" s="8">
        <f>_xlfn.MAXIFS(Transactions[Transaction Date], Transactions[CustomerID],A434)</f>
        <v>43435</v>
      </c>
      <c r="C434" s="1">
        <f t="shared" si="24"/>
        <v>3</v>
      </c>
      <c r="D434" s="1">
        <f>COUNTIF(Transactions[CustomerID],"="&amp;A434)</f>
        <v>1</v>
      </c>
      <c r="E434" s="9">
        <f>IF(_xlfn.MAXIFS(Transactions[Transaction Amount], Transactions[CustomerID],A434)/'Customer Profiles'!$M$10&lt;=10,_xlfn.MAXIFS(Transactions[Transaction Amount], Transactions[CustomerID],A434)/'Customer Profiles'!$M$10,10)</f>
        <v>0.52100792970134602</v>
      </c>
      <c r="F434" s="1">
        <f t="shared" si="25"/>
        <v>3</v>
      </c>
      <c r="G434" s="1">
        <f t="shared" si="26"/>
        <v>0.2</v>
      </c>
      <c r="H434" s="1">
        <f t="shared" si="27"/>
        <v>1</v>
      </c>
    </row>
    <row r="435" spans="1:8">
      <c r="A435" s="1">
        <v>117</v>
      </c>
      <c r="B435" s="8">
        <f>_xlfn.MAXIFS(Transactions[Transaction Date], Transactions[CustomerID],A435)</f>
        <v>43306</v>
      </c>
      <c r="C435" s="1">
        <f t="shared" si="24"/>
        <v>7</v>
      </c>
      <c r="D435" s="1">
        <f>COUNTIF(Transactions[CustomerID],"="&amp;A435)</f>
        <v>1</v>
      </c>
      <c r="E435" s="9">
        <f>IF(_xlfn.MAXIFS(Transactions[Transaction Amount], Transactions[CustomerID],A435)/'Customer Profiles'!$M$10&lt;=10,_xlfn.MAXIFS(Transactions[Transaction Amount], Transactions[CustomerID],A435)/'Customer Profiles'!$M$10,10)</f>
        <v>1.1643241114253502</v>
      </c>
      <c r="F435" s="1">
        <f t="shared" si="25"/>
        <v>7</v>
      </c>
      <c r="G435" s="1">
        <f t="shared" si="26"/>
        <v>0.2</v>
      </c>
      <c r="H435" s="1">
        <f t="shared" si="27"/>
        <v>1</v>
      </c>
    </row>
    <row r="436" spans="1:8">
      <c r="A436" s="1">
        <v>505</v>
      </c>
      <c r="B436" s="8">
        <f>_xlfn.MAXIFS(Transactions[Transaction Date], Transactions[CustomerID],A436)</f>
        <v>43349</v>
      </c>
      <c r="C436" s="1">
        <f t="shared" si="24"/>
        <v>5</v>
      </c>
      <c r="D436" s="1">
        <f>COUNTIF(Transactions[CustomerID],"="&amp;A436)</f>
        <v>1</v>
      </c>
      <c r="E436" s="9">
        <f>IF(_xlfn.MAXIFS(Transactions[Transaction Amount], Transactions[CustomerID],A436)/'Customer Profiles'!$M$10&lt;=10,_xlfn.MAXIFS(Transactions[Transaction Amount], Transactions[CustomerID],A436)/'Customer Profiles'!$M$10,10)</f>
        <v>5.5701023417134336E-2</v>
      </c>
      <c r="F436" s="1">
        <f t="shared" si="25"/>
        <v>5</v>
      </c>
      <c r="G436" s="1">
        <f t="shared" si="26"/>
        <v>0.2</v>
      </c>
      <c r="H436" s="1">
        <f t="shared" si="27"/>
        <v>1</v>
      </c>
    </row>
    <row r="437" spans="1:8">
      <c r="A437" s="1">
        <v>34</v>
      </c>
      <c r="B437" s="8">
        <f>_xlfn.MAXIFS(Transactions[Transaction Date], Transactions[CustomerID],A437)</f>
        <v>43440</v>
      </c>
      <c r="C437" s="1">
        <f t="shared" si="24"/>
        <v>2</v>
      </c>
      <c r="D437" s="1">
        <f>COUNTIF(Transactions[CustomerID],"="&amp;A437)</f>
        <v>3</v>
      </c>
      <c r="E437" s="9">
        <f>IF(_xlfn.MAXIFS(Transactions[Transaction Amount], Transactions[CustomerID],A437)/'Customer Profiles'!$M$10&lt;=10,_xlfn.MAXIFS(Transactions[Transaction Amount], Transactions[CustomerID],A437)/'Customer Profiles'!$M$10,10)</f>
        <v>1.4653187421472489</v>
      </c>
      <c r="F437" s="1">
        <f t="shared" si="25"/>
        <v>2</v>
      </c>
      <c r="G437" s="1">
        <f t="shared" si="26"/>
        <v>0.6</v>
      </c>
      <c r="H437" s="1">
        <f t="shared" si="27"/>
        <v>1</v>
      </c>
    </row>
    <row r="438" spans="1:8">
      <c r="A438" s="1">
        <v>480</v>
      </c>
      <c r="B438" s="8">
        <f>_xlfn.MAXIFS(Transactions[Transaction Date], Transactions[CustomerID],A438)</f>
        <v>43309</v>
      </c>
      <c r="C438" s="1">
        <f t="shared" si="24"/>
        <v>7</v>
      </c>
      <c r="D438" s="1">
        <f>COUNTIF(Transactions[CustomerID],"="&amp;A438)</f>
        <v>1</v>
      </c>
      <c r="E438" s="9">
        <f>IF(_xlfn.MAXIFS(Transactions[Transaction Amount], Transactions[CustomerID],A438)/'Customer Profiles'!$M$10&lt;=10,_xlfn.MAXIFS(Transactions[Transaction Amount], Transactions[CustomerID],A438)/'Customer Profiles'!$M$10,10)</f>
        <v>1.0486975653673449</v>
      </c>
      <c r="F438" s="1">
        <f t="shared" si="25"/>
        <v>7</v>
      </c>
      <c r="G438" s="1">
        <f t="shared" si="26"/>
        <v>0.2</v>
      </c>
      <c r="H438" s="1">
        <f t="shared" si="27"/>
        <v>1</v>
      </c>
    </row>
    <row r="439" spans="1:8">
      <c r="A439" s="1">
        <v>311</v>
      </c>
      <c r="B439" s="8">
        <f>_xlfn.MAXIFS(Transactions[Transaction Date], Transactions[CustomerID],A439)</f>
        <v>43132</v>
      </c>
      <c r="C439" s="1">
        <f t="shared" si="24"/>
        <v>1</v>
      </c>
      <c r="D439" s="1">
        <f>COUNTIF(Transactions[CustomerID],"="&amp;A439)</f>
        <v>1</v>
      </c>
      <c r="E439" s="9">
        <f>IF(_xlfn.MAXIFS(Transactions[Transaction Amount], Transactions[CustomerID],A439)/'Customer Profiles'!$M$10&lt;=10,_xlfn.MAXIFS(Transactions[Transaction Amount], Transactions[CustomerID],A439)/'Customer Profiles'!$M$10,10)</f>
        <v>0.11027201014877301</v>
      </c>
      <c r="F439" s="1">
        <f t="shared" si="25"/>
        <v>1</v>
      </c>
      <c r="G439" s="1">
        <f t="shared" si="26"/>
        <v>0.2</v>
      </c>
      <c r="H439" s="1">
        <f t="shared" si="27"/>
        <v>1</v>
      </c>
    </row>
    <row r="440" spans="1:8">
      <c r="A440" s="1">
        <v>36</v>
      </c>
      <c r="B440" s="8">
        <f>_xlfn.MAXIFS(Transactions[Transaction Date], Transactions[CustomerID],A440)</f>
        <v>43302</v>
      </c>
      <c r="C440" s="1">
        <f t="shared" si="24"/>
        <v>7</v>
      </c>
      <c r="D440" s="1">
        <f>COUNTIF(Transactions[CustomerID],"="&amp;A440)</f>
        <v>2</v>
      </c>
      <c r="E440" s="9">
        <f>IF(_xlfn.MAXIFS(Transactions[Transaction Amount], Transactions[CustomerID],A440)/'Customer Profiles'!$M$10&lt;=10,_xlfn.MAXIFS(Transactions[Transaction Amount], Transactions[CustomerID],A440)/'Customer Profiles'!$M$10,10)</f>
        <v>1.404717263505276</v>
      </c>
      <c r="F440" s="1">
        <f t="shared" si="25"/>
        <v>7</v>
      </c>
      <c r="G440" s="1">
        <f t="shared" si="26"/>
        <v>0.4</v>
      </c>
      <c r="H440" s="1">
        <f t="shared" si="27"/>
        <v>1</v>
      </c>
    </row>
    <row r="441" spans="1:8">
      <c r="A441" s="1">
        <v>463</v>
      </c>
      <c r="B441" s="8">
        <f>_xlfn.MAXIFS(Transactions[Transaction Date], Transactions[CustomerID],A441)</f>
        <v>43269</v>
      </c>
      <c r="C441" s="1">
        <f t="shared" si="24"/>
        <v>8</v>
      </c>
      <c r="D441" s="1">
        <f>COUNTIF(Transactions[CustomerID],"="&amp;A441)</f>
        <v>1</v>
      </c>
      <c r="E441" s="9">
        <f>IF(_xlfn.MAXIFS(Transactions[Transaction Amount], Transactions[CustomerID],A441)/'Customer Profiles'!$M$10&lt;=10,_xlfn.MAXIFS(Transactions[Transaction Amount], Transactions[CustomerID],A441)/'Customer Profiles'!$M$10,10)</f>
        <v>3.2350072955356861</v>
      </c>
      <c r="F441" s="1">
        <f t="shared" si="25"/>
        <v>8</v>
      </c>
      <c r="G441" s="1">
        <f t="shared" si="26"/>
        <v>0.2</v>
      </c>
      <c r="H441" s="1">
        <f t="shared" si="27"/>
        <v>1</v>
      </c>
    </row>
    <row r="442" spans="1:8">
      <c r="A442" s="1">
        <v>230</v>
      </c>
      <c r="B442" s="8">
        <f>_xlfn.MAXIFS(Transactions[Transaction Date], Transactions[CustomerID],A442)</f>
        <v>43015</v>
      </c>
      <c r="C442" s="1">
        <f t="shared" si="24"/>
        <v>4</v>
      </c>
      <c r="D442" s="1">
        <f>COUNTIF(Transactions[CustomerID],"="&amp;A442)</f>
        <v>2</v>
      </c>
      <c r="E442" s="9">
        <f>IF(_xlfn.MAXIFS(Transactions[Transaction Amount], Transactions[CustomerID],A442)/'Customer Profiles'!$M$10&lt;=10,_xlfn.MAXIFS(Transactions[Transaction Amount], Transactions[CustomerID],A442)/'Customer Profiles'!$M$10,10)</f>
        <v>1.0837945229648971</v>
      </c>
      <c r="F442" s="1">
        <f t="shared" si="25"/>
        <v>4</v>
      </c>
      <c r="G442" s="1">
        <f t="shared" si="26"/>
        <v>0.4</v>
      </c>
      <c r="H442" s="1">
        <f t="shared" si="27"/>
        <v>1</v>
      </c>
    </row>
    <row r="443" spans="1:8">
      <c r="A443" s="1">
        <v>350</v>
      </c>
      <c r="B443" s="8">
        <f>_xlfn.MAXIFS(Transactions[Transaction Date], Transactions[CustomerID],A443)</f>
        <v>43250</v>
      </c>
      <c r="C443" s="1">
        <f t="shared" si="24"/>
        <v>9</v>
      </c>
      <c r="D443" s="1">
        <f>COUNTIF(Transactions[CustomerID],"="&amp;A443)</f>
        <v>1</v>
      </c>
      <c r="E443" s="9">
        <f>IF(_xlfn.MAXIFS(Transactions[Transaction Amount], Transactions[CustomerID],A443)/'Customer Profiles'!$M$10&lt;=10,_xlfn.MAXIFS(Transactions[Transaction Amount], Transactions[CustomerID],A443)/'Customer Profiles'!$M$10,10)</f>
        <v>0.10796028850768485</v>
      </c>
      <c r="F443" s="1">
        <f t="shared" si="25"/>
        <v>9</v>
      </c>
      <c r="G443" s="1">
        <f t="shared" si="26"/>
        <v>0.2</v>
      </c>
      <c r="H443" s="1">
        <f t="shared" si="27"/>
        <v>1</v>
      </c>
    </row>
    <row r="444" spans="1:8">
      <c r="A444" s="1">
        <v>192</v>
      </c>
      <c r="B444" s="8">
        <f>_xlfn.MAXIFS(Transactions[Transaction Date], Transactions[CustomerID],A444)</f>
        <v>43048</v>
      </c>
      <c r="C444" s="1">
        <f t="shared" si="24"/>
        <v>3</v>
      </c>
      <c r="D444" s="1">
        <f>COUNTIF(Transactions[CustomerID],"="&amp;A444)</f>
        <v>1</v>
      </c>
      <c r="E444" s="9">
        <f>IF(_xlfn.MAXIFS(Transactions[Transaction Amount], Transactions[CustomerID],A444)/'Customer Profiles'!$M$10&lt;=10,_xlfn.MAXIFS(Transactions[Transaction Amount], Transactions[CustomerID],A444)/'Customer Profiles'!$M$10,10)</f>
        <v>0.12329447701815562</v>
      </c>
      <c r="F444" s="1">
        <f t="shared" si="25"/>
        <v>3</v>
      </c>
      <c r="G444" s="1">
        <f t="shared" si="26"/>
        <v>0.2</v>
      </c>
      <c r="H444" s="1">
        <f t="shared" si="27"/>
        <v>1</v>
      </c>
    </row>
    <row r="445" spans="1:8">
      <c r="A445" s="1">
        <v>587</v>
      </c>
      <c r="B445" s="8">
        <f>_xlfn.MAXIFS(Transactions[Transaction Date], Transactions[CustomerID],A445)</f>
        <v>43439</v>
      </c>
      <c r="C445" s="1">
        <f t="shared" si="24"/>
        <v>2</v>
      </c>
      <c r="D445" s="1">
        <f>COUNTIF(Transactions[CustomerID],"="&amp;A445)</f>
        <v>2</v>
      </c>
      <c r="E445" s="9">
        <f>IF(_xlfn.MAXIFS(Transactions[Transaction Amount], Transactions[CustomerID],A445)/'Customer Profiles'!$M$10&lt;=10,_xlfn.MAXIFS(Transactions[Transaction Amount], Transactions[CustomerID],A445)/'Customer Profiles'!$M$10,10)</f>
        <v>0.79418786585905232</v>
      </c>
      <c r="F445" s="1">
        <f t="shared" si="25"/>
        <v>2</v>
      </c>
      <c r="G445" s="1">
        <f t="shared" si="26"/>
        <v>0.4</v>
      </c>
      <c r="H445" s="1">
        <f t="shared" si="27"/>
        <v>1</v>
      </c>
    </row>
    <row r="446" spans="1:8">
      <c r="A446" s="1">
        <v>307</v>
      </c>
      <c r="B446" s="8">
        <f>_xlfn.MAXIFS(Transactions[Transaction Date], Transactions[CustomerID],A446)</f>
        <v>43216</v>
      </c>
      <c r="C446" s="1">
        <f t="shared" si="24"/>
        <v>10</v>
      </c>
      <c r="D446" s="1">
        <f>COUNTIF(Transactions[CustomerID],"="&amp;A446)</f>
        <v>1</v>
      </c>
      <c r="E446" s="9">
        <f>IF(_xlfn.MAXIFS(Transactions[Transaction Amount], Transactions[CustomerID],A446)/'Customer Profiles'!$M$10&lt;=10,_xlfn.MAXIFS(Transactions[Transaction Amount], Transactions[CustomerID],A446)/'Customer Profiles'!$M$10,10)</f>
        <v>0.23360231648138879</v>
      </c>
      <c r="F446" s="1">
        <f t="shared" si="25"/>
        <v>10</v>
      </c>
      <c r="G446" s="1">
        <f t="shared" si="26"/>
        <v>0.2</v>
      </c>
      <c r="H446" s="1">
        <f t="shared" si="27"/>
        <v>1</v>
      </c>
    </row>
    <row r="447" spans="1:8">
      <c r="A447" s="1">
        <v>499</v>
      </c>
      <c r="B447" s="8">
        <f>_xlfn.MAXIFS(Transactions[Transaction Date], Transactions[CustomerID],A447)</f>
        <v>43476</v>
      </c>
      <c r="C447" s="1">
        <f t="shared" si="24"/>
        <v>1</v>
      </c>
      <c r="D447" s="1">
        <f>COUNTIF(Transactions[CustomerID],"="&amp;A447)</f>
        <v>5</v>
      </c>
      <c r="E447" s="9">
        <f>IF(_xlfn.MAXIFS(Transactions[Transaction Amount], Transactions[CustomerID],A447)/'Customer Profiles'!$M$10&lt;=10,_xlfn.MAXIFS(Transactions[Transaction Amount], Transactions[CustomerID],A447)/'Customer Profiles'!$M$10,10)</f>
        <v>2.4720697095822395</v>
      </c>
      <c r="F447" s="1">
        <f t="shared" si="25"/>
        <v>1</v>
      </c>
      <c r="G447" s="1">
        <f t="shared" si="26"/>
        <v>1</v>
      </c>
      <c r="H447" s="1">
        <f t="shared" si="27"/>
        <v>1</v>
      </c>
    </row>
    <row r="448" spans="1:8">
      <c r="A448" s="1">
        <v>569</v>
      </c>
      <c r="B448" s="8">
        <f>_xlfn.MAXIFS(Transactions[Transaction Date], Transactions[CustomerID],A448)</f>
        <v>43245</v>
      </c>
      <c r="C448" s="1">
        <f t="shared" si="24"/>
        <v>9</v>
      </c>
      <c r="D448" s="1">
        <f>COUNTIF(Transactions[CustomerID],"="&amp;A448)</f>
        <v>1</v>
      </c>
      <c r="E448" s="9">
        <f>IF(_xlfn.MAXIFS(Transactions[Transaction Amount], Transactions[CustomerID],A448)/'Customer Profiles'!$M$10&lt;=10,_xlfn.MAXIFS(Transactions[Transaction Amount], Transactions[CustomerID],A448)/'Customer Profiles'!$M$10,10)</f>
        <v>1.7305605946675338</v>
      </c>
      <c r="F448" s="1">
        <f t="shared" si="25"/>
        <v>9</v>
      </c>
      <c r="G448" s="1">
        <f t="shared" si="26"/>
        <v>0.2</v>
      </c>
      <c r="H448" s="1">
        <f t="shared" si="27"/>
        <v>1</v>
      </c>
    </row>
    <row r="449" spans="1:8">
      <c r="A449" s="1">
        <v>555</v>
      </c>
      <c r="B449" s="8">
        <f>_xlfn.MAXIFS(Transactions[Transaction Date], Transactions[CustomerID],A449)</f>
        <v>42920</v>
      </c>
      <c r="C449" s="1">
        <f t="shared" si="24"/>
        <v>7</v>
      </c>
      <c r="D449" s="1">
        <f>COUNTIF(Transactions[CustomerID],"="&amp;A449)</f>
        <v>1</v>
      </c>
      <c r="E449" s="9">
        <f>IF(_xlfn.MAXIFS(Transactions[Transaction Amount], Transactions[CustomerID],A449)/'Customer Profiles'!$M$10&lt;=10,_xlfn.MAXIFS(Transactions[Transaction Amount], Transactions[CustomerID],A449)/'Customer Profiles'!$M$10,10)</f>
        <v>0.72754079967558993</v>
      </c>
      <c r="F449" s="1">
        <f t="shared" si="25"/>
        <v>7</v>
      </c>
      <c r="G449" s="1">
        <f t="shared" si="26"/>
        <v>0.2</v>
      </c>
      <c r="H449" s="1">
        <f t="shared" si="27"/>
        <v>1</v>
      </c>
    </row>
    <row r="450" spans="1:8">
      <c r="A450" s="1">
        <v>351</v>
      </c>
      <c r="B450" s="8">
        <f>_xlfn.MAXIFS(Transactions[Transaction Date], Transactions[CustomerID],A450)</f>
        <v>43082</v>
      </c>
      <c r="C450" s="1">
        <f t="shared" si="24"/>
        <v>2</v>
      </c>
      <c r="D450" s="1">
        <f>COUNTIF(Transactions[CustomerID],"="&amp;A450)</f>
        <v>1</v>
      </c>
      <c r="E450" s="9">
        <f>IF(_xlfn.MAXIFS(Transactions[Transaction Amount], Transactions[CustomerID],A450)/'Customer Profiles'!$M$10&lt;=10,_xlfn.MAXIFS(Transactions[Transaction Amount], Transactions[CustomerID],A450)/'Customer Profiles'!$M$10,10)</f>
        <v>0.83308429315371613</v>
      </c>
      <c r="F450" s="1">
        <f t="shared" si="25"/>
        <v>2</v>
      </c>
      <c r="G450" s="1">
        <f t="shared" si="26"/>
        <v>0.2</v>
      </c>
      <c r="H450" s="1">
        <f t="shared" si="27"/>
        <v>1</v>
      </c>
    </row>
    <row r="451" spans="1:8">
      <c r="A451" s="1">
        <v>58</v>
      </c>
      <c r="B451" s="8">
        <f>_xlfn.MAXIFS(Transactions[Transaction Date], Transactions[CustomerID],A451)</f>
        <v>43335</v>
      </c>
      <c r="C451" s="1">
        <f t="shared" si="24"/>
        <v>6</v>
      </c>
      <c r="D451" s="1">
        <f>COUNTIF(Transactions[CustomerID],"="&amp;A451)</f>
        <v>1</v>
      </c>
      <c r="E451" s="9">
        <f>IF(_xlfn.MAXIFS(Transactions[Transaction Amount], Transactions[CustomerID],A451)/'Customer Profiles'!$M$10&lt;=10,_xlfn.MAXIFS(Transactions[Transaction Amount], Transactions[CustomerID],A451)/'Customer Profiles'!$M$10,10)</f>
        <v>1.7870283581549964</v>
      </c>
      <c r="F451" s="1">
        <f t="shared" si="25"/>
        <v>6</v>
      </c>
      <c r="G451" s="1">
        <f t="shared" si="26"/>
        <v>0.2</v>
      </c>
      <c r="H451" s="1">
        <f t="shared" si="27"/>
        <v>1</v>
      </c>
    </row>
    <row r="452" spans="1:8">
      <c r="A452" s="1">
        <v>374</v>
      </c>
      <c r="B452" s="8">
        <f>_xlfn.MAXIFS(Transactions[Transaction Date], Transactions[CustomerID],A452)</f>
        <v>43346</v>
      </c>
      <c r="C452" s="1">
        <f t="shared" si="24"/>
        <v>5</v>
      </c>
      <c r="D452" s="1">
        <f>COUNTIF(Transactions[CustomerID],"="&amp;A452)</f>
        <v>3</v>
      </c>
      <c r="E452" s="9">
        <f>IF(_xlfn.MAXIFS(Transactions[Transaction Amount], Transactions[CustomerID],A452)/'Customer Profiles'!$M$10&lt;=10,_xlfn.MAXIFS(Transactions[Transaction Amount], Transactions[CustomerID],A452)/'Customer Profiles'!$M$10,10)</f>
        <v>1.0968640313021307</v>
      </c>
      <c r="F452" s="1">
        <f t="shared" si="25"/>
        <v>5</v>
      </c>
      <c r="G452" s="1">
        <f t="shared" si="26"/>
        <v>0.6</v>
      </c>
      <c r="H452" s="1">
        <f t="shared" si="27"/>
        <v>1</v>
      </c>
    </row>
    <row r="453" spans="1:8">
      <c r="A453" s="1">
        <v>578</v>
      </c>
      <c r="B453" s="8">
        <f>_xlfn.MAXIFS(Transactions[Transaction Date], Transactions[CustomerID],A453)</f>
        <v>43243</v>
      </c>
      <c r="C453" s="1">
        <f t="shared" si="24"/>
        <v>9</v>
      </c>
      <c r="D453" s="1">
        <f>COUNTIF(Transactions[CustomerID],"="&amp;A453)</f>
        <v>2</v>
      </c>
      <c r="E453" s="9">
        <f>IF(_xlfn.MAXIFS(Transactions[Transaction Amount], Transactions[CustomerID],A453)/'Customer Profiles'!$M$10&lt;=10,_xlfn.MAXIFS(Transactions[Transaction Amount], Transactions[CustomerID],A453)/'Customer Profiles'!$M$10,10)</f>
        <v>0.10645329260503883</v>
      </c>
      <c r="F453" s="1">
        <f t="shared" si="25"/>
        <v>9</v>
      </c>
      <c r="G453" s="1">
        <f t="shared" si="26"/>
        <v>0.4</v>
      </c>
      <c r="H453" s="1">
        <f t="shared" si="27"/>
        <v>1</v>
      </c>
    </row>
    <row r="454" spans="1:8">
      <c r="A454" s="1">
        <v>2</v>
      </c>
      <c r="B454" s="8">
        <f>_xlfn.MAXIFS(Transactions[Transaction Date], Transactions[CustomerID],A454)</f>
        <v>42834</v>
      </c>
      <c r="C454" s="1">
        <f t="shared" ref="C454:C517" si="28">(MAX(DATEDIF(B454,"03/01/2019","ym"),1))</f>
        <v>10</v>
      </c>
      <c r="D454" s="1">
        <f>COUNTIF(Transactions[CustomerID],"="&amp;A454)</f>
        <v>1</v>
      </c>
      <c r="E454" s="9">
        <f>IF(_xlfn.MAXIFS(Transactions[Transaction Amount], Transactions[CustomerID],A454)/'Customer Profiles'!$M$10&lt;=10,_xlfn.MAXIFS(Transactions[Transaction Amount], Transactions[CustomerID],A454)/'Customer Profiles'!$M$10,10)</f>
        <v>9.2685101369389733E-2</v>
      </c>
      <c r="F454" s="1">
        <f t="shared" ref="F454:F517" si="29">IF(ROUND(C454,2)&lt;=10,ROUND(C454,2),10)</f>
        <v>10</v>
      </c>
      <c r="G454" s="1">
        <f t="shared" ref="G454:G517" si="30">IF(ROUND(D454/$M$6,2)&lt;=10,ROUND(D454/$M$6,2),10)</f>
        <v>0.2</v>
      </c>
      <c r="H454" s="1">
        <f t="shared" ref="H454:H517" si="31">IF(ROUND(E454*$K$8+F454*$K$6+G454*$K$7,2)&lt;1,1,ROUND(E454*$K$8+F454*$K$6+G454*$K$7,2))</f>
        <v>1</v>
      </c>
    </row>
    <row r="455" spans="1:8">
      <c r="A455" s="1">
        <v>249</v>
      </c>
      <c r="B455" s="8">
        <f>_xlfn.MAXIFS(Transactions[Transaction Date], Transactions[CustomerID],A455)</f>
        <v>43171</v>
      </c>
      <c r="C455" s="1">
        <f t="shared" si="28"/>
        <v>11</v>
      </c>
      <c r="D455" s="1">
        <f>COUNTIF(Transactions[CustomerID],"="&amp;A455)</f>
        <v>1</v>
      </c>
      <c r="E455" s="9">
        <f>IF(_xlfn.MAXIFS(Transactions[Transaction Amount], Transactions[CustomerID],A455)/'Customer Profiles'!$M$10&lt;=10,_xlfn.MAXIFS(Transactions[Transaction Amount], Transactions[CustomerID],A455)/'Customer Profiles'!$M$10,10)</f>
        <v>0.58734003628190212</v>
      </c>
      <c r="F455" s="1">
        <f t="shared" si="29"/>
        <v>10</v>
      </c>
      <c r="G455" s="1">
        <f t="shared" si="30"/>
        <v>0.2</v>
      </c>
      <c r="H455" s="1">
        <f t="shared" si="31"/>
        <v>1</v>
      </c>
    </row>
    <row r="456" spans="1:8">
      <c r="A456" s="1">
        <v>262</v>
      </c>
      <c r="B456" s="8">
        <f>_xlfn.MAXIFS(Transactions[Transaction Date], Transactions[CustomerID],A456)</f>
        <v>43360</v>
      </c>
      <c r="C456" s="1">
        <f t="shared" si="28"/>
        <v>5</v>
      </c>
      <c r="D456" s="1">
        <f>COUNTIF(Transactions[CustomerID],"="&amp;A456)</f>
        <v>1</v>
      </c>
      <c r="E456" s="9">
        <f>IF(_xlfn.MAXIFS(Transactions[Transaction Amount], Transactions[CustomerID],A456)/'Customer Profiles'!$M$10&lt;=10,_xlfn.MAXIFS(Transactions[Transaction Amount], Transactions[CustomerID],A456)/'Customer Profiles'!$M$10,10)</f>
        <v>8.4156973601903329E-2</v>
      </c>
      <c r="F456" s="1">
        <f t="shared" si="29"/>
        <v>5</v>
      </c>
      <c r="G456" s="1">
        <f t="shared" si="30"/>
        <v>0.2</v>
      </c>
      <c r="H456" s="1">
        <f t="shared" si="31"/>
        <v>1</v>
      </c>
    </row>
    <row r="457" spans="1:8">
      <c r="A457" s="1">
        <v>475</v>
      </c>
      <c r="B457" s="8">
        <f>_xlfn.MAXIFS(Transactions[Transaction Date], Transactions[CustomerID],A457)</f>
        <v>42956</v>
      </c>
      <c r="C457" s="1">
        <f t="shared" si="28"/>
        <v>6</v>
      </c>
      <c r="D457" s="1">
        <f>COUNTIF(Transactions[CustomerID],"="&amp;A457)</f>
        <v>1</v>
      </c>
      <c r="E457" s="9">
        <f>IF(_xlfn.MAXIFS(Transactions[Transaction Amount], Transactions[CustomerID],A457)/'Customer Profiles'!$M$10&lt;=10,_xlfn.MAXIFS(Transactions[Transaction Amount], Transactions[CustomerID],A457)/'Customer Profiles'!$M$10,10)</f>
        <v>0.52903718711691072</v>
      </c>
      <c r="F457" s="1">
        <f t="shared" si="29"/>
        <v>6</v>
      </c>
      <c r="G457" s="1">
        <f t="shared" si="30"/>
        <v>0.2</v>
      </c>
      <c r="H457" s="1">
        <f t="shared" si="31"/>
        <v>1</v>
      </c>
    </row>
    <row r="458" spans="1:8">
      <c r="A458" s="1">
        <v>461</v>
      </c>
      <c r="B458" s="8">
        <f>_xlfn.MAXIFS(Transactions[Transaction Date], Transactions[CustomerID],A458)</f>
        <v>43385</v>
      </c>
      <c r="C458" s="1">
        <f t="shared" si="28"/>
        <v>4</v>
      </c>
      <c r="D458" s="1">
        <f>COUNTIF(Transactions[CustomerID],"="&amp;A458)</f>
        <v>1</v>
      </c>
      <c r="E458" s="9">
        <f>IF(_xlfn.MAXIFS(Transactions[Transaction Amount], Transactions[CustomerID],A458)/'Customer Profiles'!$M$10&lt;=10,_xlfn.MAXIFS(Transactions[Transaction Amount], Transactions[CustomerID],A458)/'Customer Profiles'!$M$10,10)</f>
        <v>0.15288233941621773</v>
      </c>
      <c r="F458" s="1">
        <f t="shared" si="29"/>
        <v>4</v>
      </c>
      <c r="G458" s="1">
        <f t="shared" si="30"/>
        <v>0.2</v>
      </c>
      <c r="H458" s="1">
        <f t="shared" si="31"/>
        <v>1</v>
      </c>
    </row>
    <row r="459" spans="1:8">
      <c r="A459" s="1">
        <v>159</v>
      </c>
      <c r="B459" s="8">
        <f>_xlfn.MAXIFS(Transactions[Transaction Date], Transactions[CustomerID],A459)</f>
        <v>42978</v>
      </c>
      <c r="C459" s="1">
        <f t="shared" si="28"/>
        <v>6</v>
      </c>
      <c r="D459" s="1">
        <f>COUNTIF(Transactions[CustomerID],"="&amp;A459)</f>
        <v>1</v>
      </c>
      <c r="E459" s="9">
        <f>IF(_xlfn.MAXIFS(Transactions[Transaction Amount], Transactions[CustomerID],A459)/'Customer Profiles'!$M$10&lt;=10,_xlfn.MAXIFS(Transactions[Transaction Amount], Transactions[CustomerID],A459)/'Customer Profiles'!$M$10,10)</f>
        <v>1.0086398294491221</v>
      </c>
      <c r="F459" s="1">
        <f t="shared" si="29"/>
        <v>6</v>
      </c>
      <c r="G459" s="1">
        <f t="shared" si="30"/>
        <v>0.2</v>
      </c>
      <c r="H459" s="1">
        <f t="shared" si="31"/>
        <v>1</v>
      </c>
    </row>
    <row r="460" spans="1:8">
      <c r="A460" s="1">
        <v>339</v>
      </c>
      <c r="B460" s="8">
        <f>_xlfn.MAXIFS(Transactions[Transaction Date], Transactions[CustomerID],A460)</f>
        <v>43052</v>
      </c>
      <c r="C460" s="1">
        <f t="shared" si="28"/>
        <v>3</v>
      </c>
      <c r="D460" s="1">
        <f>COUNTIF(Transactions[CustomerID],"="&amp;A460)</f>
        <v>1</v>
      </c>
      <c r="E460" s="9">
        <f>IF(_xlfn.MAXIFS(Transactions[Transaction Amount], Transactions[CustomerID],A460)/'Customer Profiles'!$M$10&lt;=10,_xlfn.MAXIFS(Transactions[Transaction Amount], Transactions[CustomerID],A460)/'Customer Profiles'!$M$10,10)</f>
        <v>3.3068490227505292</v>
      </c>
      <c r="F460" s="1">
        <f t="shared" si="29"/>
        <v>3</v>
      </c>
      <c r="G460" s="1">
        <f t="shared" si="30"/>
        <v>0.2</v>
      </c>
      <c r="H460" s="1">
        <f t="shared" si="31"/>
        <v>1</v>
      </c>
    </row>
    <row r="461" spans="1:8">
      <c r="A461" s="1">
        <v>308</v>
      </c>
      <c r="B461" s="8">
        <f>_xlfn.MAXIFS(Transactions[Transaction Date], Transactions[CustomerID],A461)</f>
        <v>43266</v>
      </c>
      <c r="C461" s="1">
        <f t="shared" si="28"/>
        <v>8</v>
      </c>
      <c r="D461" s="1">
        <f>COUNTIF(Transactions[CustomerID],"="&amp;A461)</f>
        <v>1</v>
      </c>
      <c r="E461" s="9">
        <f>IF(_xlfn.MAXIFS(Transactions[Transaction Amount], Transactions[CustomerID],A461)/'Customer Profiles'!$M$10&lt;=10,_xlfn.MAXIFS(Transactions[Transaction Amount], Transactions[CustomerID],A461)/'Customer Profiles'!$M$10,10)</f>
        <v>0.16256004681549452</v>
      </c>
      <c r="F461" s="1">
        <f t="shared" si="29"/>
        <v>8</v>
      </c>
      <c r="G461" s="1">
        <f t="shared" si="30"/>
        <v>0.2</v>
      </c>
      <c r="H461" s="1">
        <f t="shared" si="31"/>
        <v>1</v>
      </c>
    </row>
    <row r="462" spans="1:8">
      <c r="A462" s="1">
        <v>69</v>
      </c>
      <c r="B462" s="8">
        <f>_xlfn.MAXIFS(Transactions[Transaction Date], Transactions[CustomerID],A462)</f>
        <v>43222</v>
      </c>
      <c r="C462" s="1">
        <f t="shared" si="28"/>
        <v>9</v>
      </c>
      <c r="D462" s="1">
        <f>COUNTIF(Transactions[CustomerID],"="&amp;A462)</f>
        <v>1</v>
      </c>
      <c r="E462" s="9">
        <f>IF(_xlfn.MAXIFS(Transactions[Transaction Amount], Transactions[CustomerID],A462)/'Customer Profiles'!$M$10&lt;=10,_xlfn.MAXIFS(Transactions[Transaction Amount], Transactions[CustomerID],A462)/'Customer Profiles'!$M$10,10)</f>
        <v>0.58365471082084508</v>
      </c>
      <c r="F462" s="1">
        <f t="shared" si="29"/>
        <v>9</v>
      </c>
      <c r="G462" s="1">
        <f t="shared" si="30"/>
        <v>0.2</v>
      </c>
      <c r="H462" s="1">
        <f t="shared" si="31"/>
        <v>1</v>
      </c>
    </row>
    <row r="463" spans="1:8">
      <c r="A463" s="1">
        <v>170</v>
      </c>
      <c r="B463" s="8">
        <f>_xlfn.MAXIFS(Transactions[Transaction Date], Transactions[CustomerID],A463)</f>
        <v>43341</v>
      </c>
      <c r="C463" s="1">
        <f t="shared" si="28"/>
        <v>6</v>
      </c>
      <c r="D463" s="1">
        <f>COUNTIF(Transactions[CustomerID],"="&amp;A463)</f>
        <v>1</v>
      </c>
      <c r="E463" s="9">
        <f>IF(_xlfn.MAXIFS(Transactions[Transaction Amount], Transactions[CustomerID],A463)/'Customer Profiles'!$M$10&lt;=10,_xlfn.MAXIFS(Transactions[Transaction Amount], Transactions[CustomerID],A463)/'Customer Profiles'!$M$10,10)</f>
        <v>0.51875292689750052</v>
      </c>
      <c r="F463" s="1">
        <f t="shared" si="29"/>
        <v>6</v>
      </c>
      <c r="G463" s="1">
        <f t="shared" si="30"/>
        <v>0.2</v>
      </c>
      <c r="H463" s="1">
        <f t="shared" si="31"/>
        <v>1</v>
      </c>
    </row>
    <row r="464" spans="1:8">
      <c r="A464" s="1">
        <v>181</v>
      </c>
      <c r="B464" s="8">
        <f>_xlfn.MAXIFS(Transactions[Transaction Date], Transactions[CustomerID],A464)</f>
        <v>43469</v>
      </c>
      <c r="C464" s="1">
        <f t="shared" si="28"/>
        <v>1</v>
      </c>
      <c r="D464" s="1">
        <f>COUNTIF(Transactions[CustomerID],"="&amp;A464)</f>
        <v>2</v>
      </c>
      <c r="E464" s="9">
        <f>IF(_xlfn.MAXIFS(Transactions[Transaction Amount], Transactions[CustomerID],A464)/'Customer Profiles'!$M$10&lt;=10,_xlfn.MAXIFS(Transactions[Transaction Amount], Transactions[CustomerID],A464)/'Customer Profiles'!$M$10,10)</f>
        <v>0.67592136237915457</v>
      </c>
      <c r="F464" s="1">
        <f t="shared" si="29"/>
        <v>1</v>
      </c>
      <c r="G464" s="1">
        <f t="shared" si="30"/>
        <v>0.4</v>
      </c>
      <c r="H464" s="1">
        <f t="shared" si="31"/>
        <v>1</v>
      </c>
    </row>
    <row r="465" spans="1:8">
      <c r="A465" s="1">
        <v>528</v>
      </c>
      <c r="B465" s="8">
        <f>_xlfn.MAXIFS(Transactions[Transaction Date], Transactions[CustomerID],A465)</f>
        <v>43286</v>
      </c>
      <c r="C465" s="1">
        <f t="shared" si="28"/>
        <v>7</v>
      </c>
      <c r="D465" s="1">
        <f>COUNTIF(Transactions[CustomerID],"="&amp;A465)</f>
        <v>1</v>
      </c>
      <c r="E465" s="9">
        <f>IF(_xlfn.MAXIFS(Transactions[Transaction Amount], Transactions[CustomerID],A465)/'Customer Profiles'!$M$10&lt;=10,_xlfn.MAXIFS(Transactions[Transaction Amount], Transactions[CustomerID],A465)/'Customer Profiles'!$M$10,10)</f>
        <v>1.3208996709689365</v>
      </c>
      <c r="F465" s="1">
        <f t="shared" si="29"/>
        <v>7</v>
      </c>
      <c r="G465" s="1">
        <f t="shared" si="30"/>
        <v>0.2</v>
      </c>
      <c r="H465" s="1">
        <f t="shared" si="31"/>
        <v>1</v>
      </c>
    </row>
    <row r="466" spans="1:8">
      <c r="A466" s="1">
        <v>269</v>
      </c>
      <c r="B466" s="8">
        <f>_xlfn.MAXIFS(Transactions[Transaction Date], Transactions[CustomerID],A466)</f>
        <v>43140</v>
      </c>
      <c r="C466" s="1">
        <f t="shared" si="28"/>
        <v>1</v>
      </c>
      <c r="D466" s="1">
        <f>COUNTIF(Transactions[CustomerID],"="&amp;A466)</f>
        <v>1</v>
      </c>
      <c r="E466" s="9">
        <f>IF(_xlfn.MAXIFS(Transactions[Transaction Amount], Transactions[CustomerID],A466)/'Customer Profiles'!$M$10&lt;=10,_xlfn.MAXIFS(Transactions[Transaction Amount], Transactions[CustomerID],A466)/'Customer Profiles'!$M$10,10)</f>
        <v>3.404060140324586</v>
      </c>
      <c r="F466" s="1">
        <f t="shared" si="29"/>
        <v>1</v>
      </c>
      <c r="G466" s="1">
        <f t="shared" si="30"/>
        <v>0.2</v>
      </c>
      <c r="H466" s="1">
        <f t="shared" si="31"/>
        <v>1</v>
      </c>
    </row>
    <row r="467" spans="1:8">
      <c r="A467" s="1">
        <v>45</v>
      </c>
      <c r="B467" s="8">
        <f>_xlfn.MAXIFS(Transactions[Transaction Date], Transactions[CustomerID],A467)</f>
        <v>43028</v>
      </c>
      <c r="C467" s="1">
        <f t="shared" si="28"/>
        <v>4</v>
      </c>
      <c r="D467" s="1">
        <f>COUNTIF(Transactions[CustomerID],"="&amp;A467)</f>
        <v>1</v>
      </c>
      <c r="E467" s="9">
        <f>IF(_xlfn.MAXIFS(Transactions[Transaction Amount], Transactions[CustomerID],A467)/'Customer Profiles'!$M$10&lt;=10,_xlfn.MAXIFS(Transactions[Transaction Amount], Transactions[CustomerID],A467)/'Customer Profiles'!$M$10,10)</f>
        <v>2.258901173304444</v>
      </c>
      <c r="F467" s="1">
        <f t="shared" si="29"/>
        <v>4</v>
      </c>
      <c r="G467" s="1">
        <f t="shared" si="30"/>
        <v>0.2</v>
      </c>
      <c r="H467" s="1">
        <f t="shared" si="31"/>
        <v>1</v>
      </c>
    </row>
    <row r="468" spans="1:8">
      <c r="A468" s="1">
        <v>306</v>
      </c>
      <c r="B468" s="8">
        <f>_xlfn.MAXIFS(Transactions[Transaction Date], Transactions[CustomerID],A468)</f>
        <v>42846</v>
      </c>
      <c r="C468" s="1">
        <f t="shared" si="28"/>
        <v>10</v>
      </c>
      <c r="D468" s="1">
        <f>COUNTIF(Transactions[CustomerID],"="&amp;A468)</f>
        <v>1</v>
      </c>
      <c r="E468" s="9">
        <f>IF(_xlfn.MAXIFS(Transactions[Transaction Amount], Transactions[CustomerID],A468)/'Customer Profiles'!$M$10&lt;=10,_xlfn.MAXIFS(Transactions[Transaction Amount], Transactions[CustomerID],A468)/'Customer Profiles'!$M$10,10)</f>
        <v>1.2697994798891987</v>
      </c>
      <c r="F468" s="1">
        <f t="shared" si="29"/>
        <v>10</v>
      </c>
      <c r="G468" s="1">
        <f t="shared" si="30"/>
        <v>0.2</v>
      </c>
      <c r="H468" s="1">
        <f t="shared" si="31"/>
        <v>1</v>
      </c>
    </row>
    <row r="469" spans="1:8">
      <c r="A469" s="1">
        <v>400</v>
      </c>
      <c r="B469" s="8">
        <f>_xlfn.MAXIFS(Transactions[Transaction Date], Transactions[CustomerID],A469)</f>
        <v>43138</v>
      </c>
      <c r="C469" s="1">
        <f t="shared" si="28"/>
        <v>1</v>
      </c>
      <c r="D469" s="1">
        <f>COUNTIF(Transactions[CustomerID],"="&amp;A469)</f>
        <v>1</v>
      </c>
      <c r="E469" s="9">
        <f>IF(_xlfn.MAXIFS(Transactions[Transaction Amount], Transactions[CustomerID],A469)/'Customer Profiles'!$M$10&lt;=10,_xlfn.MAXIFS(Transactions[Transaction Amount], Transactions[CustomerID],A469)/'Customer Profiles'!$M$10,10)</f>
        <v>1.035026914670468</v>
      </c>
      <c r="F469" s="1">
        <f t="shared" si="29"/>
        <v>1</v>
      </c>
      <c r="G469" s="1">
        <f t="shared" si="30"/>
        <v>0.2</v>
      </c>
      <c r="H469" s="1">
        <f t="shared" si="31"/>
        <v>1</v>
      </c>
    </row>
    <row r="470" spans="1:8">
      <c r="A470" s="1">
        <v>161</v>
      </c>
      <c r="B470" s="8">
        <f>_xlfn.MAXIFS(Transactions[Transaction Date], Transactions[CustomerID],A470)</f>
        <v>43363</v>
      </c>
      <c r="C470" s="1">
        <f t="shared" si="28"/>
        <v>5</v>
      </c>
      <c r="D470" s="1">
        <f>COUNTIF(Transactions[CustomerID],"="&amp;A470)</f>
        <v>1</v>
      </c>
      <c r="E470" s="9">
        <f>IF(_xlfn.MAXIFS(Transactions[Transaction Amount], Transactions[CustomerID],A470)/'Customer Profiles'!$M$10&lt;=10,_xlfn.MAXIFS(Transactions[Transaction Amount], Transactions[CustomerID],A470)/'Customer Profiles'!$M$10,10)</f>
        <v>0.64266057945975541</v>
      </c>
      <c r="F470" s="1">
        <f t="shared" si="29"/>
        <v>5</v>
      </c>
      <c r="G470" s="1">
        <f t="shared" si="30"/>
        <v>0.2</v>
      </c>
      <c r="H470" s="1">
        <f t="shared" si="31"/>
        <v>1</v>
      </c>
    </row>
    <row r="471" spans="1:8">
      <c r="A471" s="1">
        <v>304</v>
      </c>
      <c r="B471" s="8">
        <f>_xlfn.MAXIFS(Transactions[Transaction Date], Transactions[CustomerID],A471)</f>
        <v>43365</v>
      </c>
      <c r="C471" s="1">
        <f t="shared" si="28"/>
        <v>5</v>
      </c>
      <c r="D471" s="1">
        <f>COUNTIF(Transactions[CustomerID],"="&amp;A471)</f>
        <v>1</v>
      </c>
      <c r="E471" s="9">
        <f>IF(_xlfn.MAXIFS(Transactions[Transaction Amount], Transactions[CustomerID],A471)/'Customer Profiles'!$M$10&lt;=10,_xlfn.MAXIFS(Transactions[Transaction Amount], Transactions[CustomerID],A471)/'Customer Profiles'!$M$10,10)</f>
        <v>2.5973845640155608</v>
      </c>
      <c r="F471" s="1">
        <f t="shared" si="29"/>
        <v>5</v>
      </c>
      <c r="G471" s="1">
        <f t="shared" si="30"/>
        <v>0.2</v>
      </c>
      <c r="H471" s="1">
        <f t="shared" si="31"/>
        <v>1</v>
      </c>
    </row>
    <row r="472" spans="1:8">
      <c r="A472" s="1">
        <v>81</v>
      </c>
      <c r="B472" s="8">
        <f>_xlfn.MAXIFS(Transactions[Transaction Date], Transactions[CustomerID],A472)</f>
        <v>42894</v>
      </c>
      <c r="C472" s="1">
        <f t="shared" si="28"/>
        <v>8</v>
      </c>
      <c r="D472" s="1">
        <f>COUNTIF(Transactions[CustomerID],"="&amp;A472)</f>
        <v>1</v>
      </c>
      <c r="E472" s="9">
        <f>IF(_xlfn.MAXIFS(Transactions[Transaction Amount], Transactions[CustomerID],A472)/'Customer Profiles'!$M$10&lt;=10,_xlfn.MAXIFS(Transactions[Transaction Amount], Transactions[CustomerID],A472)/'Customer Profiles'!$M$10,10)</f>
        <v>0.15931536684626865</v>
      </c>
      <c r="F472" s="1">
        <f t="shared" si="29"/>
        <v>8</v>
      </c>
      <c r="G472" s="1">
        <f t="shared" si="30"/>
        <v>0.2</v>
      </c>
      <c r="H472" s="1">
        <f t="shared" si="31"/>
        <v>1</v>
      </c>
    </row>
    <row r="473" spans="1:8">
      <c r="A473" s="1">
        <v>454</v>
      </c>
      <c r="B473" s="8">
        <f>_xlfn.MAXIFS(Transactions[Transaction Date], Transactions[CustomerID],A473)</f>
        <v>43171</v>
      </c>
      <c r="C473" s="1">
        <f t="shared" si="28"/>
        <v>11</v>
      </c>
      <c r="D473" s="1">
        <f>COUNTIF(Transactions[CustomerID],"="&amp;A473)</f>
        <v>1</v>
      </c>
      <c r="E473" s="9">
        <f>IF(_xlfn.MAXIFS(Transactions[Transaction Amount], Transactions[CustomerID],A473)/'Customer Profiles'!$M$10&lt;=10,_xlfn.MAXIFS(Transactions[Transaction Amount], Transactions[CustomerID],A473)/'Customer Profiles'!$M$10,10)</f>
        <v>0.4231779758173469</v>
      </c>
      <c r="F473" s="1">
        <f t="shared" si="29"/>
        <v>10</v>
      </c>
      <c r="G473" s="1">
        <f t="shared" si="30"/>
        <v>0.2</v>
      </c>
      <c r="H473" s="1">
        <f t="shared" si="31"/>
        <v>1</v>
      </c>
    </row>
    <row r="474" spans="1:8">
      <c r="A474" s="1">
        <v>60</v>
      </c>
      <c r="B474" s="8">
        <f>_xlfn.MAXIFS(Transactions[Transaction Date], Transactions[CustomerID],A474)</f>
        <v>42870</v>
      </c>
      <c r="C474" s="1">
        <f t="shared" si="28"/>
        <v>9</v>
      </c>
      <c r="D474" s="1">
        <f>COUNTIF(Transactions[CustomerID],"="&amp;A474)</f>
        <v>1</v>
      </c>
      <c r="E474" s="9">
        <f>IF(_xlfn.MAXIFS(Transactions[Transaction Amount], Transactions[CustomerID],A474)/'Customer Profiles'!$M$10&lt;=10,_xlfn.MAXIFS(Transactions[Transaction Amount], Transactions[CustomerID],A474)/'Customer Profiles'!$M$10,10)</f>
        <v>0.36175955684322886</v>
      </c>
      <c r="F474" s="1">
        <f t="shared" si="29"/>
        <v>9</v>
      </c>
      <c r="G474" s="1">
        <f t="shared" si="30"/>
        <v>0.2</v>
      </c>
      <c r="H474" s="1">
        <f t="shared" si="31"/>
        <v>1</v>
      </c>
    </row>
    <row r="475" spans="1:8">
      <c r="A475" s="1">
        <v>303</v>
      </c>
      <c r="B475" s="8">
        <f>_xlfn.MAXIFS(Transactions[Transaction Date], Transactions[CustomerID],A475)</f>
        <v>43440</v>
      </c>
      <c r="C475" s="1">
        <f t="shared" si="28"/>
        <v>2</v>
      </c>
      <c r="D475" s="1">
        <f>COUNTIF(Transactions[CustomerID],"="&amp;A475)</f>
        <v>2</v>
      </c>
      <c r="E475" s="9">
        <f>IF(_xlfn.MAXIFS(Transactions[Transaction Amount], Transactions[CustomerID],A475)/'Customer Profiles'!$M$10&lt;=10,_xlfn.MAXIFS(Transactions[Transaction Amount], Transactions[CustomerID],A475)/'Customer Profiles'!$M$10,10)</f>
        <v>1.1018812990913487</v>
      </c>
      <c r="F475" s="1">
        <f t="shared" si="29"/>
        <v>2</v>
      </c>
      <c r="G475" s="1">
        <f t="shared" si="30"/>
        <v>0.4</v>
      </c>
      <c r="H475" s="1">
        <f t="shared" si="31"/>
        <v>1</v>
      </c>
    </row>
    <row r="476" spans="1:8">
      <c r="A476" s="1">
        <v>91</v>
      </c>
      <c r="B476" s="8">
        <f>_xlfn.MAXIFS(Transactions[Transaction Date], Transactions[CustomerID],A476)</f>
        <v>43295</v>
      </c>
      <c r="C476" s="1">
        <f t="shared" si="28"/>
        <v>7</v>
      </c>
      <c r="D476" s="1">
        <f>COUNTIF(Transactions[CustomerID],"="&amp;A476)</f>
        <v>1</v>
      </c>
      <c r="E476" s="9">
        <f>IF(_xlfn.MAXIFS(Transactions[Transaction Amount], Transactions[CustomerID],A476)/'Customer Profiles'!$M$10&lt;=10,_xlfn.MAXIFS(Transactions[Transaction Amount], Transactions[CustomerID],A476)/'Customer Profiles'!$M$10,10)</f>
        <v>5.5259657132174317E-2</v>
      </c>
      <c r="F476" s="1">
        <f t="shared" si="29"/>
        <v>7</v>
      </c>
      <c r="G476" s="1">
        <f t="shared" si="30"/>
        <v>0.2</v>
      </c>
      <c r="H476" s="1">
        <f t="shared" si="31"/>
        <v>1</v>
      </c>
    </row>
    <row r="477" spans="1:8">
      <c r="A477" s="1">
        <v>151</v>
      </c>
      <c r="B477" s="8">
        <f>_xlfn.MAXIFS(Transactions[Transaction Date], Transactions[CustomerID],A477)</f>
        <v>42967</v>
      </c>
      <c r="C477" s="1">
        <f t="shared" si="28"/>
        <v>6</v>
      </c>
      <c r="D477" s="1">
        <f>COUNTIF(Transactions[CustomerID],"="&amp;A477)</f>
        <v>1</v>
      </c>
      <c r="E477" s="9">
        <f>IF(_xlfn.MAXIFS(Transactions[Transaction Amount], Transactions[CustomerID],A477)/'Customer Profiles'!$M$10&lt;=10,_xlfn.MAXIFS(Transactions[Transaction Amount], Transactions[CustomerID],A477)/'Customer Profiles'!$M$10,10)</f>
        <v>4.8738128163847309E-2</v>
      </c>
      <c r="F477" s="1">
        <f t="shared" si="29"/>
        <v>6</v>
      </c>
      <c r="G477" s="1">
        <f t="shared" si="30"/>
        <v>0.2</v>
      </c>
      <c r="H477" s="1">
        <f t="shared" si="31"/>
        <v>1</v>
      </c>
    </row>
    <row r="478" spans="1:8">
      <c r="A478" s="1">
        <v>432</v>
      </c>
      <c r="B478" s="8">
        <f>_xlfn.MAXIFS(Transactions[Transaction Date], Transactions[CustomerID],A478)</f>
        <v>43288</v>
      </c>
      <c r="C478" s="1">
        <f t="shared" si="28"/>
        <v>7</v>
      </c>
      <c r="D478" s="1">
        <f>COUNTIF(Transactions[CustomerID],"="&amp;A478)</f>
        <v>2</v>
      </c>
      <c r="E478" s="9">
        <f>IF(_xlfn.MAXIFS(Transactions[Transaction Amount], Transactions[CustomerID],A478)/'Customer Profiles'!$M$10&lt;=10,_xlfn.MAXIFS(Transactions[Transaction Amount], Transactions[CustomerID],A478)/'Customer Profiles'!$M$10,10)</f>
        <v>0.23495685846041175</v>
      </c>
      <c r="F478" s="1">
        <f t="shared" si="29"/>
        <v>7</v>
      </c>
      <c r="G478" s="1">
        <f t="shared" si="30"/>
        <v>0.4</v>
      </c>
      <c r="H478" s="1">
        <f t="shared" si="31"/>
        <v>1</v>
      </c>
    </row>
    <row r="479" spans="1:8">
      <c r="A479" s="1">
        <v>204</v>
      </c>
      <c r="B479" s="8">
        <f>_xlfn.MAXIFS(Transactions[Transaction Date], Transactions[CustomerID],A479)</f>
        <v>43005</v>
      </c>
      <c r="C479" s="1">
        <f t="shared" si="28"/>
        <v>5</v>
      </c>
      <c r="D479" s="1">
        <f>COUNTIF(Transactions[CustomerID],"="&amp;A479)</f>
        <v>1</v>
      </c>
      <c r="E479" s="9">
        <f>IF(_xlfn.MAXIFS(Transactions[Transaction Amount], Transactions[CustomerID],A479)/'Customer Profiles'!$M$10&lt;=10,_xlfn.MAXIFS(Transactions[Transaction Amount], Transactions[CustomerID],A479)/'Customer Profiles'!$M$10,10)</f>
        <v>0.14428562473346204</v>
      </c>
      <c r="F479" s="1">
        <f t="shared" si="29"/>
        <v>5</v>
      </c>
      <c r="G479" s="1">
        <f t="shared" si="30"/>
        <v>0.2</v>
      </c>
      <c r="H479" s="1">
        <f t="shared" si="31"/>
        <v>1</v>
      </c>
    </row>
    <row r="480" spans="1:8">
      <c r="A480" s="1">
        <v>23</v>
      </c>
      <c r="B480" s="8">
        <f>_xlfn.MAXIFS(Transactions[Transaction Date], Transactions[CustomerID],A480)</f>
        <v>43104</v>
      </c>
      <c r="C480" s="1">
        <f t="shared" si="28"/>
        <v>1</v>
      </c>
      <c r="D480" s="1">
        <f>COUNTIF(Transactions[CustomerID],"="&amp;A480)</f>
        <v>1</v>
      </c>
      <c r="E480" s="9">
        <f>IF(_xlfn.MAXIFS(Transactions[Transaction Amount], Transactions[CustomerID],A480)/'Customer Profiles'!$M$10&lt;=10,_xlfn.MAXIFS(Transactions[Transaction Amount], Transactions[CustomerID],A480)/'Customer Profiles'!$M$10,10)</f>
        <v>5.203007309731901</v>
      </c>
      <c r="F480" s="1">
        <f t="shared" si="29"/>
        <v>1</v>
      </c>
      <c r="G480" s="1">
        <f t="shared" si="30"/>
        <v>0.2</v>
      </c>
      <c r="H480" s="1">
        <f t="shared" si="31"/>
        <v>1.45</v>
      </c>
    </row>
    <row r="481" spans="1:8">
      <c r="A481" s="1">
        <v>157</v>
      </c>
      <c r="B481" s="8">
        <f>_xlfn.MAXIFS(Transactions[Transaction Date], Transactions[CustomerID],A481)</f>
        <v>43118</v>
      </c>
      <c r="C481" s="1">
        <f t="shared" si="28"/>
        <v>1</v>
      </c>
      <c r="D481" s="1">
        <f>COUNTIF(Transactions[CustomerID],"="&amp;A481)</f>
        <v>1</v>
      </c>
      <c r="E481" s="9">
        <f>IF(_xlfn.MAXIFS(Transactions[Transaction Amount], Transactions[CustomerID],A481)/'Customer Profiles'!$M$10&lt;=10,_xlfn.MAXIFS(Transactions[Transaction Amount], Transactions[CustomerID],A481)/'Customer Profiles'!$M$10,10)</f>
        <v>0.63189406183334307</v>
      </c>
      <c r="F481" s="1">
        <f t="shared" si="29"/>
        <v>1</v>
      </c>
      <c r="G481" s="1">
        <f t="shared" si="30"/>
        <v>0.2</v>
      </c>
      <c r="H481" s="1">
        <f t="shared" si="31"/>
        <v>1</v>
      </c>
    </row>
    <row r="482" spans="1:8">
      <c r="A482" s="1">
        <v>265</v>
      </c>
      <c r="B482" s="8">
        <f>_xlfn.MAXIFS(Transactions[Transaction Date], Transactions[CustomerID],A482)</f>
        <v>43347</v>
      </c>
      <c r="C482" s="1">
        <f t="shared" si="28"/>
        <v>5</v>
      </c>
      <c r="D482" s="1">
        <f>COUNTIF(Transactions[CustomerID],"="&amp;A482)</f>
        <v>1</v>
      </c>
      <c r="E482" s="9">
        <f>IF(_xlfn.MAXIFS(Transactions[Transaction Amount], Transactions[CustomerID],A482)/'Customer Profiles'!$M$10&lt;=10,_xlfn.MAXIFS(Transactions[Transaction Amount], Transactions[CustomerID],A482)/'Customer Profiles'!$M$10,10)</f>
        <v>0.24063089573479304</v>
      </c>
      <c r="F482" s="1">
        <f t="shared" si="29"/>
        <v>5</v>
      </c>
      <c r="G482" s="1">
        <f t="shared" si="30"/>
        <v>0.2</v>
      </c>
      <c r="H482" s="1">
        <f t="shared" si="31"/>
        <v>1</v>
      </c>
    </row>
    <row r="483" spans="1:8">
      <c r="A483" s="1">
        <v>535</v>
      </c>
      <c r="B483" s="8">
        <f>_xlfn.MAXIFS(Transactions[Transaction Date], Transactions[CustomerID],A483)</f>
        <v>43187</v>
      </c>
      <c r="C483" s="1">
        <f t="shared" si="28"/>
        <v>11</v>
      </c>
      <c r="D483" s="1">
        <f>COUNTIF(Transactions[CustomerID],"="&amp;A483)</f>
        <v>1</v>
      </c>
      <c r="E483" s="9">
        <f>IF(_xlfn.MAXIFS(Transactions[Transaction Amount], Transactions[CustomerID],A483)/'Customer Profiles'!$M$10&lt;=10,_xlfn.MAXIFS(Transactions[Transaction Amount], Transactions[CustomerID],A483)/'Customer Profiles'!$M$10,10)</f>
        <v>0.44938222489660112</v>
      </c>
      <c r="F483" s="1">
        <f t="shared" si="29"/>
        <v>10</v>
      </c>
      <c r="G483" s="1">
        <f t="shared" si="30"/>
        <v>0.2</v>
      </c>
      <c r="H483" s="1">
        <f t="shared" si="31"/>
        <v>1</v>
      </c>
    </row>
    <row r="484" spans="1:8">
      <c r="A484" s="1">
        <v>525</v>
      </c>
      <c r="B484" s="8">
        <f>_xlfn.MAXIFS(Transactions[Transaction Date], Transactions[CustomerID],A484)</f>
        <v>42827</v>
      </c>
      <c r="C484" s="1">
        <f t="shared" si="28"/>
        <v>10</v>
      </c>
      <c r="D484" s="1">
        <f>COUNTIF(Transactions[CustomerID],"="&amp;A484)</f>
        <v>1</v>
      </c>
      <c r="E484" s="9">
        <f>IF(_xlfn.MAXIFS(Transactions[Transaction Amount], Transactions[CustomerID],A484)/'Customer Profiles'!$M$10&lt;=10,_xlfn.MAXIFS(Transactions[Transaction Amount], Transactions[CustomerID],A484)/'Customer Profiles'!$M$10,10)</f>
        <v>1.0156222534811132</v>
      </c>
      <c r="F484" s="1">
        <f t="shared" si="29"/>
        <v>10</v>
      </c>
      <c r="G484" s="1">
        <f t="shared" si="30"/>
        <v>0.2</v>
      </c>
      <c r="H484" s="1">
        <f t="shared" si="31"/>
        <v>1</v>
      </c>
    </row>
    <row r="485" spans="1:8">
      <c r="A485" s="1">
        <v>363</v>
      </c>
      <c r="B485" s="8">
        <f>_xlfn.MAXIFS(Transactions[Transaction Date], Transactions[CustomerID],A485)</f>
        <v>42816</v>
      </c>
      <c r="C485" s="1">
        <f t="shared" si="28"/>
        <v>11</v>
      </c>
      <c r="D485" s="1">
        <f>COUNTIF(Transactions[CustomerID],"="&amp;A485)</f>
        <v>1</v>
      </c>
      <c r="E485" s="9">
        <f>IF(_xlfn.MAXIFS(Transactions[Transaction Amount], Transactions[CustomerID],A485)/'Customer Profiles'!$M$10&lt;=10,_xlfn.MAXIFS(Transactions[Transaction Amount], Transactions[CustomerID],A485)/'Customer Profiles'!$M$10,10)</f>
        <v>4.3443718499207466E-2</v>
      </c>
      <c r="F485" s="1">
        <f t="shared" si="29"/>
        <v>10</v>
      </c>
      <c r="G485" s="1">
        <f t="shared" si="30"/>
        <v>0.2</v>
      </c>
      <c r="H485" s="1">
        <f t="shared" si="31"/>
        <v>1</v>
      </c>
    </row>
    <row r="486" spans="1:8">
      <c r="A486" s="1">
        <v>362</v>
      </c>
      <c r="B486" s="8">
        <f>_xlfn.MAXIFS(Transactions[Transaction Date], Transactions[CustomerID],A486)</f>
        <v>43423</v>
      </c>
      <c r="C486" s="1">
        <f t="shared" si="28"/>
        <v>3</v>
      </c>
      <c r="D486" s="1">
        <f>COUNTIF(Transactions[CustomerID],"="&amp;A486)</f>
        <v>1</v>
      </c>
      <c r="E486" s="9">
        <f>IF(_xlfn.MAXIFS(Transactions[Transaction Amount], Transactions[CustomerID],A486)/'Customer Profiles'!$M$10&lt;=10,_xlfn.MAXIFS(Transactions[Transaction Amount], Transactions[CustomerID],A486)/'Customer Profiles'!$M$10,10)</f>
        <v>1.2513463054793195</v>
      </c>
      <c r="F486" s="1">
        <f t="shared" si="29"/>
        <v>3</v>
      </c>
      <c r="G486" s="1">
        <f t="shared" si="30"/>
        <v>0.2</v>
      </c>
      <c r="H486" s="1">
        <f t="shared" si="31"/>
        <v>1</v>
      </c>
    </row>
    <row r="487" spans="1:8">
      <c r="A487" s="1">
        <v>310</v>
      </c>
      <c r="B487" s="8">
        <f>_xlfn.MAXIFS(Transactions[Transaction Date], Transactions[CustomerID],A487)</f>
        <v>42789</v>
      </c>
      <c r="C487" s="1">
        <f t="shared" si="28"/>
        <v>1</v>
      </c>
      <c r="D487" s="1">
        <f>COUNTIF(Transactions[CustomerID],"="&amp;A487)</f>
        <v>1</v>
      </c>
      <c r="E487" s="9">
        <f>IF(_xlfn.MAXIFS(Transactions[Transaction Amount], Transactions[CustomerID],A487)/'Customer Profiles'!$M$10&lt;=10,_xlfn.MAXIFS(Transactions[Transaction Amount], Transactions[CustomerID],A487)/'Customer Profiles'!$M$10,10)</f>
        <v>0.10968699721921517</v>
      </c>
      <c r="F487" s="1">
        <f t="shared" si="29"/>
        <v>1</v>
      </c>
      <c r="G487" s="1">
        <f t="shared" si="30"/>
        <v>0.2</v>
      </c>
      <c r="H487" s="1">
        <f t="shared" si="31"/>
        <v>1</v>
      </c>
    </row>
    <row r="488" spans="1:8">
      <c r="A488" s="1">
        <v>406</v>
      </c>
      <c r="B488" s="8">
        <f>_xlfn.MAXIFS(Transactions[Transaction Date], Transactions[CustomerID],A488)</f>
        <v>43210</v>
      </c>
      <c r="C488" s="1">
        <f t="shared" si="28"/>
        <v>10</v>
      </c>
      <c r="D488" s="1">
        <f>COUNTIF(Transactions[CustomerID],"="&amp;A488)</f>
        <v>1</v>
      </c>
      <c r="E488" s="9">
        <f>IF(_xlfn.MAXIFS(Transactions[Transaction Amount], Transactions[CustomerID],A488)/'Customer Profiles'!$M$10&lt;=10,_xlfn.MAXIFS(Transactions[Transaction Amount], Transactions[CustomerID],A488)/'Customer Profiles'!$M$10,10)</f>
        <v>0.94402026554514118</v>
      </c>
      <c r="F488" s="1">
        <f t="shared" si="29"/>
        <v>10</v>
      </c>
      <c r="G488" s="1">
        <f t="shared" si="30"/>
        <v>0.2</v>
      </c>
      <c r="H488" s="1">
        <f t="shared" si="31"/>
        <v>1</v>
      </c>
    </row>
    <row r="489" spans="1:8">
      <c r="A489" s="1">
        <v>95</v>
      </c>
      <c r="B489" s="8">
        <f>_xlfn.MAXIFS(Transactions[Transaction Date], Transactions[CustomerID],A489)</f>
        <v>43015</v>
      </c>
      <c r="C489" s="1">
        <f t="shared" si="28"/>
        <v>4</v>
      </c>
      <c r="D489" s="1">
        <f>COUNTIF(Transactions[CustomerID],"="&amp;A489)</f>
        <v>1</v>
      </c>
      <c r="E489" s="9">
        <f>IF(_xlfn.MAXIFS(Transactions[Transaction Amount], Transactions[CustomerID],A489)/'Customer Profiles'!$M$10&lt;=10,_xlfn.MAXIFS(Transactions[Transaction Amount], Transactions[CustomerID],A489)/'Customer Profiles'!$M$10,10)</f>
        <v>0.93611312558539173</v>
      </c>
      <c r="F489" s="1">
        <f t="shared" si="29"/>
        <v>4</v>
      </c>
      <c r="G489" s="1">
        <f t="shared" si="30"/>
        <v>0.2</v>
      </c>
      <c r="H489" s="1">
        <f t="shared" si="31"/>
        <v>1</v>
      </c>
    </row>
    <row r="490" spans="1:8">
      <c r="A490" s="1">
        <v>447</v>
      </c>
      <c r="B490" s="8">
        <f>_xlfn.MAXIFS(Transactions[Transaction Date], Transactions[CustomerID],A490)</f>
        <v>42741</v>
      </c>
      <c r="C490" s="1">
        <f t="shared" si="28"/>
        <v>1</v>
      </c>
      <c r="D490" s="1">
        <f>COUNTIF(Transactions[CustomerID],"="&amp;A490)</f>
        <v>1</v>
      </c>
      <c r="E490" s="9">
        <f>IF(_xlfn.MAXIFS(Transactions[Transaction Amount], Transactions[CustomerID],A490)/'Customer Profiles'!$M$10&lt;=10,_xlfn.MAXIFS(Transactions[Transaction Amount], Transactions[CustomerID],A490)/'Customer Profiles'!$M$10,10)</f>
        <v>0.38903955541909852</v>
      </c>
      <c r="F490" s="1">
        <f t="shared" si="29"/>
        <v>1</v>
      </c>
      <c r="G490" s="1">
        <f t="shared" si="30"/>
        <v>0.2</v>
      </c>
      <c r="H490" s="1">
        <f t="shared" si="31"/>
        <v>1</v>
      </c>
    </row>
    <row r="491" spans="1:8">
      <c r="A491" s="1">
        <v>148</v>
      </c>
      <c r="B491" s="8">
        <f>_xlfn.MAXIFS(Transactions[Transaction Date], Transactions[CustomerID],A491)</f>
        <v>43375</v>
      </c>
      <c r="C491" s="1">
        <f t="shared" si="28"/>
        <v>4</v>
      </c>
      <c r="D491" s="1">
        <f>COUNTIF(Transactions[CustomerID],"="&amp;A491)</f>
        <v>1</v>
      </c>
      <c r="E491" s="9">
        <f>IF(_xlfn.MAXIFS(Transactions[Transaction Amount], Transactions[CustomerID],A491)/'Customer Profiles'!$M$10&lt;=10,_xlfn.MAXIFS(Transactions[Transaction Amount], Transactions[CustomerID],A491)/'Customer Profiles'!$M$10,10)</f>
        <v>0.84742215130667176</v>
      </c>
      <c r="F491" s="1">
        <f t="shared" si="29"/>
        <v>4</v>
      </c>
      <c r="G491" s="1">
        <f t="shared" si="30"/>
        <v>0.2</v>
      </c>
      <c r="H491" s="1">
        <f t="shared" si="31"/>
        <v>1</v>
      </c>
    </row>
    <row r="492" spans="1:8">
      <c r="A492" s="1">
        <v>482</v>
      </c>
      <c r="B492" s="8">
        <f>_xlfn.MAXIFS(Transactions[Transaction Date], Transactions[CustomerID],A492)</f>
        <v>43429</v>
      </c>
      <c r="C492" s="1">
        <f t="shared" si="28"/>
        <v>3</v>
      </c>
      <c r="D492" s="1">
        <f>COUNTIF(Transactions[CustomerID],"="&amp;A492)</f>
        <v>4</v>
      </c>
      <c r="E492" s="9">
        <f>IF(_xlfn.MAXIFS(Transactions[Transaction Amount], Transactions[CustomerID],A492)/'Customer Profiles'!$M$10&lt;=10,_xlfn.MAXIFS(Transactions[Transaction Amount], Transactions[CustomerID],A492)/'Customer Profiles'!$M$10,10)</f>
        <v>5.3821753152737557</v>
      </c>
      <c r="F492" s="1">
        <f t="shared" si="29"/>
        <v>3</v>
      </c>
      <c r="G492" s="1">
        <f t="shared" si="30"/>
        <v>0.8</v>
      </c>
      <c r="H492" s="1">
        <f t="shared" si="31"/>
        <v>1.05</v>
      </c>
    </row>
    <row r="493" spans="1:8">
      <c r="A493" s="1">
        <v>408</v>
      </c>
      <c r="B493" s="8">
        <f>_xlfn.MAXIFS(Transactions[Transaction Date], Transactions[CustomerID],A493)</f>
        <v>43076</v>
      </c>
      <c r="C493" s="1">
        <f t="shared" si="28"/>
        <v>2</v>
      </c>
      <c r="D493" s="1">
        <f>COUNTIF(Transactions[CustomerID],"="&amp;A493)</f>
        <v>1</v>
      </c>
      <c r="E493" s="9">
        <f>IF(_xlfn.MAXIFS(Transactions[Transaction Amount], Transactions[CustomerID],A493)/'Customer Profiles'!$M$10&lt;=10,_xlfn.MAXIFS(Transactions[Transaction Amount], Transactions[CustomerID],A493)/'Customer Profiles'!$M$10,10)</f>
        <v>0.40009333313381273</v>
      </c>
      <c r="F493" s="1">
        <f t="shared" si="29"/>
        <v>2</v>
      </c>
      <c r="G493" s="1">
        <f t="shared" si="30"/>
        <v>0.2</v>
      </c>
      <c r="H493" s="1">
        <f t="shared" si="31"/>
        <v>1</v>
      </c>
    </row>
    <row r="494" spans="1:8">
      <c r="A494" s="1">
        <v>30</v>
      </c>
      <c r="B494" s="8">
        <f>_xlfn.MAXIFS(Transactions[Transaction Date], Transactions[CustomerID],A494)</f>
        <v>43181</v>
      </c>
      <c r="C494" s="1">
        <f t="shared" si="28"/>
        <v>11</v>
      </c>
      <c r="D494" s="1">
        <f>COUNTIF(Transactions[CustomerID],"="&amp;A494)</f>
        <v>1</v>
      </c>
      <c r="E494" s="9">
        <f>IF(_xlfn.MAXIFS(Transactions[Transaction Amount], Transactions[CustomerID],A494)/'Customer Profiles'!$M$10&lt;=10,_xlfn.MAXIFS(Transactions[Transaction Amount], Transactions[CustomerID],A494)/'Customer Profiles'!$M$10,10)</f>
        <v>9.5234179599320637E-2</v>
      </c>
      <c r="F494" s="1">
        <f t="shared" si="29"/>
        <v>10</v>
      </c>
      <c r="G494" s="1">
        <f t="shared" si="30"/>
        <v>0.2</v>
      </c>
      <c r="H494" s="1">
        <f t="shared" si="31"/>
        <v>1</v>
      </c>
    </row>
    <row r="495" spans="1:8">
      <c r="A495" s="1">
        <v>387</v>
      </c>
      <c r="B495" s="8">
        <f>_xlfn.MAXIFS(Transactions[Transaction Date], Transactions[CustomerID],A495)</f>
        <v>43008</v>
      </c>
      <c r="C495" s="1">
        <f t="shared" si="28"/>
        <v>5</v>
      </c>
      <c r="D495" s="1">
        <f>COUNTIF(Transactions[CustomerID],"="&amp;A495)</f>
        <v>1</v>
      </c>
      <c r="E495" s="9">
        <f>IF(_xlfn.MAXIFS(Transactions[Transaction Amount], Transactions[CustomerID],A495)/'Customer Profiles'!$M$10&lt;=10,_xlfn.MAXIFS(Transactions[Transaction Amount], Transactions[CustomerID],A495)/'Customer Profiles'!$M$10,10)</f>
        <v>7.5183804257945755E-2</v>
      </c>
      <c r="F495" s="1">
        <f t="shared" si="29"/>
        <v>5</v>
      </c>
      <c r="G495" s="1">
        <f t="shared" si="30"/>
        <v>0.2</v>
      </c>
      <c r="H495" s="1">
        <f t="shared" si="31"/>
        <v>1</v>
      </c>
    </row>
    <row r="496" spans="1:8">
      <c r="A496" s="1">
        <v>160</v>
      </c>
      <c r="B496" s="8">
        <f>_xlfn.MAXIFS(Transactions[Transaction Date], Transactions[CustomerID],A496)</f>
        <v>42921</v>
      </c>
      <c r="C496" s="1">
        <f t="shared" si="28"/>
        <v>7</v>
      </c>
      <c r="D496" s="1">
        <f>COUNTIF(Transactions[CustomerID],"="&amp;A496)</f>
        <v>1</v>
      </c>
      <c r="E496" s="9">
        <f>IF(_xlfn.MAXIFS(Transactions[Transaction Amount], Transactions[CustomerID],A496)/'Customer Profiles'!$M$10&lt;=10,_xlfn.MAXIFS(Transactions[Transaction Amount], Transactions[CustomerID],A496)/'Customer Profiles'!$M$10,10)</f>
        <v>0.15786795762463801</v>
      </c>
      <c r="F496" s="1">
        <f t="shared" si="29"/>
        <v>7</v>
      </c>
      <c r="G496" s="1">
        <f t="shared" si="30"/>
        <v>0.2</v>
      </c>
      <c r="H496" s="1">
        <f t="shared" si="31"/>
        <v>1</v>
      </c>
    </row>
    <row r="497" spans="1:8">
      <c r="A497" s="1">
        <v>257</v>
      </c>
      <c r="B497" s="8">
        <f>_xlfn.MAXIFS(Transactions[Transaction Date], Transactions[CustomerID],A497)</f>
        <v>42748</v>
      </c>
      <c r="C497" s="1">
        <f t="shared" si="28"/>
        <v>1</v>
      </c>
      <c r="D497" s="1">
        <f>COUNTIF(Transactions[CustomerID],"="&amp;A497)</f>
        <v>1</v>
      </c>
      <c r="E497" s="9">
        <f>IF(_xlfn.MAXIFS(Transactions[Transaction Amount], Transactions[CustomerID],A497)/'Customer Profiles'!$M$10&lt;=10,_xlfn.MAXIFS(Transactions[Transaction Amount], Transactions[CustomerID],A497)/'Customer Profiles'!$M$10,10)</f>
        <v>0.80119905641876987</v>
      </c>
      <c r="F497" s="1">
        <f t="shared" si="29"/>
        <v>1</v>
      </c>
      <c r="G497" s="1">
        <f t="shared" si="30"/>
        <v>0.2</v>
      </c>
      <c r="H497" s="1">
        <f t="shared" si="31"/>
        <v>1</v>
      </c>
    </row>
    <row r="498" spans="1:8">
      <c r="A498" s="1">
        <v>571</v>
      </c>
      <c r="B498" s="8">
        <f>_xlfn.MAXIFS(Transactions[Transaction Date], Transactions[CustomerID],A498)</f>
        <v>42780</v>
      </c>
      <c r="C498" s="1">
        <f t="shared" si="28"/>
        <v>1</v>
      </c>
      <c r="D498" s="1">
        <f>COUNTIF(Transactions[CustomerID],"="&amp;A498)</f>
        <v>1</v>
      </c>
      <c r="E498" s="9">
        <f>IF(_xlfn.MAXIFS(Transactions[Transaction Amount], Transactions[CustomerID],A498)/'Customer Profiles'!$M$10&lt;=10,_xlfn.MAXIFS(Transactions[Transaction Amount], Transactions[CustomerID],A498)/'Customer Profiles'!$M$10,10)</f>
        <v>2.0333376063117043</v>
      </c>
      <c r="F498" s="1">
        <f t="shared" si="29"/>
        <v>1</v>
      </c>
      <c r="G498" s="1">
        <f t="shared" si="30"/>
        <v>0.2</v>
      </c>
      <c r="H498" s="1">
        <f t="shared" si="31"/>
        <v>1</v>
      </c>
    </row>
    <row r="499" spans="1:8">
      <c r="A499" s="1">
        <v>567</v>
      </c>
      <c r="B499" s="8">
        <f>_xlfn.MAXIFS(Transactions[Transaction Date], Transactions[CustomerID],A499)</f>
        <v>42751</v>
      </c>
      <c r="C499" s="1">
        <f t="shared" si="28"/>
        <v>1</v>
      </c>
      <c r="D499" s="1">
        <f>COUNTIF(Transactions[CustomerID],"="&amp;A499)</f>
        <v>1</v>
      </c>
      <c r="E499" s="9">
        <f>IF(_xlfn.MAXIFS(Transactions[Transaction Amount], Transactions[CustomerID],A499)/'Customer Profiles'!$M$10&lt;=10,_xlfn.MAXIFS(Transactions[Transaction Amount], Transactions[CustomerID],A499)/'Customer Profiles'!$M$10,10)</f>
        <v>0.35053303550156423</v>
      </c>
      <c r="F499" s="1">
        <f t="shared" si="29"/>
        <v>1</v>
      </c>
      <c r="G499" s="1">
        <f t="shared" si="30"/>
        <v>0.2</v>
      </c>
      <c r="H499" s="1">
        <f t="shared" si="31"/>
        <v>1</v>
      </c>
    </row>
    <row r="500" spans="1:8">
      <c r="A500" s="1">
        <v>229</v>
      </c>
      <c r="B500" s="8">
        <f>_xlfn.MAXIFS(Transactions[Transaction Date], Transactions[CustomerID],A500)</f>
        <v>42752</v>
      </c>
      <c r="C500" s="1">
        <f t="shared" si="28"/>
        <v>1</v>
      </c>
      <c r="D500" s="1">
        <f>COUNTIF(Transactions[CustomerID],"="&amp;A500)</f>
        <v>1</v>
      </c>
      <c r="E500" s="9">
        <f>IF(_xlfn.MAXIFS(Transactions[Transaction Amount], Transactions[CustomerID],A500)/'Customer Profiles'!$M$10&lt;=10,_xlfn.MAXIFS(Transactions[Transaction Amount], Transactions[CustomerID],A500)/'Customer Profiles'!$M$10,10)</f>
        <v>7.7601433229789171E-2</v>
      </c>
      <c r="F500" s="1">
        <f t="shared" si="29"/>
        <v>1</v>
      </c>
      <c r="G500" s="1">
        <f t="shared" si="30"/>
        <v>0.2</v>
      </c>
      <c r="H500" s="1">
        <f t="shared" si="31"/>
        <v>1</v>
      </c>
    </row>
    <row r="501" spans="1:8">
      <c r="A501" s="1">
        <v>481</v>
      </c>
      <c r="B501" s="8">
        <f>_xlfn.MAXIFS(Transactions[Transaction Date], Transactions[CustomerID],A501)</f>
        <v>43432</v>
      </c>
      <c r="C501" s="1">
        <f t="shared" si="28"/>
        <v>3</v>
      </c>
      <c r="D501" s="1">
        <f>COUNTIF(Transactions[CustomerID],"="&amp;A501)</f>
        <v>1</v>
      </c>
      <c r="E501" s="9">
        <f>IF(_xlfn.MAXIFS(Transactions[Transaction Amount], Transactions[CustomerID],A501)/'Customer Profiles'!$M$10&lt;=10,_xlfn.MAXIFS(Transactions[Transaction Amount], Transactions[CustomerID],A501)/'Customer Profiles'!$M$10,10)</f>
        <v>7.7321561721752863E-2</v>
      </c>
      <c r="F501" s="1">
        <f t="shared" si="29"/>
        <v>3</v>
      </c>
      <c r="G501" s="1">
        <f t="shared" si="30"/>
        <v>0.2</v>
      </c>
      <c r="H501" s="1">
        <f t="shared" si="31"/>
        <v>1</v>
      </c>
    </row>
    <row r="502" spans="1:8">
      <c r="A502" s="1">
        <v>8</v>
      </c>
      <c r="B502" s="8">
        <f>_xlfn.MAXIFS(Transactions[Transaction Date], Transactions[CustomerID],A502)</f>
        <v>43014</v>
      </c>
      <c r="C502" s="1">
        <f t="shared" si="28"/>
        <v>4</v>
      </c>
      <c r="D502" s="1">
        <f>COUNTIF(Transactions[CustomerID],"="&amp;A502)</f>
        <v>1</v>
      </c>
      <c r="E502" s="9">
        <f>IF(_xlfn.MAXIFS(Transactions[Transaction Amount], Transactions[CustomerID],A502)/'Customer Profiles'!$M$10&lt;=10,_xlfn.MAXIFS(Transactions[Transaction Amount], Transactions[CustomerID],A502)/'Customer Profiles'!$M$10,10)</f>
        <v>2.7227524733898711</v>
      </c>
      <c r="F502" s="1">
        <f t="shared" si="29"/>
        <v>4</v>
      </c>
      <c r="G502" s="1">
        <f t="shared" si="30"/>
        <v>0.2</v>
      </c>
      <c r="H502" s="1">
        <f t="shared" si="31"/>
        <v>1</v>
      </c>
    </row>
    <row r="503" spans="1:8">
      <c r="A503" s="1">
        <v>187</v>
      </c>
      <c r="B503" s="8">
        <f>_xlfn.MAXIFS(Transactions[Transaction Date], Transactions[CustomerID],A503)</f>
        <v>43030</v>
      </c>
      <c r="C503" s="1">
        <f t="shared" si="28"/>
        <v>4</v>
      </c>
      <c r="D503" s="1">
        <f>COUNTIF(Transactions[CustomerID],"="&amp;A503)</f>
        <v>1</v>
      </c>
      <c r="E503" s="9">
        <f>IF(_xlfn.MAXIFS(Transactions[Transaction Amount], Transactions[CustomerID],A503)/'Customer Profiles'!$M$10&lt;=10,_xlfn.MAXIFS(Transactions[Transaction Amount], Transactions[CustomerID],A503)/'Customer Profiles'!$M$10,10)</f>
        <v>4.6491852225360972</v>
      </c>
      <c r="F503" s="1">
        <f t="shared" si="29"/>
        <v>4</v>
      </c>
      <c r="G503" s="1">
        <f t="shared" si="30"/>
        <v>0.2</v>
      </c>
      <c r="H503" s="1">
        <f t="shared" si="31"/>
        <v>1</v>
      </c>
    </row>
    <row r="504" spans="1:8">
      <c r="A504" s="1">
        <v>340</v>
      </c>
      <c r="B504" s="8">
        <f>_xlfn.MAXIFS(Transactions[Transaction Date], Transactions[CustomerID],A504)</f>
        <v>43285</v>
      </c>
      <c r="C504" s="1">
        <f t="shared" si="28"/>
        <v>7</v>
      </c>
      <c r="D504" s="1">
        <f>COUNTIF(Transactions[CustomerID],"="&amp;A504)</f>
        <v>4</v>
      </c>
      <c r="E504" s="9">
        <f>IF(_xlfn.MAXIFS(Transactions[Transaction Amount], Transactions[CustomerID],A504)/'Customer Profiles'!$M$10&lt;=10,_xlfn.MAXIFS(Transactions[Transaction Amount], Transactions[CustomerID],A504)/'Customer Profiles'!$M$10,10)</f>
        <v>2.4903685664079225</v>
      </c>
      <c r="F504" s="1">
        <f t="shared" si="29"/>
        <v>7</v>
      </c>
      <c r="G504" s="1">
        <f t="shared" si="30"/>
        <v>0.8</v>
      </c>
      <c r="H504" s="1">
        <f t="shared" si="31"/>
        <v>1</v>
      </c>
    </row>
    <row r="505" spans="1:8">
      <c r="A505" s="1">
        <v>223</v>
      </c>
      <c r="B505" s="8">
        <f>_xlfn.MAXIFS(Transactions[Transaction Date], Transactions[CustomerID],A505)</f>
        <v>43092</v>
      </c>
      <c r="C505" s="1">
        <f t="shared" si="28"/>
        <v>2</v>
      </c>
      <c r="D505" s="1">
        <f>COUNTIF(Transactions[CustomerID],"="&amp;A505)</f>
        <v>1</v>
      </c>
      <c r="E505" s="9">
        <f>IF(_xlfn.MAXIFS(Transactions[Transaction Amount], Transactions[CustomerID],A505)/'Customer Profiles'!$M$10&lt;=10,_xlfn.MAXIFS(Transactions[Transaction Amount], Transactions[CustomerID],A505)/'Customer Profiles'!$M$10,10)</f>
        <v>6.8815916889846604E-2</v>
      </c>
      <c r="F505" s="1">
        <f t="shared" si="29"/>
        <v>2</v>
      </c>
      <c r="G505" s="1">
        <f t="shared" si="30"/>
        <v>0.2</v>
      </c>
      <c r="H505" s="1">
        <f t="shared" si="31"/>
        <v>1</v>
      </c>
    </row>
    <row r="506" spans="1:8">
      <c r="A506" s="1">
        <v>466</v>
      </c>
      <c r="B506" s="8">
        <f>_xlfn.MAXIFS(Transactions[Transaction Date], Transactions[CustomerID],A506)</f>
        <v>43420</v>
      </c>
      <c r="C506" s="1">
        <f t="shared" si="28"/>
        <v>3</v>
      </c>
      <c r="D506" s="1">
        <f>COUNTIF(Transactions[CustomerID],"="&amp;A506)</f>
        <v>1</v>
      </c>
      <c r="E506" s="9">
        <f>IF(_xlfn.MAXIFS(Transactions[Transaction Amount], Transactions[CustomerID],A506)/'Customer Profiles'!$M$10&lt;=10,_xlfn.MAXIFS(Transactions[Transaction Amount], Transactions[CustomerID],A506)/'Customer Profiles'!$M$10,10)</f>
        <v>9.1771937509131873E-2</v>
      </c>
      <c r="F506" s="1">
        <f t="shared" si="29"/>
        <v>3</v>
      </c>
      <c r="G506" s="1">
        <f t="shared" si="30"/>
        <v>0.2</v>
      </c>
      <c r="H506" s="1">
        <f t="shared" si="31"/>
        <v>1</v>
      </c>
    </row>
    <row r="507" spans="1:8">
      <c r="A507" s="1">
        <v>580</v>
      </c>
      <c r="B507" s="8">
        <f>_xlfn.MAXIFS(Transactions[Transaction Date], Transactions[CustomerID],A507)</f>
        <v>43483</v>
      </c>
      <c r="C507" s="1">
        <f t="shared" si="28"/>
        <v>1</v>
      </c>
      <c r="D507" s="1">
        <f>COUNTIF(Transactions[CustomerID],"="&amp;A507)</f>
        <v>1</v>
      </c>
      <c r="E507" s="9">
        <f>IF(_xlfn.MAXIFS(Transactions[Transaction Amount], Transactions[CustomerID],A507)/'Customer Profiles'!$M$10&lt;=10,_xlfn.MAXIFS(Transactions[Transaction Amount], Transactions[CustomerID],A507)/'Customer Profiles'!$M$10,10)</f>
        <v>3.5633896943688863</v>
      </c>
      <c r="F507" s="1">
        <f t="shared" si="29"/>
        <v>1</v>
      </c>
      <c r="G507" s="1">
        <f t="shared" si="30"/>
        <v>0.2</v>
      </c>
      <c r="H507" s="1">
        <f t="shared" si="31"/>
        <v>1</v>
      </c>
    </row>
    <row r="508" spans="1:8">
      <c r="A508" s="1">
        <v>581</v>
      </c>
      <c r="B508" s="8">
        <f>_xlfn.MAXIFS(Transactions[Transaction Date], Transactions[CustomerID],A508)</f>
        <v>43405</v>
      </c>
      <c r="C508" s="1">
        <f t="shared" si="28"/>
        <v>4</v>
      </c>
      <c r="D508" s="1">
        <f>COUNTIF(Transactions[CustomerID],"="&amp;A508)</f>
        <v>3</v>
      </c>
      <c r="E508" s="9">
        <f>IF(_xlfn.MAXIFS(Transactions[Transaction Amount], Transactions[CustomerID],A508)/'Customer Profiles'!$M$10&lt;=10,_xlfn.MAXIFS(Transactions[Transaction Amount], Transactions[CustomerID],A508)/'Customer Profiles'!$M$10,10)</f>
        <v>4.0621888644290145</v>
      </c>
      <c r="F508" s="1">
        <f t="shared" si="29"/>
        <v>4</v>
      </c>
      <c r="G508" s="1">
        <f t="shared" si="30"/>
        <v>0.6</v>
      </c>
      <c r="H508" s="1">
        <f t="shared" si="31"/>
        <v>1</v>
      </c>
    </row>
    <row r="509" spans="1:8">
      <c r="A509" s="1">
        <v>71</v>
      </c>
      <c r="B509" s="8">
        <f>_xlfn.MAXIFS(Transactions[Transaction Date], Transactions[CustomerID],A509)</f>
        <v>43436</v>
      </c>
      <c r="C509" s="1">
        <f t="shared" si="28"/>
        <v>2</v>
      </c>
      <c r="D509" s="1">
        <f>COUNTIF(Transactions[CustomerID],"="&amp;A509)</f>
        <v>3</v>
      </c>
      <c r="E509" s="9">
        <f>IF(_xlfn.MAXIFS(Transactions[Transaction Amount], Transactions[CustomerID],A509)/'Customer Profiles'!$M$10&lt;=10,_xlfn.MAXIFS(Transactions[Transaction Amount], Transactions[CustomerID],A509)/'Customer Profiles'!$M$10,10)</f>
        <v>0.68524512726128128</v>
      </c>
      <c r="F509" s="1">
        <f t="shared" si="29"/>
        <v>2</v>
      </c>
      <c r="G509" s="1">
        <f t="shared" si="30"/>
        <v>0.6</v>
      </c>
      <c r="H509" s="1">
        <f t="shared" si="31"/>
        <v>1</v>
      </c>
    </row>
    <row r="510" spans="1:8">
      <c r="A510" s="1">
        <v>364</v>
      </c>
      <c r="B510" s="8">
        <f>_xlfn.MAXIFS(Transactions[Transaction Date], Transactions[CustomerID],A510)</f>
        <v>43174</v>
      </c>
      <c r="C510" s="1">
        <f t="shared" si="28"/>
        <v>11</v>
      </c>
      <c r="D510" s="1">
        <f>COUNTIF(Transactions[CustomerID],"="&amp;A510)</f>
        <v>1</v>
      </c>
      <c r="E510" s="9">
        <f>IF(_xlfn.MAXIFS(Transactions[Transaction Amount], Transactions[CustomerID],A510)/'Customer Profiles'!$M$10&lt;=10,_xlfn.MAXIFS(Transactions[Transaction Amount], Transactions[CustomerID],A510)/'Customer Profiles'!$M$10,10)</f>
        <v>2.5719462375397115</v>
      </c>
      <c r="F510" s="1">
        <f t="shared" si="29"/>
        <v>10</v>
      </c>
      <c r="G510" s="1">
        <f t="shared" si="30"/>
        <v>0.2</v>
      </c>
      <c r="H510" s="1">
        <f t="shared" si="31"/>
        <v>1</v>
      </c>
    </row>
    <row r="511" spans="1:8">
      <c r="A511" s="1">
        <v>347</v>
      </c>
      <c r="B511" s="8">
        <f>_xlfn.MAXIFS(Transactions[Transaction Date], Transactions[CustomerID],A511)</f>
        <v>43093</v>
      </c>
      <c r="C511" s="1">
        <f t="shared" si="28"/>
        <v>2</v>
      </c>
      <c r="D511" s="1">
        <f>COUNTIF(Transactions[CustomerID],"="&amp;A511)</f>
        <v>1</v>
      </c>
      <c r="E511" s="9">
        <f>IF(_xlfn.MAXIFS(Transactions[Transaction Amount], Transactions[CustomerID],A511)/'Customer Profiles'!$M$10&lt;=10,_xlfn.MAXIFS(Transactions[Transaction Amount], Transactions[CustomerID],A511)/'Customer Profiles'!$M$10,10)</f>
        <v>5.529094707606904E-2</v>
      </c>
      <c r="F511" s="1">
        <f t="shared" si="29"/>
        <v>2</v>
      </c>
      <c r="G511" s="1">
        <f t="shared" si="30"/>
        <v>0.2</v>
      </c>
      <c r="H511" s="1">
        <f t="shared" si="31"/>
        <v>1</v>
      </c>
    </row>
    <row r="512" spans="1:8">
      <c r="A512" s="1">
        <v>375</v>
      </c>
      <c r="B512" s="8">
        <f>_xlfn.MAXIFS(Transactions[Transaction Date], Transactions[CustomerID],A512)</f>
        <v>43078</v>
      </c>
      <c r="C512" s="1">
        <f t="shared" si="28"/>
        <v>2</v>
      </c>
      <c r="D512" s="1">
        <f>COUNTIF(Transactions[CustomerID],"="&amp;A512)</f>
        <v>1</v>
      </c>
      <c r="E512" s="9">
        <f>IF(_xlfn.MAXIFS(Transactions[Transaction Amount], Transactions[CustomerID],A512)/'Customer Profiles'!$M$10&lt;=10,_xlfn.MAXIFS(Transactions[Transaction Amount], Transactions[CustomerID],A512)/'Customer Profiles'!$M$10,10)</f>
        <v>0.99650781263031007</v>
      </c>
      <c r="F512" s="1">
        <f t="shared" si="29"/>
        <v>2</v>
      </c>
      <c r="G512" s="1">
        <f t="shared" si="30"/>
        <v>0.2</v>
      </c>
      <c r="H512" s="1">
        <f t="shared" si="31"/>
        <v>1</v>
      </c>
    </row>
    <row r="513" spans="1:8">
      <c r="A513" s="1">
        <v>422</v>
      </c>
      <c r="B513" s="8">
        <f>_xlfn.MAXIFS(Transactions[Transaction Date], Transactions[CustomerID],A513)</f>
        <v>43428</v>
      </c>
      <c r="C513" s="1">
        <f t="shared" si="28"/>
        <v>3</v>
      </c>
      <c r="D513" s="1">
        <f>COUNTIF(Transactions[CustomerID],"="&amp;A513)</f>
        <v>2</v>
      </c>
      <c r="E513" s="9">
        <f>IF(_xlfn.MAXIFS(Transactions[Transaction Amount], Transactions[CustomerID],A513)/'Customer Profiles'!$M$10&lt;=10,_xlfn.MAXIFS(Transactions[Transaction Amount], Transactions[CustomerID],A513)/'Customer Profiles'!$M$10,10)</f>
        <v>0.20728668507364101</v>
      </c>
      <c r="F513" s="1">
        <f t="shared" si="29"/>
        <v>3</v>
      </c>
      <c r="G513" s="1">
        <f t="shared" si="30"/>
        <v>0.4</v>
      </c>
      <c r="H513" s="1">
        <f t="shared" si="31"/>
        <v>1</v>
      </c>
    </row>
    <row r="514" spans="1:8">
      <c r="A514" s="1">
        <v>137</v>
      </c>
      <c r="B514" s="8">
        <f>_xlfn.MAXIFS(Transactions[Transaction Date], Transactions[CustomerID],A514)</f>
        <v>43311</v>
      </c>
      <c r="C514" s="1">
        <f t="shared" si="28"/>
        <v>7</v>
      </c>
      <c r="D514" s="1">
        <f>COUNTIF(Transactions[CustomerID],"="&amp;A514)</f>
        <v>1</v>
      </c>
      <c r="E514" s="9">
        <f>IF(_xlfn.MAXIFS(Transactions[Transaction Amount], Transactions[CustomerID],A514)/'Customer Profiles'!$M$10&lt;=10,_xlfn.MAXIFS(Transactions[Transaction Amount], Transactions[CustomerID],A514)/'Customer Profiles'!$M$10,10)</f>
        <v>0.65022410816613463</v>
      </c>
      <c r="F514" s="1">
        <f t="shared" si="29"/>
        <v>7</v>
      </c>
      <c r="G514" s="1">
        <f t="shared" si="30"/>
        <v>0.2</v>
      </c>
      <c r="H514" s="1">
        <f t="shared" si="31"/>
        <v>1</v>
      </c>
    </row>
    <row r="515" spans="1:8">
      <c r="A515" s="1">
        <v>217</v>
      </c>
      <c r="B515" s="8">
        <f>_xlfn.MAXIFS(Transactions[Transaction Date], Transactions[CustomerID],A515)</f>
        <v>42873</v>
      </c>
      <c r="C515" s="1">
        <f t="shared" si="28"/>
        <v>9</v>
      </c>
      <c r="D515" s="1">
        <f>COUNTIF(Transactions[CustomerID],"="&amp;A515)</f>
        <v>1</v>
      </c>
      <c r="E515" s="9">
        <f>IF(_xlfn.MAXIFS(Transactions[Transaction Amount], Transactions[CustomerID],A515)/'Customer Profiles'!$M$10&lt;=10,_xlfn.MAXIFS(Transactions[Transaction Amount], Transactions[CustomerID],A515)/'Customer Profiles'!$M$10,10)</f>
        <v>3.1692828960499386</v>
      </c>
      <c r="F515" s="1">
        <f t="shared" si="29"/>
        <v>9</v>
      </c>
      <c r="G515" s="1">
        <f t="shared" si="30"/>
        <v>0.2</v>
      </c>
      <c r="H515" s="1">
        <f t="shared" si="31"/>
        <v>1</v>
      </c>
    </row>
    <row r="516" spans="1:8">
      <c r="A516" s="1">
        <v>261</v>
      </c>
      <c r="B516" s="8">
        <f>_xlfn.MAXIFS(Transactions[Transaction Date], Transactions[CustomerID],A516)</f>
        <v>43338</v>
      </c>
      <c r="C516" s="1">
        <f t="shared" si="28"/>
        <v>6</v>
      </c>
      <c r="D516" s="1">
        <f>COUNTIF(Transactions[CustomerID],"="&amp;A516)</f>
        <v>1</v>
      </c>
      <c r="E516" s="9">
        <f>IF(_xlfn.MAXIFS(Transactions[Transaction Amount], Transactions[CustomerID],A516)/'Customer Profiles'!$M$10&lt;=10,_xlfn.MAXIFS(Transactions[Transaction Amount], Transactions[CustomerID],A516)/'Customer Profiles'!$M$10,10)</f>
        <v>1.2432096797062751</v>
      </c>
      <c r="F516" s="1">
        <f t="shared" si="29"/>
        <v>6</v>
      </c>
      <c r="G516" s="1">
        <f t="shared" si="30"/>
        <v>0.2</v>
      </c>
      <c r="H516" s="1">
        <f t="shared" si="31"/>
        <v>1</v>
      </c>
    </row>
    <row r="517" spans="1:8">
      <c r="A517" s="1">
        <v>370</v>
      </c>
      <c r="B517" s="8">
        <f>_xlfn.MAXIFS(Transactions[Transaction Date], Transactions[CustomerID],A517)</f>
        <v>43084</v>
      </c>
      <c r="C517" s="1">
        <f t="shared" si="28"/>
        <v>2</v>
      </c>
      <c r="D517" s="1">
        <f>COUNTIF(Transactions[CustomerID],"="&amp;A517)</f>
        <v>1</v>
      </c>
      <c r="E517" s="9">
        <f>IF(_xlfn.MAXIFS(Transactions[Transaction Amount], Transactions[CustomerID],A517)/'Customer Profiles'!$M$10&lt;=10,_xlfn.MAXIFS(Transactions[Transaction Amount], Transactions[CustomerID],A517)/'Customer Profiles'!$M$10,10)</f>
        <v>0.81308394214721602</v>
      </c>
      <c r="F517" s="1">
        <f t="shared" si="29"/>
        <v>2</v>
      </c>
      <c r="G517" s="1">
        <f t="shared" si="30"/>
        <v>0.2</v>
      </c>
      <c r="H517" s="1">
        <f t="shared" si="31"/>
        <v>1</v>
      </c>
    </row>
    <row r="518" spans="1:8">
      <c r="A518" s="1">
        <v>172</v>
      </c>
      <c r="B518" s="8">
        <f>_xlfn.MAXIFS(Transactions[Transaction Date], Transactions[CustomerID],A518)</f>
        <v>43389</v>
      </c>
      <c r="C518" s="1">
        <f t="shared" ref="C518:C581" si="32">(MAX(DATEDIF(B518,"03/01/2019","ym"),1))</f>
        <v>4</v>
      </c>
      <c r="D518" s="1">
        <f>COUNTIF(Transactions[CustomerID],"="&amp;A518)</f>
        <v>1</v>
      </c>
      <c r="E518" s="9">
        <f>IF(_xlfn.MAXIFS(Transactions[Transaction Amount], Transactions[CustomerID],A518)/'Customer Profiles'!$M$10&lt;=10,_xlfn.MAXIFS(Transactions[Transaction Amount], Transactions[CustomerID],A518)/'Customer Profiles'!$M$10,10)</f>
        <v>0.32743073518425009</v>
      </c>
      <c r="F518" s="1">
        <f t="shared" ref="F518:F581" si="33">IF(ROUND(C518,2)&lt;=10,ROUND(C518,2),10)</f>
        <v>4</v>
      </c>
      <c r="G518" s="1">
        <f t="shared" ref="G518:G581" si="34">IF(ROUND(D518/$M$6,2)&lt;=10,ROUND(D518/$M$6,2),10)</f>
        <v>0.2</v>
      </c>
      <c r="H518" s="1">
        <f t="shared" ref="H518:H581" si="35">IF(ROUND(E518*$K$8+F518*$K$6+G518*$K$7,2)&lt;1,1,ROUND(E518*$K$8+F518*$K$6+G518*$K$7,2))</f>
        <v>1</v>
      </c>
    </row>
    <row r="519" spans="1:8">
      <c r="A519" s="1">
        <v>18</v>
      </c>
      <c r="B519" s="8">
        <f>_xlfn.MAXIFS(Transactions[Transaction Date], Transactions[CustomerID],A519)</f>
        <v>43026</v>
      </c>
      <c r="C519" s="1">
        <f t="shared" si="32"/>
        <v>4</v>
      </c>
      <c r="D519" s="1">
        <f>COUNTIF(Transactions[CustomerID],"="&amp;A519)</f>
        <v>2</v>
      </c>
      <c r="E519" s="9">
        <f>IF(_xlfn.MAXIFS(Transactions[Transaction Amount], Transactions[CustomerID],A519)/'Customer Profiles'!$M$10&lt;=10,_xlfn.MAXIFS(Transactions[Transaction Amount], Transactions[CustomerID],A519)/'Customer Profiles'!$M$10,10)</f>
        <v>1.7383954765148417</v>
      </c>
      <c r="F519" s="1">
        <f t="shared" si="33"/>
        <v>4</v>
      </c>
      <c r="G519" s="1">
        <f t="shared" si="34"/>
        <v>0.4</v>
      </c>
      <c r="H519" s="1">
        <f t="shared" si="35"/>
        <v>1</v>
      </c>
    </row>
    <row r="520" spans="1:8">
      <c r="A520" s="1">
        <v>414</v>
      </c>
      <c r="B520" s="8">
        <f>_xlfn.MAXIFS(Transactions[Transaction Date], Transactions[CustomerID],A520)</f>
        <v>42934</v>
      </c>
      <c r="C520" s="1">
        <f t="shared" si="32"/>
        <v>7</v>
      </c>
      <c r="D520" s="1">
        <f>COUNTIF(Transactions[CustomerID],"="&amp;A520)</f>
        <v>1</v>
      </c>
      <c r="E520" s="9">
        <f>IF(_xlfn.MAXIFS(Transactions[Transaction Amount], Transactions[CustomerID],A520)/'Customer Profiles'!$M$10&lt;=10,_xlfn.MAXIFS(Transactions[Transaction Amount], Transactions[CustomerID],A520)/'Customer Profiles'!$M$10,10)</f>
        <v>9.538006502740376E-2</v>
      </c>
      <c r="F520" s="1">
        <f t="shared" si="33"/>
        <v>7</v>
      </c>
      <c r="G520" s="1">
        <f t="shared" si="34"/>
        <v>0.2</v>
      </c>
      <c r="H520" s="1">
        <f t="shared" si="35"/>
        <v>1</v>
      </c>
    </row>
    <row r="521" spans="1:8">
      <c r="A521" s="1">
        <v>531</v>
      </c>
      <c r="B521" s="8">
        <f>_xlfn.MAXIFS(Transactions[Transaction Date], Transactions[CustomerID],A521)</f>
        <v>42993</v>
      </c>
      <c r="C521" s="1">
        <f t="shared" si="32"/>
        <v>5</v>
      </c>
      <c r="D521" s="1">
        <f>COUNTIF(Transactions[CustomerID],"="&amp;A521)</f>
        <v>1</v>
      </c>
      <c r="E521" s="9">
        <f>IF(_xlfn.MAXIFS(Transactions[Transaction Amount], Transactions[CustomerID],A521)/'Customer Profiles'!$M$10&lt;=10,_xlfn.MAXIFS(Transactions[Transaction Amount], Transactions[CustomerID],A521)/'Customer Profiles'!$M$10,10)</f>
        <v>1.3252128220982722</v>
      </c>
      <c r="F521" s="1">
        <f t="shared" si="33"/>
        <v>5</v>
      </c>
      <c r="G521" s="1">
        <f t="shared" si="34"/>
        <v>0.2</v>
      </c>
      <c r="H521" s="1">
        <f t="shared" si="35"/>
        <v>1</v>
      </c>
    </row>
    <row r="522" spans="1:8">
      <c r="A522" s="1">
        <v>440</v>
      </c>
      <c r="B522" s="8">
        <f>_xlfn.MAXIFS(Transactions[Transaction Date], Transactions[CustomerID],A522)</f>
        <v>42871</v>
      </c>
      <c r="C522" s="1">
        <f t="shared" si="32"/>
        <v>9</v>
      </c>
      <c r="D522" s="1">
        <f>COUNTIF(Transactions[CustomerID],"="&amp;A522)</f>
        <v>1</v>
      </c>
      <c r="E522" s="9">
        <f>IF(_xlfn.MAXIFS(Transactions[Transaction Amount], Transactions[CustomerID],A522)/'Customer Profiles'!$M$10&lt;=10,_xlfn.MAXIFS(Transactions[Transaction Amount], Transactions[CustomerID],A522)/'Customer Profiles'!$M$10,10)</f>
        <v>2.2087719895683908</v>
      </c>
      <c r="F522" s="1">
        <f t="shared" si="33"/>
        <v>9</v>
      </c>
      <c r="G522" s="1">
        <f t="shared" si="34"/>
        <v>0.2</v>
      </c>
      <c r="H522" s="1">
        <f t="shared" si="35"/>
        <v>1</v>
      </c>
    </row>
    <row r="523" spans="1:8">
      <c r="A523" s="1">
        <v>227</v>
      </c>
      <c r="B523" s="8">
        <f>_xlfn.MAXIFS(Transactions[Transaction Date], Transactions[CustomerID],A523)</f>
        <v>43120</v>
      </c>
      <c r="C523" s="1">
        <f t="shared" si="32"/>
        <v>1</v>
      </c>
      <c r="D523" s="1">
        <f>COUNTIF(Transactions[CustomerID],"="&amp;A523)</f>
        <v>3</v>
      </c>
      <c r="E523" s="9">
        <f>IF(_xlfn.MAXIFS(Transactions[Transaction Amount], Transactions[CustomerID],A523)/'Customer Profiles'!$M$10&lt;=10,_xlfn.MAXIFS(Transactions[Transaction Amount], Transactions[CustomerID],A523)/'Customer Profiles'!$M$10,10)</f>
        <v>1.9474931738690175</v>
      </c>
      <c r="F523" s="1">
        <f t="shared" si="33"/>
        <v>1</v>
      </c>
      <c r="G523" s="1">
        <f t="shared" si="34"/>
        <v>0.6</v>
      </c>
      <c r="H523" s="1">
        <f t="shared" si="35"/>
        <v>1</v>
      </c>
    </row>
    <row r="524" spans="1:8">
      <c r="A524" s="1">
        <v>174</v>
      </c>
      <c r="B524" s="8">
        <f>_xlfn.MAXIFS(Transactions[Transaction Date], Transactions[CustomerID],A524)</f>
        <v>42755</v>
      </c>
      <c r="C524" s="1">
        <f t="shared" si="32"/>
        <v>1</v>
      </c>
      <c r="D524" s="1">
        <f>COUNTIF(Transactions[CustomerID],"="&amp;A524)</f>
        <v>1</v>
      </c>
      <c r="E524" s="9">
        <f>IF(_xlfn.MAXIFS(Transactions[Transaction Amount], Transactions[CustomerID],A524)/'Customer Profiles'!$M$10&lt;=10,_xlfn.MAXIFS(Transactions[Transaction Amount], Transactions[CustomerID],A524)/'Customer Profiles'!$M$10,10)</f>
        <v>0.57568967240693758</v>
      </c>
      <c r="F524" s="1">
        <f t="shared" si="33"/>
        <v>1</v>
      </c>
      <c r="G524" s="1">
        <f t="shared" si="34"/>
        <v>0.2</v>
      </c>
      <c r="H524" s="1">
        <f t="shared" si="35"/>
        <v>1</v>
      </c>
    </row>
    <row r="525" spans="1:8">
      <c r="A525" s="1">
        <v>80</v>
      </c>
      <c r="B525" s="8">
        <f>_xlfn.MAXIFS(Transactions[Transaction Date], Transactions[CustomerID],A525)</f>
        <v>43255</v>
      </c>
      <c r="C525" s="1">
        <f t="shared" si="32"/>
        <v>8</v>
      </c>
      <c r="D525" s="1">
        <f>COUNTIF(Transactions[CustomerID],"="&amp;A525)</f>
        <v>2</v>
      </c>
      <c r="E525" s="9">
        <f>IF(_xlfn.MAXIFS(Transactions[Transaction Amount], Transactions[CustomerID],A525)/'Customer Profiles'!$M$10&lt;=10,_xlfn.MAXIFS(Transactions[Transaction Amount], Transactions[CustomerID],A525)/'Customer Profiles'!$M$10,10)</f>
        <v>2.7823292999645202</v>
      </c>
      <c r="F525" s="1">
        <f t="shared" si="33"/>
        <v>8</v>
      </c>
      <c r="G525" s="1">
        <f t="shared" si="34"/>
        <v>0.4</v>
      </c>
      <c r="H525" s="1">
        <f t="shared" si="35"/>
        <v>1</v>
      </c>
    </row>
    <row r="526" spans="1:8">
      <c r="A526" s="1">
        <v>294</v>
      </c>
      <c r="B526" s="8">
        <f>_xlfn.MAXIFS(Transactions[Transaction Date], Transactions[CustomerID],A526)</f>
        <v>43440</v>
      </c>
      <c r="C526" s="1">
        <f t="shared" si="32"/>
        <v>2</v>
      </c>
      <c r="D526" s="1">
        <f>COUNTIF(Transactions[CustomerID],"="&amp;A526)</f>
        <v>1</v>
      </c>
      <c r="E526" s="9">
        <f>IF(_xlfn.MAXIFS(Transactions[Transaction Amount], Transactions[CustomerID],A526)/'Customer Profiles'!$M$10&lt;=10,_xlfn.MAXIFS(Transactions[Transaction Amount], Transactions[CustomerID],A526)/'Customer Profiles'!$M$10,10)</f>
        <v>6.7263924163146221E-2</v>
      </c>
      <c r="F526" s="1">
        <f t="shared" si="33"/>
        <v>2</v>
      </c>
      <c r="G526" s="1">
        <f t="shared" si="34"/>
        <v>0.2</v>
      </c>
      <c r="H526" s="1">
        <f t="shared" si="35"/>
        <v>1</v>
      </c>
    </row>
    <row r="527" spans="1:8">
      <c r="A527" s="1">
        <v>566</v>
      </c>
      <c r="B527" s="8">
        <f>_xlfn.MAXIFS(Transactions[Transaction Date], Transactions[CustomerID],A527)</f>
        <v>43326</v>
      </c>
      <c r="C527" s="1">
        <f t="shared" si="32"/>
        <v>6</v>
      </c>
      <c r="D527" s="1">
        <f>COUNTIF(Transactions[CustomerID],"="&amp;A527)</f>
        <v>1</v>
      </c>
      <c r="E527" s="9">
        <f>IF(_xlfn.MAXIFS(Transactions[Transaction Amount], Transactions[CustomerID],A527)/'Customer Profiles'!$M$10&lt;=10,_xlfn.MAXIFS(Transactions[Transaction Amount], Transactions[CustomerID],A527)/'Customer Profiles'!$M$10,10)</f>
        <v>0.2111937379524973</v>
      </c>
      <c r="F527" s="1">
        <f t="shared" si="33"/>
        <v>6</v>
      </c>
      <c r="G527" s="1">
        <f t="shared" si="34"/>
        <v>0.2</v>
      </c>
      <c r="H527" s="1">
        <f t="shared" si="35"/>
        <v>1</v>
      </c>
    </row>
    <row r="528" spans="1:8">
      <c r="A528" s="1">
        <v>43</v>
      </c>
      <c r="B528" s="8">
        <f>_xlfn.MAXIFS(Transactions[Transaction Date], Transactions[CustomerID],A528)</f>
        <v>43482</v>
      </c>
      <c r="C528" s="1">
        <f t="shared" si="32"/>
        <v>1</v>
      </c>
      <c r="D528" s="1">
        <f>COUNTIF(Transactions[CustomerID],"="&amp;A528)</f>
        <v>2</v>
      </c>
      <c r="E528" s="9">
        <f>IF(_xlfn.MAXIFS(Transactions[Transaction Amount], Transactions[CustomerID],A528)/'Customer Profiles'!$M$10&lt;=10,_xlfn.MAXIFS(Transactions[Transaction Amount], Transactions[CustomerID],A528)/'Customer Profiles'!$M$10,10)</f>
        <v>0.59952379616167262</v>
      </c>
      <c r="F528" s="1">
        <f t="shared" si="33"/>
        <v>1</v>
      </c>
      <c r="G528" s="1">
        <f t="shared" si="34"/>
        <v>0.4</v>
      </c>
      <c r="H528" s="1">
        <f t="shared" si="35"/>
        <v>1</v>
      </c>
    </row>
    <row r="529" spans="1:8">
      <c r="A529" s="1">
        <v>74</v>
      </c>
      <c r="B529" s="8">
        <f>_xlfn.MAXIFS(Transactions[Transaction Date], Transactions[CustomerID],A529)</f>
        <v>43299</v>
      </c>
      <c r="C529" s="1">
        <f t="shared" si="32"/>
        <v>7</v>
      </c>
      <c r="D529" s="1">
        <f>COUNTIF(Transactions[CustomerID],"="&amp;A529)</f>
        <v>2</v>
      </c>
      <c r="E529" s="9">
        <f>IF(_xlfn.MAXIFS(Transactions[Transaction Amount], Transactions[CustomerID],A529)/'Customer Profiles'!$M$10&lt;=10,_xlfn.MAXIFS(Transactions[Transaction Amount], Transactions[CustomerID],A529)/'Customer Profiles'!$M$10,10)</f>
        <v>0.94766697317571114</v>
      </c>
      <c r="F529" s="1">
        <f t="shared" si="33"/>
        <v>7</v>
      </c>
      <c r="G529" s="1">
        <f t="shared" si="34"/>
        <v>0.4</v>
      </c>
      <c r="H529" s="1">
        <f t="shared" si="35"/>
        <v>1</v>
      </c>
    </row>
    <row r="530" spans="1:8">
      <c r="A530" s="1">
        <v>282</v>
      </c>
      <c r="B530" s="8">
        <f>_xlfn.MAXIFS(Transactions[Transaction Date], Transactions[CustomerID],A530)</f>
        <v>43397</v>
      </c>
      <c r="C530" s="1">
        <f t="shared" si="32"/>
        <v>4</v>
      </c>
      <c r="D530" s="1">
        <f>COUNTIF(Transactions[CustomerID],"="&amp;A530)</f>
        <v>1</v>
      </c>
      <c r="E530" s="9">
        <f>IF(_xlfn.MAXIFS(Transactions[Transaction Amount], Transactions[CustomerID],A530)/'Customer Profiles'!$M$10&lt;=10,_xlfn.MAXIFS(Transactions[Transaction Amount], Transactions[CustomerID],A530)/'Customer Profiles'!$M$10,10)</f>
        <v>6.704809990265379</v>
      </c>
      <c r="F530" s="1">
        <f t="shared" si="33"/>
        <v>4</v>
      </c>
      <c r="G530" s="1">
        <f t="shared" si="34"/>
        <v>0.2</v>
      </c>
      <c r="H530" s="1">
        <f t="shared" si="35"/>
        <v>1</v>
      </c>
    </row>
    <row r="531" spans="1:8">
      <c r="A531" s="1">
        <v>449</v>
      </c>
      <c r="B531" s="8">
        <f>_xlfn.MAXIFS(Transactions[Transaction Date], Transactions[CustomerID],A531)</f>
        <v>43390</v>
      </c>
      <c r="C531" s="1">
        <f t="shared" si="32"/>
        <v>4</v>
      </c>
      <c r="D531" s="1">
        <f>COUNTIF(Transactions[CustomerID],"="&amp;A531)</f>
        <v>1</v>
      </c>
      <c r="E531" s="9">
        <f>IF(_xlfn.MAXIFS(Transactions[Transaction Amount], Transactions[CustomerID],A531)/'Customer Profiles'!$M$10&lt;=10,_xlfn.MAXIFS(Transactions[Transaction Amount], Transactions[CustomerID],A531)/'Customer Profiles'!$M$10,10)</f>
        <v>0.14208666028006581</v>
      </c>
      <c r="F531" s="1">
        <f t="shared" si="33"/>
        <v>4</v>
      </c>
      <c r="G531" s="1">
        <f t="shared" si="34"/>
        <v>0.2</v>
      </c>
      <c r="H531" s="1">
        <f t="shared" si="35"/>
        <v>1</v>
      </c>
    </row>
    <row r="532" spans="1:8">
      <c r="A532" s="1">
        <v>66</v>
      </c>
      <c r="B532" s="8">
        <f>_xlfn.MAXIFS(Transactions[Transaction Date], Transactions[CustomerID],A532)</f>
        <v>43084</v>
      </c>
      <c r="C532" s="1">
        <f t="shared" si="32"/>
        <v>2</v>
      </c>
      <c r="D532" s="1">
        <f>COUNTIF(Transactions[CustomerID],"="&amp;A532)</f>
        <v>1</v>
      </c>
      <c r="E532" s="9">
        <f>IF(_xlfn.MAXIFS(Transactions[Transaction Amount], Transactions[CustomerID],A532)/'Customer Profiles'!$M$10&lt;=10,_xlfn.MAXIFS(Transactions[Transaction Amount], Transactions[CustomerID],A532)/'Customer Profiles'!$M$10,10)</f>
        <v>0.23210951830433491</v>
      </c>
      <c r="F532" s="1">
        <f t="shared" si="33"/>
        <v>2</v>
      </c>
      <c r="G532" s="1">
        <f t="shared" si="34"/>
        <v>0.2</v>
      </c>
      <c r="H532" s="1">
        <f t="shared" si="35"/>
        <v>1</v>
      </c>
    </row>
    <row r="533" spans="1:8">
      <c r="A533" s="1">
        <v>557</v>
      </c>
      <c r="B533" s="8">
        <f>_xlfn.MAXIFS(Transactions[Transaction Date], Transactions[CustomerID],A533)</f>
        <v>42857</v>
      </c>
      <c r="C533" s="1">
        <f t="shared" si="32"/>
        <v>9</v>
      </c>
      <c r="D533" s="1">
        <f>COUNTIF(Transactions[CustomerID],"="&amp;A533)</f>
        <v>1</v>
      </c>
      <c r="E533" s="9">
        <f>IF(_xlfn.MAXIFS(Transactions[Transaction Amount], Transactions[CustomerID],A533)/'Customer Profiles'!$M$10&lt;=10,_xlfn.MAXIFS(Transactions[Transaction Amount], Transactions[CustomerID],A533)/'Customer Profiles'!$M$10,10)</f>
        <v>0.93028250447118321</v>
      </c>
      <c r="F533" s="1">
        <f t="shared" si="33"/>
        <v>9</v>
      </c>
      <c r="G533" s="1">
        <f t="shared" si="34"/>
        <v>0.2</v>
      </c>
      <c r="H533" s="1">
        <f t="shared" si="35"/>
        <v>1</v>
      </c>
    </row>
    <row r="534" spans="1:8">
      <c r="A534" s="1">
        <v>398</v>
      </c>
      <c r="B534" s="8">
        <f>_xlfn.MAXIFS(Transactions[Transaction Date], Transactions[CustomerID],A534)</f>
        <v>43288</v>
      </c>
      <c r="C534" s="1">
        <f t="shared" si="32"/>
        <v>7</v>
      </c>
      <c r="D534" s="1">
        <f>COUNTIF(Transactions[CustomerID],"="&amp;A534)</f>
        <v>1</v>
      </c>
      <c r="E534" s="9">
        <f>IF(_xlfn.MAXIFS(Transactions[Transaction Amount], Transactions[CustomerID],A534)/'Customer Profiles'!$M$10&lt;=10,_xlfn.MAXIFS(Transactions[Transaction Amount], Transactions[CustomerID],A534)/'Customer Profiles'!$M$10,10)</f>
        <v>0.95795188293695732</v>
      </c>
      <c r="F534" s="1">
        <f t="shared" si="33"/>
        <v>7</v>
      </c>
      <c r="G534" s="1">
        <f t="shared" si="34"/>
        <v>0.2</v>
      </c>
      <c r="H534" s="1">
        <f t="shared" si="35"/>
        <v>1</v>
      </c>
    </row>
    <row r="535" spans="1:8">
      <c r="A535" s="1">
        <v>536</v>
      </c>
      <c r="B535" s="8">
        <f>_xlfn.MAXIFS(Transactions[Transaction Date], Transactions[CustomerID],A535)</f>
        <v>43177</v>
      </c>
      <c r="C535" s="1">
        <f t="shared" si="32"/>
        <v>11</v>
      </c>
      <c r="D535" s="1">
        <f>COUNTIF(Transactions[CustomerID],"="&amp;A535)</f>
        <v>1</v>
      </c>
      <c r="E535" s="9">
        <f>IF(_xlfn.MAXIFS(Transactions[Transaction Amount], Transactions[CustomerID],A535)/'Customer Profiles'!$M$10&lt;=10,_xlfn.MAXIFS(Transactions[Transaction Amount], Transactions[CustomerID],A535)/'Customer Profiles'!$M$10,10)</f>
        <v>2.1883291706704244</v>
      </c>
      <c r="F535" s="1">
        <f t="shared" si="33"/>
        <v>10</v>
      </c>
      <c r="G535" s="1">
        <f t="shared" si="34"/>
        <v>0.2</v>
      </c>
      <c r="H535" s="1">
        <f t="shared" si="35"/>
        <v>1</v>
      </c>
    </row>
    <row r="536" spans="1:8">
      <c r="A536" s="1">
        <v>59</v>
      </c>
      <c r="B536" s="8">
        <f>_xlfn.MAXIFS(Transactions[Transaction Date], Transactions[CustomerID],A536)</f>
        <v>43488</v>
      </c>
      <c r="C536" s="1">
        <f t="shared" si="32"/>
        <v>1</v>
      </c>
      <c r="D536" s="1">
        <f>COUNTIF(Transactions[CustomerID],"="&amp;A536)</f>
        <v>1</v>
      </c>
      <c r="E536" s="9">
        <f>IF(_xlfn.MAXIFS(Transactions[Transaction Amount], Transactions[CustomerID],A536)/'Customer Profiles'!$M$10&lt;=10,_xlfn.MAXIFS(Transactions[Transaction Amount], Transactions[CustomerID],A536)/'Customer Profiles'!$M$10,10)</f>
        <v>2.3324816594752895</v>
      </c>
      <c r="F536" s="1">
        <f t="shared" si="33"/>
        <v>1</v>
      </c>
      <c r="G536" s="1">
        <f t="shared" si="34"/>
        <v>0.2</v>
      </c>
      <c r="H536" s="1">
        <f t="shared" si="35"/>
        <v>1</v>
      </c>
    </row>
    <row r="537" spans="1:8">
      <c r="A537" s="1">
        <v>403</v>
      </c>
      <c r="B537" s="8">
        <f>_xlfn.MAXIFS(Transactions[Transaction Date], Transactions[CustomerID],A537)</f>
        <v>43424</v>
      </c>
      <c r="C537" s="1">
        <f t="shared" si="32"/>
        <v>3</v>
      </c>
      <c r="D537" s="1">
        <f>COUNTIF(Transactions[CustomerID],"="&amp;A537)</f>
        <v>1</v>
      </c>
      <c r="E537" s="9">
        <f>IF(_xlfn.MAXIFS(Transactions[Transaction Amount], Transactions[CustomerID],A537)/'Customer Profiles'!$M$10&lt;=10,_xlfn.MAXIFS(Transactions[Transaction Amount], Transactions[CustomerID],A537)/'Customer Profiles'!$M$10,10)</f>
        <v>0.39601385451035237</v>
      </c>
      <c r="F537" s="1">
        <f t="shared" si="33"/>
        <v>3</v>
      </c>
      <c r="G537" s="1">
        <f t="shared" si="34"/>
        <v>0.2</v>
      </c>
      <c r="H537" s="1">
        <f t="shared" si="35"/>
        <v>1</v>
      </c>
    </row>
    <row r="538" spans="1:8">
      <c r="A538" s="1">
        <v>222</v>
      </c>
      <c r="B538" s="8">
        <f>_xlfn.MAXIFS(Transactions[Transaction Date], Transactions[CustomerID],A538)</f>
        <v>43276</v>
      </c>
      <c r="C538" s="1">
        <f t="shared" si="32"/>
        <v>8</v>
      </c>
      <c r="D538" s="1">
        <f>COUNTIF(Transactions[CustomerID],"="&amp;A538)</f>
        <v>2</v>
      </c>
      <c r="E538" s="9">
        <f>IF(_xlfn.MAXIFS(Transactions[Transaction Amount], Transactions[CustomerID],A538)/'Customer Profiles'!$M$10&lt;=10,_xlfn.MAXIFS(Transactions[Transaction Amount], Transactions[CustomerID],A538)/'Customer Profiles'!$M$10,10)</f>
        <v>1.3959869415454296</v>
      </c>
      <c r="F538" s="1">
        <f t="shared" si="33"/>
        <v>8</v>
      </c>
      <c r="G538" s="1">
        <f t="shared" si="34"/>
        <v>0.4</v>
      </c>
      <c r="H538" s="1">
        <f t="shared" si="35"/>
        <v>1</v>
      </c>
    </row>
    <row r="539" spans="1:8">
      <c r="A539" s="1">
        <v>490</v>
      </c>
      <c r="B539" s="8">
        <f>_xlfn.MAXIFS(Transactions[Transaction Date], Transactions[CustomerID],A539)</f>
        <v>43012</v>
      </c>
      <c r="C539" s="1">
        <f t="shared" si="32"/>
        <v>4</v>
      </c>
      <c r="D539" s="1">
        <f>COUNTIF(Transactions[CustomerID],"="&amp;A539)</f>
        <v>1</v>
      </c>
      <c r="E539" s="9">
        <f>IF(_xlfn.MAXIFS(Transactions[Transaction Amount], Transactions[CustomerID],A539)/'Customer Profiles'!$M$10&lt;=10,_xlfn.MAXIFS(Transactions[Transaction Amount], Transactions[CustomerID],A539)/'Customer Profiles'!$M$10,10)</f>
        <v>0.46779276512002443</v>
      </c>
      <c r="F539" s="1">
        <f t="shared" si="33"/>
        <v>4</v>
      </c>
      <c r="G539" s="1">
        <f t="shared" si="34"/>
        <v>0.2</v>
      </c>
      <c r="H539" s="1">
        <f t="shared" si="35"/>
        <v>1</v>
      </c>
    </row>
    <row r="540" spans="1:8">
      <c r="A540" s="1">
        <v>226</v>
      </c>
      <c r="B540" s="8">
        <f>_xlfn.MAXIFS(Transactions[Transaction Date], Transactions[CustomerID],A540)</f>
        <v>43246</v>
      </c>
      <c r="C540" s="1">
        <f t="shared" si="32"/>
        <v>9</v>
      </c>
      <c r="D540" s="1">
        <f>COUNTIF(Transactions[CustomerID],"="&amp;A540)</f>
        <v>1</v>
      </c>
      <c r="E540" s="9">
        <f>IF(_xlfn.MAXIFS(Transactions[Transaction Amount], Transactions[CustomerID],A540)/'Customer Profiles'!$M$10&lt;=10,_xlfn.MAXIFS(Transactions[Transaction Amount], Transactions[CustomerID],A540)/'Customer Profiles'!$M$10,10)</f>
        <v>6.6299662259342362E-2</v>
      </c>
      <c r="F540" s="1">
        <f t="shared" si="33"/>
        <v>9</v>
      </c>
      <c r="G540" s="1">
        <f t="shared" si="34"/>
        <v>0.2</v>
      </c>
      <c r="H540" s="1">
        <f t="shared" si="35"/>
        <v>1</v>
      </c>
    </row>
    <row r="541" spans="1:8">
      <c r="A541" s="1">
        <v>586</v>
      </c>
      <c r="B541" s="8">
        <f>_xlfn.MAXIFS(Transactions[Transaction Date], Transactions[CustomerID],A541)</f>
        <v>42868</v>
      </c>
      <c r="C541" s="1">
        <f t="shared" si="32"/>
        <v>9</v>
      </c>
      <c r="D541" s="1">
        <f>COUNTIF(Transactions[CustomerID],"="&amp;A541)</f>
        <v>1</v>
      </c>
      <c r="E541" s="9">
        <f>IF(_xlfn.MAXIFS(Transactions[Transaction Amount], Transactions[CustomerID],A541)/'Customer Profiles'!$M$10&lt;=10,_xlfn.MAXIFS(Transactions[Transaction Amount], Transactions[CustomerID],A541)/'Customer Profiles'!$M$10,10)</f>
        <v>0.41655665678004344</v>
      </c>
      <c r="F541" s="1">
        <f t="shared" si="33"/>
        <v>9</v>
      </c>
      <c r="G541" s="1">
        <f t="shared" si="34"/>
        <v>0.2</v>
      </c>
      <c r="H541" s="1">
        <f t="shared" si="35"/>
        <v>1</v>
      </c>
    </row>
    <row r="542" spans="1:8">
      <c r="A542" s="1">
        <v>199</v>
      </c>
      <c r="B542" s="8">
        <f>_xlfn.MAXIFS(Transactions[Transaction Date], Transactions[CustomerID],A542)</f>
        <v>43080</v>
      </c>
      <c r="C542" s="1">
        <f t="shared" si="32"/>
        <v>2</v>
      </c>
      <c r="D542" s="1">
        <f>COUNTIF(Transactions[CustomerID],"="&amp;A542)</f>
        <v>1</v>
      </c>
      <c r="E542" s="9">
        <f>IF(_xlfn.MAXIFS(Transactions[Transaction Amount], Transactions[CustomerID],A542)/'Customer Profiles'!$M$10&lt;=10,_xlfn.MAXIFS(Transactions[Transaction Amount], Transactions[CustomerID],A542)/'Customer Profiles'!$M$10,10)</f>
        <v>0.29369535326330121</v>
      </c>
      <c r="F542" s="1">
        <f t="shared" si="33"/>
        <v>2</v>
      </c>
      <c r="G542" s="1">
        <f t="shared" si="34"/>
        <v>0.2</v>
      </c>
      <c r="H542" s="1">
        <f t="shared" si="35"/>
        <v>1</v>
      </c>
    </row>
    <row r="543" spans="1:8">
      <c r="A543" s="1">
        <v>593</v>
      </c>
      <c r="B543" s="8">
        <f>_xlfn.MAXIFS(Transactions[Transaction Date], Transactions[CustomerID],A543)</f>
        <v>43315</v>
      </c>
      <c r="C543" s="1">
        <f t="shared" si="32"/>
        <v>6</v>
      </c>
      <c r="D543" s="1">
        <f>COUNTIF(Transactions[CustomerID],"="&amp;A543)</f>
        <v>1</v>
      </c>
      <c r="E543" s="9">
        <f>IF(_xlfn.MAXIFS(Transactions[Transaction Amount], Transactions[CustomerID],A543)/'Customer Profiles'!$M$10&lt;=10,_xlfn.MAXIFS(Transactions[Transaction Amount], Transactions[CustomerID],A543)/'Customer Profiles'!$M$10,10)</f>
        <v>0.52454792238125558</v>
      </c>
      <c r="F543" s="1">
        <f t="shared" si="33"/>
        <v>6</v>
      </c>
      <c r="G543" s="1">
        <f t="shared" si="34"/>
        <v>0.2</v>
      </c>
      <c r="H543" s="1">
        <f t="shared" si="35"/>
        <v>1</v>
      </c>
    </row>
    <row r="544" spans="1:8">
      <c r="A544" s="1">
        <v>410</v>
      </c>
      <c r="B544" s="8">
        <f>_xlfn.MAXIFS(Transactions[Transaction Date], Transactions[CustomerID],A544)</f>
        <v>43180</v>
      </c>
      <c r="C544" s="1">
        <f t="shared" si="32"/>
        <v>11</v>
      </c>
      <c r="D544" s="1">
        <f>COUNTIF(Transactions[CustomerID],"="&amp;A544)</f>
        <v>1</v>
      </c>
      <c r="E544" s="9">
        <f>IF(_xlfn.MAXIFS(Transactions[Transaction Amount], Transactions[CustomerID],A544)/'Customer Profiles'!$M$10&lt;=10,_xlfn.MAXIFS(Transactions[Transaction Amount], Transactions[CustomerID],A544)/'Customer Profiles'!$M$10,10)</f>
        <v>0.68315223213278653</v>
      </c>
      <c r="F544" s="1">
        <f t="shared" si="33"/>
        <v>10</v>
      </c>
      <c r="G544" s="1">
        <f t="shared" si="34"/>
        <v>0.2</v>
      </c>
      <c r="H544" s="1">
        <f t="shared" si="35"/>
        <v>1</v>
      </c>
    </row>
    <row r="545" spans="1:8">
      <c r="A545" s="1">
        <v>371</v>
      </c>
      <c r="B545" s="8">
        <f>_xlfn.MAXIFS(Transactions[Transaction Date], Transactions[CustomerID],A545)</f>
        <v>42880</v>
      </c>
      <c r="C545" s="1">
        <f t="shared" si="32"/>
        <v>9</v>
      </c>
      <c r="D545" s="1">
        <f>COUNTIF(Transactions[CustomerID],"="&amp;A545)</f>
        <v>1</v>
      </c>
      <c r="E545" s="9">
        <f>IF(_xlfn.MAXIFS(Transactions[Transaction Amount], Transactions[CustomerID],A545)/'Customer Profiles'!$M$10&lt;=10,_xlfn.MAXIFS(Transactions[Transaction Amount], Transactions[CustomerID],A545)/'Customer Profiles'!$M$10,10)</f>
        <v>2.311537764817527</v>
      </c>
      <c r="F545" s="1">
        <f t="shared" si="33"/>
        <v>9</v>
      </c>
      <c r="G545" s="1">
        <f t="shared" si="34"/>
        <v>0.2</v>
      </c>
      <c r="H545" s="1">
        <f t="shared" si="35"/>
        <v>1</v>
      </c>
    </row>
    <row r="546" spans="1:8">
      <c r="A546" s="1">
        <v>336</v>
      </c>
      <c r="B546" s="8">
        <f>_xlfn.MAXIFS(Transactions[Transaction Date], Transactions[CustomerID],A546)</f>
        <v>42954</v>
      </c>
      <c r="C546" s="1">
        <f t="shared" si="32"/>
        <v>6</v>
      </c>
      <c r="D546" s="1">
        <f>COUNTIF(Transactions[CustomerID],"="&amp;A546)</f>
        <v>1</v>
      </c>
      <c r="E546" s="9">
        <f>IF(_xlfn.MAXIFS(Transactions[Transaction Amount], Transactions[CustomerID],A546)/'Customer Profiles'!$M$10&lt;=10,_xlfn.MAXIFS(Transactions[Transaction Amount], Transactions[CustomerID],A546)/'Customer Profiles'!$M$10,10)</f>
        <v>1.8060535323594842</v>
      </c>
      <c r="F546" s="1">
        <f t="shared" si="33"/>
        <v>6</v>
      </c>
      <c r="G546" s="1">
        <f t="shared" si="34"/>
        <v>0.2</v>
      </c>
      <c r="H546" s="1">
        <f t="shared" si="35"/>
        <v>1</v>
      </c>
    </row>
    <row r="547" spans="1:8">
      <c r="A547" s="1">
        <v>48</v>
      </c>
      <c r="B547" s="8">
        <f>_xlfn.MAXIFS(Transactions[Transaction Date], Transactions[CustomerID],A547)</f>
        <v>43335</v>
      </c>
      <c r="C547" s="1">
        <f t="shared" si="32"/>
        <v>6</v>
      </c>
      <c r="D547" s="1">
        <f>COUNTIF(Transactions[CustomerID],"="&amp;A547)</f>
        <v>1</v>
      </c>
      <c r="E547" s="9">
        <f>IF(_xlfn.MAXIFS(Transactions[Transaction Amount], Transactions[CustomerID],A547)/'Customer Profiles'!$M$10&lt;=10,_xlfn.MAXIFS(Transactions[Transaction Amount], Transactions[CustomerID],A547)/'Customer Profiles'!$M$10,10)</f>
        <v>0.25523447992149206</v>
      </c>
      <c r="F547" s="1">
        <f t="shared" si="33"/>
        <v>6</v>
      </c>
      <c r="G547" s="1">
        <f t="shared" si="34"/>
        <v>0.2</v>
      </c>
      <c r="H547" s="1">
        <f t="shared" si="35"/>
        <v>1</v>
      </c>
    </row>
    <row r="548" spans="1:8">
      <c r="A548" s="1">
        <v>55</v>
      </c>
      <c r="B548" s="8">
        <f>_xlfn.MAXIFS(Transactions[Transaction Date], Transactions[CustomerID],A548)</f>
        <v>42895</v>
      </c>
      <c r="C548" s="1">
        <f t="shared" si="32"/>
        <v>8</v>
      </c>
      <c r="D548" s="1">
        <f>COUNTIF(Transactions[CustomerID],"="&amp;A548)</f>
        <v>1</v>
      </c>
      <c r="E548" s="9">
        <f>IF(_xlfn.MAXIFS(Transactions[Transaction Amount], Transactions[CustomerID],A548)/'Customer Profiles'!$M$10&lt;=10,_xlfn.MAXIFS(Transactions[Transaction Amount], Transactions[CustomerID],A548)/'Customer Profiles'!$M$10,10)</f>
        <v>0.42399492426068036</v>
      </c>
      <c r="F548" s="1">
        <f t="shared" si="33"/>
        <v>8</v>
      </c>
      <c r="G548" s="1">
        <f t="shared" si="34"/>
        <v>0.2</v>
      </c>
      <c r="H548" s="1">
        <f t="shared" si="35"/>
        <v>1</v>
      </c>
    </row>
    <row r="549" spans="1:8">
      <c r="A549" s="1">
        <v>107</v>
      </c>
      <c r="B549" s="8">
        <f>_xlfn.MAXIFS(Transactions[Transaction Date], Transactions[CustomerID],A549)</f>
        <v>43310</v>
      </c>
      <c r="C549" s="1">
        <f t="shared" si="32"/>
        <v>7</v>
      </c>
      <c r="D549" s="1">
        <f>COUNTIF(Transactions[CustomerID],"="&amp;A549)</f>
        <v>1</v>
      </c>
      <c r="E549" s="9">
        <f>IF(_xlfn.MAXIFS(Transactions[Transaction Amount], Transactions[CustomerID],A549)/'Customer Profiles'!$M$10&lt;=10,_xlfn.MAXIFS(Transactions[Transaction Amount], Transactions[CustomerID],A549)/'Customer Profiles'!$M$10,10)</f>
        <v>0.92378288727259361</v>
      </c>
      <c r="F549" s="1">
        <f t="shared" si="33"/>
        <v>7</v>
      </c>
      <c r="G549" s="1">
        <f t="shared" si="34"/>
        <v>0.2</v>
      </c>
      <c r="H549" s="1">
        <f t="shared" si="35"/>
        <v>1</v>
      </c>
    </row>
    <row r="550" spans="1:8">
      <c r="A550" s="1">
        <v>379</v>
      </c>
      <c r="B550" s="8">
        <f>_xlfn.MAXIFS(Transactions[Transaction Date], Transactions[CustomerID],A550)</f>
        <v>43152</v>
      </c>
      <c r="C550" s="1">
        <f t="shared" si="32"/>
        <v>1</v>
      </c>
      <c r="D550" s="1">
        <f>COUNTIF(Transactions[CustomerID],"="&amp;A550)</f>
        <v>1</v>
      </c>
      <c r="E550" s="9">
        <f>IF(_xlfn.MAXIFS(Transactions[Transaction Amount], Transactions[CustomerID],A550)/'Customer Profiles'!$M$10&lt;=10,_xlfn.MAXIFS(Transactions[Transaction Amount], Transactions[CustomerID],A550)/'Customer Profiles'!$M$10,10)</f>
        <v>0.40488419480279081</v>
      </c>
      <c r="F550" s="1">
        <f t="shared" si="33"/>
        <v>1</v>
      </c>
      <c r="G550" s="1">
        <f t="shared" si="34"/>
        <v>0.2</v>
      </c>
      <c r="H550" s="1">
        <f t="shared" si="35"/>
        <v>1</v>
      </c>
    </row>
    <row r="551" spans="1:8">
      <c r="A551" s="1">
        <v>92</v>
      </c>
      <c r="B551" s="8">
        <f>_xlfn.MAXIFS(Transactions[Transaction Date], Transactions[CustomerID],A551)</f>
        <v>43434</v>
      </c>
      <c r="C551" s="1">
        <f t="shared" si="32"/>
        <v>3</v>
      </c>
      <c r="D551" s="1">
        <f>COUNTIF(Transactions[CustomerID],"="&amp;A551)</f>
        <v>1</v>
      </c>
      <c r="E551" s="9">
        <f>IF(_xlfn.MAXIFS(Transactions[Transaction Amount], Transactions[CustomerID],A551)/'Customer Profiles'!$M$10&lt;=10,_xlfn.MAXIFS(Transactions[Transaction Amount], Transactions[CustomerID],A551)/'Customer Profiles'!$M$10,10)</f>
        <v>1.5031384932708642</v>
      </c>
      <c r="F551" s="1">
        <f t="shared" si="33"/>
        <v>3</v>
      </c>
      <c r="G551" s="1">
        <f t="shared" si="34"/>
        <v>0.2</v>
      </c>
      <c r="H551" s="1">
        <f t="shared" si="35"/>
        <v>1</v>
      </c>
    </row>
    <row r="552" spans="1:8">
      <c r="A552" s="1">
        <v>219</v>
      </c>
      <c r="B552" s="8">
        <f>_xlfn.MAXIFS(Transactions[Transaction Date], Transactions[CustomerID],A552)</f>
        <v>43183</v>
      </c>
      <c r="C552" s="1">
        <f t="shared" si="32"/>
        <v>11</v>
      </c>
      <c r="D552" s="1">
        <f>COUNTIF(Transactions[CustomerID],"="&amp;A552)</f>
        <v>2</v>
      </c>
      <c r="E552" s="9">
        <f>IF(_xlfn.MAXIFS(Transactions[Transaction Amount], Transactions[CustomerID],A552)/'Customer Profiles'!$M$10&lt;=10,_xlfn.MAXIFS(Transactions[Transaction Amount], Transactions[CustomerID],A552)/'Customer Profiles'!$M$10,10)</f>
        <v>2.0718042630291262</v>
      </c>
      <c r="F552" s="1">
        <f t="shared" si="33"/>
        <v>10</v>
      </c>
      <c r="G552" s="1">
        <f t="shared" si="34"/>
        <v>0.4</v>
      </c>
      <c r="H552" s="1">
        <f t="shared" si="35"/>
        <v>1</v>
      </c>
    </row>
    <row r="553" spans="1:8">
      <c r="A553" s="1">
        <v>206</v>
      </c>
      <c r="B553" s="8">
        <f>_xlfn.MAXIFS(Transactions[Transaction Date], Transactions[CustomerID],A553)</f>
        <v>43096</v>
      </c>
      <c r="C553" s="1">
        <f t="shared" si="32"/>
        <v>2</v>
      </c>
      <c r="D553" s="1">
        <f>COUNTIF(Transactions[CustomerID],"="&amp;A553)</f>
        <v>1</v>
      </c>
      <c r="E553" s="9">
        <f>IF(_xlfn.MAXIFS(Transactions[Transaction Amount], Transactions[CustomerID],A553)/'Customer Profiles'!$M$10&lt;=10,_xlfn.MAXIFS(Transactions[Transaction Amount], Transactions[CustomerID],A553)/'Customer Profiles'!$M$10,10)</f>
        <v>0.63808296965890954</v>
      </c>
      <c r="F553" s="1">
        <f t="shared" si="33"/>
        <v>2</v>
      </c>
      <c r="G553" s="1">
        <f t="shared" si="34"/>
        <v>0.2</v>
      </c>
      <c r="H553" s="1">
        <f t="shared" si="35"/>
        <v>1</v>
      </c>
    </row>
    <row r="554" spans="1:8">
      <c r="A554" s="1">
        <v>212</v>
      </c>
      <c r="B554" s="8">
        <f>_xlfn.MAXIFS(Transactions[Transaction Date], Transactions[CustomerID],A554)</f>
        <v>43138</v>
      </c>
      <c r="C554" s="1">
        <f t="shared" si="32"/>
        <v>1</v>
      </c>
      <c r="D554" s="1">
        <f>COUNTIF(Transactions[CustomerID],"="&amp;A554)</f>
        <v>1</v>
      </c>
      <c r="E554" s="9">
        <f>IF(_xlfn.MAXIFS(Transactions[Transaction Amount], Transactions[CustomerID],A554)/'Customer Profiles'!$M$10&lt;=10,_xlfn.MAXIFS(Transactions[Transaction Amount], Transactions[CustomerID],A554)/'Customer Profiles'!$M$10,10)</f>
        <v>1.2960082499941861</v>
      </c>
      <c r="F554" s="1">
        <f t="shared" si="33"/>
        <v>1</v>
      </c>
      <c r="G554" s="1">
        <f t="shared" si="34"/>
        <v>0.2</v>
      </c>
      <c r="H554" s="1">
        <f t="shared" si="35"/>
        <v>1</v>
      </c>
    </row>
    <row r="555" spans="1:8">
      <c r="A555" s="1">
        <v>46</v>
      </c>
      <c r="B555" s="8">
        <f>_xlfn.MAXIFS(Transactions[Transaction Date], Transactions[CustomerID],A555)</f>
        <v>43219</v>
      </c>
      <c r="C555" s="1">
        <f t="shared" si="32"/>
        <v>10</v>
      </c>
      <c r="D555" s="1">
        <f>COUNTIF(Transactions[CustomerID],"="&amp;A555)</f>
        <v>1</v>
      </c>
      <c r="E555" s="9">
        <f>IF(_xlfn.MAXIFS(Transactions[Transaction Amount], Transactions[CustomerID],A555)/'Customer Profiles'!$M$10&lt;=10,_xlfn.MAXIFS(Transactions[Transaction Amount], Transactions[CustomerID],A555)/'Customer Profiles'!$M$10,10)</f>
        <v>3.6225096133710575</v>
      </c>
      <c r="F555" s="1">
        <f t="shared" si="33"/>
        <v>10</v>
      </c>
      <c r="G555" s="1">
        <f t="shared" si="34"/>
        <v>0.2</v>
      </c>
      <c r="H555" s="1">
        <f t="shared" si="35"/>
        <v>1</v>
      </c>
    </row>
    <row r="556" spans="1:8">
      <c r="A556" s="1">
        <v>109</v>
      </c>
      <c r="B556" s="8">
        <f>_xlfn.MAXIFS(Transactions[Transaction Date], Transactions[CustomerID],A556)</f>
        <v>43323</v>
      </c>
      <c r="C556" s="1">
        <f t="shared" si="32"/>
        <v>6</v>
      </c>
      <c r="D556" s="1">
        <f>COUNTIF(Transactions[CustomerID],"="&amp;A556)</f>
        <v>1</v>
      </c>
      <c r="E556" s="9">
        <f>IF(_xlfn.MAXIFS(Transactions[Transaction Amount], Transactions[CustomerID],A556)/'Customer Profiles'!$M$10&lt;=10,_xlfn.MAXIFS(Transactions[Transaction Amount], Transactions[CustomerID],A556)/'Customer Profiles'!$M$10,10)</f>
        <v>4.7728595120789263</v>
      </c>
      <c r="F556" s="1">
        <f t="shared" si="33"/>
        <v>6</v>
      </c>
      <c r="G556" s="1">
        <f t="shared" si="34"/>
        <v>0.2</v>
      </c>
      <c r="H556" s="1">
        <f t="shared" si="35"/>
        <v>1</v>
      </c>
    </row>
    <row r="557" spans="1:8">
      <c r="A557" s="1">
        <v>281</v>
      </c>
      <c r="B557" s="8">
        <f>_xlfn.MAXIFS(Transactions[Transaction Date], Transactions[CustomerID],A557)</f>
        <v>43258</v>
      </c>
      <c r="C557" s="1">
        <f t="shared" si="32"/>
        <v>8</v>
      </c>
      <c r="D557" s="1">
        <f>COUNTIF(Transactions[CustomerID],"="&amp;A557)</f>
        <v>1</v>
      </c>
      <c r="E557" s="9">
        <f>IF(_xlfn.MAXIFS(Transactions[Transaction Amount], Transactions[CustomerID],A557)/'Customer Profiles'!$M$10&lt;=10,_xlfn.MAXIFS(Transactions[Transaction Amount], Transactions[CustomerID],A557)/'Customer Profiles'!$M$10,10)</f>
        <v>4.6944472001503861E-2</v>
      </c>
      <c r="F557" s="1">
        <f t="shared" si="33"/>
        <v>8</v>
      </c>
      <c r="G557" s="1">
        <f t="shared" si="34"/>
        <v>0.2</v>
      </c>
      <c r="H557" s="1">
        <f t="shared" si="35"/>
        <v>1</v>
      </c>
    </row>
    <row r="558" spans="1:8">
      <c r="A558" s="1">
        <v>332</v>
      </c>
      <c r="B558" s="8">
        <f>_xlfn.MAXIFS(Transactions[Transaction Date], Transactions[CustomerID],A558)</f>
        <v>42799</v>
      </c>
      <c r="C558" s="1">
        <f t="shared" si="32"/>
        <v>11</v>
      </c>
      <c r="D558" s="1">
        <f>COUNTIF(Transactions[CustomerID],"="&amp;A558)</f>
        <v>1</v>
      </c>
      <c r="E558" s="9">
        <f>IF(_xlfn.MAXIFS(Transactions[Transaction Amount], Transactions[CustomerID],A558)/'Customer Profiles'!$M$10&lt;=10,_xlfn.MAXIFS(Transactions[Transaction Amount], Transactions[CustomerID],A558)/'Customer Profiles'!$M$10,10)</f>
        <v>2.9215861550026094</v>
      </c>
      <c r="F558" s="1">
        <f t="shared" si="33"/>
        <v>10</v>
      </c>
      <c r="G558" s="1">
        <f t="shared" si="34"/>
        <v>0.2</v>
      </c>
      <c r="H558" s="1">
        <f t="shared" si="35"/>
        <v>1</v>
      </c>
    </row>
    <row r="559" spans="1:8">
      <c r="A559" s="1">
        <v>469</v>
      </c>
      <c r="B559" s="8">
        <f>_xlfn.MAXIFS(Transactions[Transaction Date], Transactions[CustomerID],A559)</f>
        <v>42974</v>
      </c>
      <c r="C559" s="1">
        <f t="shared" si="32"/>
        <v>6</v>
      </c>
      <c r="D559" s="1">
        <f>COUNTIF(Transactions[CustomerID],"="&amp;A559)</f>
        <v>1</v>
      </c>
      <c r="E559" s="9">
        <f>IF(_xlfn.MAXIFS(Transactions[Transaction Amount], Transactions[CustomerID],A559)/'Customer Profiles'!$M$10&lt;=10,_xlfn.MAXIFS(Transactions[Transaction Amount], Transactions[CustomerID],A559)/'Customer Profiles'!$M$10,10)</f>
        <v>0.21965725751378012</v>
      </c>
      <c r="F559" s="1">
        <f t="shared" si="33"/>
        <v>6</v>
      </c>
      <c r="G559" s="1">
        <f t="shared" si="34"/>
        <v>0.2</v>
      </c>
      <c r="H559" s="1">
        <f t="shared" si="35"/>
        <v>1</v>
      </c>
    </row>
    <row r="560" spans="1:8">
      <c r="A560" s="1">
        <v>99</v>
      </c>
      <c r="B560" s="8">
        <f>_xlfn.MAXIFS(Transactions[Transaction Date], Transactions[CustomerID],A560)</f>
        <v>43121</v>
      </c>
      <c r="C560" s="1">
        <f t="shared" si="32"/>
        <v>1</v>
      </c>
      <c r="D560" s="1">
        <f>COUNTIF(Transactions[CustomerID],"="&amp;A560)</f>
        <v>1</v>
      </c>
      <c r="E560" s="9">
        <f>IF(_xlfn.MAXIFS(Transactions[Transaction Amount], Transactions[CustomerID],A560)/'Customer Profiles'!$M$10&lt;=10,_xlfn.MAXIFS(Transactions[Transaction Amount], Transactions[CustomerID],A560)/'Customer Profiles'!$M$10,10)</f>
        <v>7.037320864927786E-2</v>
      </c>
      <c r="F560" s="1">
        <f t="shared" si="33"/>
        <v>1</v>
      </c>
      <c r="G560" s="1">
        <f t="shared" si="34"/>
        <v>0.2</v>
      </c>
      <c r="H560" s="1">
        <f t="shared" si="35"/>
        <v>1</v>
      </c>
    </row>
    <row r="561" spans="1:8">
      <c r="A561" s="1">
        <v>278</v>
      </c>
      <c r="B561" s="8">
        <f>_xlfn.MAXIFS(Transactions[Transaction Date], Transactions[CustomerID],A561)</f>
        <v>43415</v>
      </c>
      <c r="C561" s="1">
        <f t="shared" si="32"/>
        <v>3</v>
      </c>
      <c r="D561" s="1">
        <f>COUNTIF(Transactions[CustomerID],"="&amp;A561)</f>
        <v>1</v>
      </c>
      <c r="E561" s="9">
        <f>IF(_xlfn.MAXIFS(Transactions[Transaction Amount], Transactions[CustomerID],A561)/'Customer Profiles'!$M$10&lt;=10,_xlfn.MAXIFS(Transactions[Transaction Amount], Transactions[CustomerID],A561)/'Customer Profiles'!$M$10,10)</f>
        <v>3.9355185699369515</v>
      </c>
      <c r="F561" s="1">
        <f t="shared" si="33"/>
        <v>3</v>
      </c>
      <c r="G561" s="1">
        <f t="shared" si="34"/>
        <v>0.2</v>
      </c>
      <c r="H561" s="1">
        <f t="shared" si="35"/>
        <v>1</v>
      </c>
    </row>
    <row r="562" spans="1:8">
      <c r="A562" s="1">
        <v>10</v>
      </c>
      <c r="B562" s="8">
        <f>_xlfn.MAXIFS(Transactions[Transaction Date], Transactions[CustomerID],A562)</f>
        <v>43474</v>
      </c>
      <c r="C562" s="1">
        <f t="shared" si="32"/>
        <v>1</v>
      </c>
      <c r="D562" s="1">
        <f>COUNTIF(Transactions[CustomerID],"="&amp;A562)</f>
        <v>1</v>
      </c>
      <c r="E562" s="9">
        <f>IF(_xlfn.MAXIFS(Transactions[Transaction Amount], Transactions[CustomerID],A562)/'Customer Profiles'!$M$10&lt;=10,_xlfn.MAXIFS(Transactions[Transaction Amount], Transactions[CustomerID],A562)/'Customer Profiles'!$M$10,10)</f>
        <v>1.9908995170085049</v>
      </c>
      <c r="F562" s="1">
        <f t="shared" si="33"/>
        <v>1</v>
      </c>
      <c r="G562" s="1">
        <f t="shared" si="34"/>
        <v>0.2</v>
      </c>
      <c r="H562" s="1">
        <f t="shared" si="35"/>
        <v>1</v>
      </c>
    </row>
    <row r="563" spans="1:8">
      <c r="A563" s="1">
        <v>57</v>
      </c>
      <c r="B563" s="8">
        <f>_xlfn.MAXIFS(Transactions[Transaction Date], Transactions[CustomerID],A563)</f>
        <v>43008</v>
      </c>
      <c r="C563" s="1">
        <f t="shared" si="32"/>
        <v>5</v>
      </c>
      <c r="D563" s="1">
        <f>COUNTIF(Transactions[CustomerID],"="&amp;A563)</f>
        <v>1</v>
      </c>
      <c r="E563" s="9">
        <f>IF(_xlfn.MAXIFS(Transactions[Transaction Amount], Transactions[CustomerID],A563)/'Customer Profiles'!$M$10&lt;=10,_xlfn.MAXIFS(Transactions[Transaction Amount], Transactions[CustomerID],A563)/'Customer Profiles'!$M$10,10)</f>
        <v>0.82406906722834594</v>
      </c>
      <c r="F563" s="1">
        <f t="shared" si="33"/>
        <v>5</v>
      </c>
      <c r="G563" s="1">
        <f t="shared" si="34"/>
        <v>0.2</v>
      </c>
      <c r="H563" s="1">
        <f t="shared" si="35"/>
        <v>1</v>
      </c>
    </row>
    <row r="564" spans="1:8">
      <c r="A564" s="1">
        <v>286</v>
      </c>
      <c r="B564" s="8">
        <f>_xlfn.MAXIFS(Transactions[Transaction Date], Transactions[CustomerID],A564)</f>
        <v>43317</v>
      </c>
      <c r="C564" s="1">
        <f t="shared" si="32"/>
        <v>6</v>
      </c>
      <c r="D564" s="1">
        <f>COUNTIF(Transactions[CustomerID],"="&amp;A564)</f>
        <v>1</v>
      </c>
      <c r="E564" s="9">
        <f>IF(_xlfn.MAXIFS(Transactions[Transaction Amount], Transactions[CustomerID],A564)/'Customer Profiles'!$M$10&lt;=10,_xlfn.MAXIFS(Transactions[Transaction Amount], Transactions[CustomerID],A564)/'Customer Profiles'!$M$10,10)</f>
        <v>0.19560942114242325</v>
      </c>
      <c r="F564" s="1">
        <f t="shared" si="33"/>
        <v>6</v>
      </c>
      <c r="G564" s="1">
        <f t="shared" si="34"/>
        <v>0.2</v>
      </c>
      <c r="H564" s="1">
        <f t="shared" si="35"/>
        <v>1</v>
      </c>
    </row>
    <row r="565" spans="1:8">
      <c r="A565" s="1">
        <v>479</v>
      </c>
      <c r="B565" s="8">
        <f>_xlfn.MAXIFS(Transactions[Transaction Date], Transactions[CustomerID],A565)</f>
        <v>42988</v>
      </c>
      <c r="C565" s="1">
        <f t="shared" si="32"/>
        <v>5</v>
      </c>
      <c r="D565" s="1">
        <f>COUNTIF(Transactions[CustomerID],"="&amp;A565)</f>
        <v>1</v>
      </c>
      <c r="E565" s="9">
        <f>IF(_xlfn.MAXIFS(Transactions[Transaction Amount], Transactions[CustomerID],A565)/'Customer Profiles'!$M$10&lt;=10,_xlfn.MAXIFS(Transactions[Transaction Amount], Transactions[CustomerID],A565)/'Customer Profiles'!$M$10,10)</f>
        <v>1.6573499191110248</v>
      </c>
      <c r="F565" s="1">
        <f t="shared" si="33"/>
        <v>5</v>
      </c>
      <c r="G565" s="1">
        <f t="shared" si="34"/>
        <v>0.2</v>
      </c>
      <c r="H565" s="1">
        <f t="shared" si="35"/>
        <v>1</v>
      </c>
    </row>
    <row r="566" spans="1:8">
      <c r="A566" s="1">
        <v>497</v>
      </c>
      <c r="B566" s="8">
        <f>_xlfn.MAXIFS(Transactions[Transaction Date], Transactions[CustomerID],A566)</f>
        <v>43199</v>
      </c>
      <c r="C566" s="1">
        <f t="shared" si="32"/>
        <v>10</v>
      </c>
      <c r="D566" s="1">
        <f>COUNTIF(Transactions[CustomerID],"="&amp;A566)</f>
        <v>1</v>
      </c>
      <c r="E566" s="9">
        <f>IF(_xlfn.MAXIFS(Transactions[Transaction Amount], Transactions[CustomerID],A566)/'Customer Profiles'!$M$10&lt;=10,_xlfn.MAXIFS(Transactions[Transaction Amount], Transactions[CustomerID],A566)/'Customer Profiles'!$M$10,10)</f>
        <v>0.25358165547504957</v>
      </c>
      <c r="F566" s="1">
        <f t="shared" si="33"/>
        <v>10</v>
      </c>
      <c r="G566" s="1">
        <f t="shared" si="34"/>
        <v>0.2</v>
      </c>
      <c r="H566" s="1">
        <f t="shared" si="35"/>
        <v>1</v>
      </c>
    </row>
    <row r="567" spans="1:8">
      <c r="A567" s="1">
        <v>412</v>
      </c>
      <c r="B567" s="8">
        <f>_xlfn.MAXIFS(Transactions[Transaction Date], Transactions[CustomerID],A567)</f>
        <v>43137</v>
      </c>
      <c r="C567" s="1">
        <f t="shared" si="32"/>
        <v>1</v>
      </c>
      <c r="D567" s="1">
        <f>COUNTIF(Transactions[CustomerID],"="&amp;A567)</f>
        <v>2</v>
      </c>
      <c r="E567" s="9">
        <f>IF(_xlfn.MAXIFS(Transactions[Transaction Amount], Transactions[CustomerID],A567)/'Customer Profiles'!$M$10&lt;=10,_xlfn.MAXIFS(Transactions[Transaction Amount], Transactions[CustomerID],A567)/'Customer Profiles'!$M$10,10)</f>
        <v>7.0250390850983654E-2</v>
      </c>
      <c r="F567" s="1">
        <f t="shared" si="33"/>
        <v>1</v>
      </c>
      <c r="G567" s="1">
        <f t="shared" si="34"/>
        <v>0.4</v>
      </c>
      <c r="H567" s="1">
        <f t="shared" si="35"/>
        <v>1</v>
      </c>
    </row>
    <row r="568" spans="1:8">
      <c r="A568" s="1">
        <v>136</v>
      </c>
      <c r="B568" s="8">
        <f>_xlfn.MAXIFS(Transactions[Transaction Date], Transactions[CustomerID],A568)</f>
        <v>43444</v>
      </c>
      <c r="C568" s="1">
        <f t="shared" si="32"/>
        <v>2</v>
      </c>
      <c r="D568" s="1">
        <f>COUNTIF(Transactions[CustomerID],"="&amp;A568)</f>
        <v>1</v>
      </c>
      <c r="E568" s="9">
        <f>IF(_xlfn.MAXIFS(Transactions[Transaction Amount], Transactions[CustomerID],A568)/'Customer Profiles'!$M$10&lt;=10,_xlfn.MAXIFS(Transactions[Transaction Amount], Transactions[CustomerID],A568)/'Customer Profiles'!$M$10,10)</f>
        <v>0.39804511575155532</v>
      </c>
      <c r="F568" s="1">
        <f t="shared" si="33"/>
        <v>2</v>
      </c>
      <c r="G568" s="1">
        <f t="shared" si="34"/>
        <v>0.2</v>
      </c>
      <c r="H568" s="1">
        <f t="shared" si="35"/>
        <v>1</v>
      </c>
    </row>
    <row r="569" spans="1:8">
      <c r="A569" s="1">
        <v>203</v>
      </c>
      <c r="B569" s="8">
        <f>_xlfn.MAXIFS(Transactions[Transaction Date], Transactions[CustomerID],A569)</f>
        <v>42883</v>
      </c>
      <c r="C569" s="1">
        <f t="shared" si="32"/>
        <v>9</v>
      </c>
      <c r="D569" s="1">
        <f>COUNTIF(Transactions[CustomerID],"="&amp;A569)</f>
        <v>1</v>
      </c>
      <c r="E569" s="9">
        <f>IF(_xlfn.MAXIFS(Transactions[Transaction Amount], Transactions[CustomerID],A569)/'Customer Profiles'!$M$10&lt;=10,_xlfn.MAXIFS(Transactions[Transaction Amount], Transactions[CustomerID],A569)/'Customer Profiles'!$M$10,10)</f>
        <v>1.3734562406140354</v>
      </c>
      <c r="F569" s="1">
        <f t="shared" si="33"/>
        <v>9</v>
      </c>
      <c r="G569" s="1">
        <f t="shared" si="34"/>
        <v>0.2</v>
      </c>
      <c r="H569" s="1">
        <f t="shared" si="35"/>
        <v>1</v>
      </c>
    </row>
    <row r="570" spans="1:8">
      <c r="A570" s="1">
        <v>392</v>
      </c>
      <c r="B570" s="8">
        <f>_xlfn.MAXIFS(Transactions[Transaction Date], Transactions[CustomerID],A570)</f>
        <v>43409</v>
      </c>
      <c r="C570" s="1">
        <f t="shared" si="32"/>
        <v>3</v>
      </c>
      <c r="D570" s="1">
        <f>COUNTIF(Transactions[CustomerID],"="&amp;A570)</f>
        <v>1</v>
      </c>
      <c r="E570" s="9">
        <f>IF(_xlfn.MAXIFS(Transactions[Transaction Amount], Transactions[CustomerID],A570)/'Customer Profiles'!$M$10&lt;=10,_xlfn.MAXIFS(Transactions[Transaction Amount], Transactions[CustomerID],A570)/'Customer Profiles'!$M$10,10)</f>
        <v>0.92482753278388519</v>
      </c>
      <c r="F570" s="1">
        <f t="shared" si="33"/>
        <v>3</v>
      </c>
      <c r="G570" s="1">
        <f t="shared" si="34"/>
        <v>0.2</v>
      </c>
      <c r="H570" s="1">
        <f t="shared" si="35"/>
        <v>1</v>
      </c>
    </row>
    <row r="571" spans="1:8">
      <c r="A571" s="1">
        <v>543</v>
      </c>
      <c r="B571" s="8">
        <f>_xlfn.MAXIFS(Transactions[Transaction Date], Transactions[CustomerID],A571)</f>
        <v>43131</v>
      </c>
      <c r="C571" s="1">
        <f t="shared" si="32"/>
        <v>1</v>
      </c>
      <c r="D571" s="1">
        <f>COUNTIF(Transactions[CustomerID],"="&amp;A571)</f>
        <v>1</v>
      </c>
      <c r="E571" s="9">
        <f>IF(_xlfn.MAXIFS(Transactions[Transaction Amount], Transactions[CustomerID],A571)/'Customer Profiles'!$M$10&lt;=10,_xlfn.MAXIFS(Transactions[Transaction Amount], Transactions[CustomerID],A571)/'Customer Profiles'!$M$10,10)</f>
        <v>0.78387315899503784</v>
      </c>
      <c r="F571" s="1">
        <f t="shared" si="33"/>
        <v>1</v>
      </c>
      <c r="G571" s="1">
        <f t="shared" si="34"/>
        <v>0.2</v>
      </c>
      <c r="H571" s="1">
        <f t="shared" si="35"/>
        <v>1</v>
      </c>
    </row>
    <row r="572" spans="1:8">
      <c r="A572" s="1">
        <v>247</v>
      </c>
      <c r="B572" s="8">
        <f>_xlfn.MAXIFS(Transactions[Transaction Date], Transactions[CustomerID],A572)</f>
        <v>43138</v>
      </c>
      <c r="C572" s="1">
        <f t="shared" si="32"/>
        <v>1</v>
      </c>
      <c r="D572" s="1">
        <f>COUNTIF(Transactions[CustomerID],"="&amp;A572)</f>
        <v>1</v>
      </c>
      <c r="E572" s="9">
        <f>IF(_xlfn.MAXIFS(Transactions[Transaction Amount], Transactions[CustomerID],A572)/'Customer Profiles'!$M$10&lt;=10,_xlfn.MAXIFS(Transactions[Transaction Amount], Transactions[CustomerID],A572)/'Customer Profiles'!$M$10,10)</f>
        <v>4.3782015273849533</v>
      </c>
      <c r="F572" s="1">
        <f t="shared" si="33"/>
        <v>1</v>
      </c>
      <c r="G572" s="1">
        <f t="shared" si="34"/>
        <v>0.2</v>
      </c>
      <c r="H572" s="1">
        <f t="shared" si="35"/>
        <v>1.18</v>
      </c>
    </row>
    <row r="573" spans="1:8">
      <c r="A573" s="1">
        <v>189</v>
      </c>
      <c r="B573" s="8">
        <f>_xlfn.MAXIFS(Transactions[Transaction Date], Transactions[CustomerID],A573)</f>
        <v>42974</v>
      </c>
      <c r="C573" s="1">
        <f t="shared" si="32"/>
        <v>6</v>
      </c>
      <c r="D573" s="1">
        <f>COUNTIF(Transactions[CustomerID],"="&amp;A573)</f>
        <v>1</v>
      </c>
      <c r="E573" s="9">
        <f>IF(_xlfn.MAXIFS(Transactions[Transaction Amount], Transactions[CustomerID],A573)/'Customer Profiles'!$M$10&lt;=10,_xlfn.MAXIFS(Transactions[Transaction Amount], Transactions[CustomerID],A573)/'Customer Profiles'!$M$10,10)</f>
        <v>1.1963049616403101</v>
      </c>
      <c r="F573" s="1">
        <f t="shared" si="33"/>
        <v>6</v>
      </c>
      <c r="G573" s="1">
        <f t="shared" si="34"/>
        <v>0.2</v>
      </c>
      <c r="H573" s="1">
        <f t="shared" si="35"/>
        <v>1</v>
      </c>
    </row>
    <row r="574" spans="1:8">
      <c r="A574" s="1">
        <v>29</v>
      </c>
      <c r="B574" s="8">
        <f>_xlfn.MAXIFS(Transactions[Transaction Date], Transactions[CustomerID],A574)</f>
        <v>42943</v>
      </c>
      <c r="C574" s="1">
        <f t="shared" si="32"/>
        <v>7</v>
      </c>
      <c r="D574" s="1">
        <f>COUNTIF(Transactions[CustomerID],"="&amp;A574)</f>
        <v>3</v>
      </c>
      <c r="E574" s="9">
        <f>IF(_xlfn.MAXIFS(Transactions[Transaction Amount], Transactions[CustomerID],A574)/'Customer Profiles'!$M$10&lt;=10,_xlfn.MAXIFS(Transactions[Transaction Amount], Transactions[CustomerID],A574)/'Customer Profiles'!$M$10,10)</f>
        <v>1.2729624301510822</v>
      </c>
      <c r="F574" s="1">
        <f t="shared" si="33"/>
        <v>7</v>
      </c>
      <c r="G574" s="1">
        <f t="shared" si="34"/>
        <v>0.6</v>
      </c>
      <c r="H574" s="1">
        <f t="shared" si="35"/>
        <v>1</v>
      </c>
    </row>
    <row r="575" spans="1:8">
      <c r="A575" s="1">
        <v>209</v>
      </c>
      <c r="B575" s="8">
        <f>_xlfn.MAXIFS(Transactions[Transaction Date], Transactions[CustomerID],A575)</f>
        <v>43228</v>
      </c>
      <c r="C575" s="1">
        <f t="shared" si="32"/>
        <v>9</v>
      </c>
      <c r="D575" s="1">
        <f>COUNTIF(Transactions[CustomerID],"="&amp;A575)</f>
        <v>1</v>
      </c>
      <c r="E575" s="9">
        <f>IF(_xlfn.MAXIFS(Transactions[Transaction Amount], Transactions[CustomerID],A575)/'Customer Profiles'!$M$10&lt;=10,_xlfn.MAXIFS(Transactions[Transaction Amount], Transactions[CustomerID],A575)/'Customer Profiles'!$M$10,10)</f>
        <v>0.27907664192652565</v>
      </c>
      <c r="F575" s="1">
        <f t="shared" si="33"/>
        <v>9</v>
      </c>
      <c r="G575" s="1">
        <f t="shared" si="34"/>
        <v>0.2</v>
      </c>
      <c r="H575" s="1">
        <f t="shared" si="35"/>
        <v>1</v>
      </c>
    </row>
    <row r="576" spans="1:8">
      <c r="A576" s="1">
        <v>121</v>
      </c>
      <c r="B576" s="8">
        <f>_xlfn.MAXIFS(Transactions[Transaction Date], Transactions[CustomerID],A576)</f>
        <v>42777</v>
      </c>
      <c r="C576" s="1">
        <f t="shared" si="32"/>
        <v>1</v>
      </c>
      <c r="D576" s="1">
        <f>COUNTIF(Transactions[CustomerID],"="&amp;A576)</f>
        <v>1</v>
      </c>
      <c r="E576" s="9">
        <f>IF(_xlfn.MAXIFS(Transactions[Transaction Amount], Transactions[CustomerID],A576)/'Customer Profiles'!$M$10&lt;=10,_xlfn.MAXIFS(Transactions[Transaction Amount], Transactions[CustomerID],A576)/'Customer Profiles'!$M$10,10)</f>
        <v>0.16960842220178954</v>
      </c>
      <c r="F576" s="1">
        <f t="shared" si="33"/>
        <v>1</v>
      </c>
      <c r="G576" s="1">
        <f t="shared" si="34"/>
        <v>0.2</v>
      </c>
      <c r="H576" s="1">
        <f t="shared" si="35"/>
        <v>1</v>
      </c>
    </row>
    <row r="577" spans="1:8">
      <c r="A577" s="1">
        <v>165</v>
      </c>
      <c r="B577" s="8">
        <f>_xlfn.MAXIFS(Transactions[Transaction Date], Transactions[CustomerID],A577)</f>
        <v>42790</v>
      </c>
      <c r="C577" s="1">
        <f t="shared" si="32"/>
        <v>1</v>
      </c>
      <c r="D577" s="1">
        <f>COUNTIF(Transactions[CustomerID],"="&amp;A577)</f>
        <v>1</v>
      </c>
      <c r="E577" s="9">
        <f>IF(_xlfn.MAXIFS(Transactions[Transaction Amount], Transactions[CustomerID],A577)/'Customer Profiles'!$M$10&lt;=10,_xlfn.MAXIFS(Transactions[Transaction Amount], Transactions[CustomerID],A577)/'Customer Profiles'!$M$10,10)</f>
        <v>0.30352509959056023</v>
      </c>
      <c r="F577" s="1">
        <f t="shared" si="33"/>
        <v>1</v>
      </c>
      <c r="G577" s="1">
        <f t="shared" si="34"/>
        <v>0.2</v>
      </c>
      <c r="H577" s="1">
        <f t="shared" si="35"/>
        <v>1</v>
      </c>
    </row>
    <row r="578" spans="1:8">
      <c r="A578" s="1">
        <v>444</v>
      </c>
      <c r="B578" s="8">
        <f>_xlfn.MAXIFS(Transactions[Transaction Date], Transactions[CustomerID],A578)</f>
        <v>43164</v>
      </c>
      <c r="C578" s="1">
        <f t="shared" si="32"/>
        <v>11</v>
      </c>
      <c r="D578" s="1">
        <f>COUNTIF(Transactions[CustomerID],"="&amp;A578)</f>
        <v>1</v>
      </c>
      <c r="E578" s="9">
        <f>IF(_xlfn.MAXIFS(Transactions[Transaction Amount], Transactions[CustomerID],A578)/'Customer Profiles'!$M$10&lt;=10,_xlfn.MAXIFS(Transactions[Transaction Amount], Transactions[CustomerID],A578)/'Customer Profiles'!$M$10,10)</f>
        <v>4.3596362723723477E-2</v>
      </c>
      <c r="F578" s="1">
        <f t="shared" si="33"/>
        <v>10</v>
      </c>
      <c r="G578" s="1">
        <f t="shared" si="34"/>
        <v>0.2</v>
      </c>
      <c r="H578" s="1">
        <f t="shared" si="35"/>
        <v>1</v>
      </c>
    </row>
    <row r="579" spans="1:8">
      <c r="A579" s="1">
        <v>123</v>
      </c>
      <c r="B579" s="8">
        <f>_xlfn.MAXIFS(Transactions[Transaction Date], Transactions[CustomerID],A579)</f>
        <v>43105</v>
      </c>
      <c r="C579" s="1">
        <f t="shared" si="32"/>
        <v>1</v>
      </c>
      <c r="D579" s="1">
        <f>COUNTIF(Transactions[CustomerID],"="&amp;A579)</f>
        <v>1</v>
      </c>
      <c r="E579" s="9">
        <f>IF(_xlfn.MAXIFS(Transactions[Transaction Amount], Transactions[CustomerID],A579)/'Customer Profiles'!$M$10&lt;=10,_xlfn.MAXIFS(Transactions[Transaction Amount], Transactions[CustomerID],A579)/'Customer Profiles'!$M$10,10)</f>
        <v>1.2729247546814673</v>
      </c>
      <c r="F579" s="1">
        <f t="shared" si="33"/>
        <v>1</v>
      </c>
      <c r="G579" s="1">
        <f t="shared" si="34"/>
        <v>0.2</v>
      </c>
      <c r="H579" s="1">
        <f t="shared" si="35"/>
        <v>1</v>
      </c>
    </row>
    <row r="580" spans="1:8">
      <c r="A580" s="1">
        <v>246</v>
      </c>
      <c r="B580" s="8">
        <f>_xlfn.MAXIFS(Transactions[Transaction Date], Transactions[CustomerID],A580)</f>
        <v>42869</v>
      </c>
      <c r="C580" s="1">
        <f t="shared" si="32"/>
        <v>9</v>
      </c>
      <c r="D580" s="1">
        <f>COUNTIF(Transactions[CustomerID],"="&amp;A580)</f>
        <v>1</v>
      </c>
      <c r="E580" s="9">
        <f>IF(_xlfn.MAXIFS(Transactions[Transaction Amount], Transactions[CustomerID],A580)/'Customer Profiles'!$M$10&lt;=10,_xlfn.MAXIFS(Transactions[Transaction Amount], Transactions[CustomerID],A580)/'Customer Profiles'!$M$10,10)</f>
        <v>0.18785202178663038</v>
      </c>
      <c r="F580" s="1">
        <f t="shared" si="33"/>
        <v>9</v>
      </c>
      <c r="G580" s="1">
        <f t="shared" si="34"/>
        <v>0.2</v>
      </c>
      <c r="H580" s="1">
        <f t="shared" si="35"/>
        <v>1</v>
      </c>
    </row>
    <row r="581" spans="1:8">
      <c r="A581" s="1">
        <v>33</v>
      </c>
      <c r="B581" s="8">
        <f>_xlfn.MAXIFS(Transactions[Transaction Date], Transactions[CustomerID],A581)</f>
        <v>43444</v>
      </c>
      <c r="C581" s="1">
        <f t="shared" si="32"/>
        <v>2</v>
      </c>
      <c r="D581" s="1">
        <f>COUNTIF(Transactions[CustomerID],"="&amp;A581)</f>
        <v>1</v>
      </c>
      <c r="E581" s="9">
        <f>IF(_xlfn.MAXIFS(Transactions[Transaction Amount], Transactions[CustomerID],A581)/'Customer Profiles'!$M$10&lt;=10,_xlfn.MAXIFS(Transactions[Transaction Amount], Transactions[CustomerID],A581)/'Customer Profiles'!$M$10,10)</f>
        <v>7.2109336449733941E-2</v>
      </c>
      <c r="F581" s="1">
        <f t="shared" si="33"/>
        <v>2</v>
      </c>
      <c r="G581" s="1">
        <f t="shared" si="34"/>
        <v>0.2</v>
      </c>
      <c r="H581" s="1">
        <f t="shared" si="35"/>
        <v>1</v>
      </c>
    </row>
    <row r="582" spans="1:8">
      <c r="A582" s="1">
        <v>345</v>
      </c>
      <c r="B582" s="8">
        <f>_xlfn.MAXIFS(Transactions[Transaction Date], Transactions[CustomerID],A582)</f>
        <v>43123</v>
      </c>
      <c r="C582" s="1">
        <f t="shared" ref="C582:C605" si="36">(MAX(DATEDIF(B582,"03/01/2019","ym"),1))</f>
        <v>1</v>
      </c>
      <c r="D582" s="1">
        <f>COUNTIF(Transactions[CustomerID],"="&amp;A582)</f>
        <v>1</v>
      </c>
      <c r="E582" s="9">
        <f>IF(_xlfn.MAXIFS(Transactions[Transaction Amount], Transactions[CustomerID],A582)/'Customer Profiles'!$M$10&lt;=10,_xlfn.MAXIFS(Transactions[Transaction Amount], Transactions[CustomerID],A582)/'Customer Profiles'!$M$10,10)</f>
        <v>1.6193655299252041</v>
      </c>
      <c r="F582" s="1">
        <f t="shared" ref="F582:F605" si="37">IF(ROUND(C582,2)&lt;=10,ROUND(C582,2),10)</f>
        <v>1</v>
      </c>
      <c r="G582" s="1">
        <f t="shared" ref="G582:G605" si="38">IF(ROUND(D582/$M$6,2)&lt;=10,ROUND(D582/$M$6,2),10)</f>
        <v>0.2</v>
      </c>
      <c r="H582" s="1">
        <f t="shared" ref="H582:H605" si="39">IF(ROUND(E582*$K$8+F582*$K$6+G582*$K$7,2)&lt;1,1,ROUND(E582*$K$8+F582*$K$6+G582*$K$7,2))</f>
        <v>1</v>
      </c>
    </row>
    <row r="583" spans="1:8">
      <c r="A583" s="1">
        <v>130</v>
      </c>
      <c r="B583" s="8">
        <f>_xlfn.MAXIFS(Transactions[Transaction Date], Transactions[CustomerID],A583)</f>
        <v>42904</v>
      </c>
      <c r="C583" s="1">
        <f t="shared" si="36"/>
        <v>8</v>
      </c>
      <c r="D583" s="1">
        <f>COUNTIF(Transactions[CustomerID],"="&amp;A583)</f>
        <v>2</v>
      </c>
      <c r="E583" s="9">
        <f>IF(_xlfn.MAXIFS(Transactions[Transaction Amount], Transactions[CustomerID],A583)/'Customer Profiles'!$M$10&lt;=10,_xlfn.MAXIFS(Transactions[Transaction Amount], Transactions[CustomerID],A583)/'Customer Profiles'!$M$10,10)</f>
        <v>0.62845710731444493</v>
      </c>
      <c r="F583" s="1">
        <f t="shared" si="37"/>
        <v>8</v>
      </c>
      <c r="G583" s="1">
        <f t="shared" si="38"/>
        <v>0.4</v>
      </c>
      <c r="H583" s="1">
        <f t="shared" si="39"/>
        <v>1</v>
      </c>
    </row>
    <row r="584" spans="1:8">
      <c r="A584" s="1">
        <v>355</v>
      </c>
      <c r="B584" s="8">
        <f>_xlfn.MAXIFS(Transactions[Transaction Date], Transactions[CustomerID],A584)</f>
        <v>43006</v>
      </c>
      <c r="C584" s="1">
        <f t="shared" si="36"/>
        <v>5</v>
      </c>
      <c r="D584" s="1">
        <f>COUNTIF(Transactions[CustomerID],"="&amp;A584)</f>
        <v>1</v>
      </c>
      <c r="E584" s="9">
        <f>IF(_xlfn.MAXIFS(Transactions[Transaction Amount], Transactions[CustomerID],A584)/'Customer Profiles'!$M$10&lt;=10,_xlfn.MAXIFS(Transactions[Transaction Amount], Transactions[CustomerID],A584)/'Customer Profiles'!$M$10,10)</f>
        <v>0.79662773796370434</v>
      </c>
      <c r="F584" s="1">
        <f t="shared" si="37"/>
        <v>5</v>
      </c>
      <c r="G584" s="1">
        <f t="shared" si="38"/>
        <v>0.2</v>
      </c>
      <c r="H584" s="1">
        <f t="shared" si="39"/>
        <v>1</v>
      </c>
    </row>
    <row r="585" spans="1:8">
      <c r="A585" s="1">
        <v>25</v>
      </c>
      <c r="B585" s="8">
        <f>_xlfn.MAXIFS(Transactions[Transaction Date], Transactions[CustomerID],A585)</f>
        <v>43096</v>
      </c>
      <c r="C585" s="1">
        <f t="shared" si="36"/>
        <v>2</v>
      </c>
      <c r="D585" s="1">
        <f>COUNTIF(Transactions[CustomerID],"="&amp;A585)</f>
        <v>1</v>
      </c>
      <c r="E585" s="9">
        <f>IF(_xlfn.MAXIFS(Transactions[Transaction Amount], Transactions[CustomerID],A585)/'Customer Profiles'!$M$10&lt;=10,_xlfn.MAXIFS(Transactions[Transaction Amount], Transactions[CustomerID],A585)/'Customer Profiles'!$M$10,10)</f>
        <v>1.2133214566696879</v>
      </c>
      <c r="F585" s="1">
        <f t="shared" si="37"/>
        <v>2</v>
      </c>
      <c r="G585" s="1">
        <f t="shared" si="38"/>
        <v>0.2</v>
      </c>
      <c r="H585" s="1">
        <f t="shared" si="39"/>
        <v>1</v>
      </c>
    </row>
    <row r="586" spans="1:8">
      <c r="A586" s="1">
        <v>579</v>
      </c>
      <c r="B586" s="8">
        <f>_xlfn.MAXIFS(Transactions[Transaction Date], Transactions[CustomerID],A586)</f>
        <v>43365</v>
      </c>
      <c r="C586" s="1">
        <f t="shared" si="36"/>
        <v>5</v>
      </c>
      <c r="D586" s="1">
        <f>COUNTIF(Transactions[CustomerID],"="&amp;A586)</f>
        <v>1</v>
      </c>
      <c r="E586" s="9">
        <f>IF(_xlfn.MAXIFS(Transactions[Transaction Amount], Transactions[CustomerID],A586)/'Customer Profiles'!$M$10&lt;=10,_xlfn.MAXIFS(Transactions[Transaction Amount], Transactions[CustomerID],A586)/'Customer Profiles'!$M$10,10)</f>
        <v>0.84777123634223117</v>
      </c>
      <c r="F586" s="1">
        <f t="shared" si="37"/>
        <v>5</v>
      </c>
      <c r="G586" s="1">
        <f t="shared" si="38"/>
        <v>0.2</v>
      </c>
      <c r="H586" s="1">
        <f t="shared" si="39"/>
        <v>1</v>
      </c>
    </row>
    <row r="587" spans="1:8">
      <c r="A587" s="1">
        <v>467</v>
      </c>
      <c r="B587" s="8">
        <f>_xlfn.MAXIFS(Transactions[Transaction Date], Transactions[CustomerID],A587)</f>
        <v>42736</v>
      </c>
      <c r="C587" s="1">
        <f t="shared" si="36"/>
        <v>2</v>
      </c>
      <c r="D587" s="1">
        <f>COUNTIF(Transactions[CustomerID],"="&amp;A587)</f>
        <v>1</v>
      </c>
      <c r="E587" s="9">
        <f>IF(_xlfn.MAXIFS(Transactions[Transaction Amount], Transactions[CustomerID],A587)/'Customer Profiles'!$M$10&lt;=10,_xlfn.MAXIFS(Transactions[Transaction Amount], Transactions[CustomerID],A587)/'Customer Profiles'!$M$10,10)</f>
        <v>1.2031454999972369</v>
      </c>
      <c r="F587" s="1">
        <f t="shared" si="37"/>
        <v>2</v>
      </c>
      <c r="G587" s="1">
        <f t="shared" si="38"/>
        <v>0.2</v>
      </c>
      <c r="H587" s="1">
        <f t="shared" si="39"/>
        <v>1</v>
      </c>
    </row>
    <row r="588" spans="1:8">
      <c r="A588" s="1">
        <v>50</v>
      </c>
      <c r="B588" s="8">
        <f>_xlfn.MAXIFS(Transactions[Transaction Date], Transactions[CustomerID],A588)</f>
        <v>42818</v>
      </c>
      <c r="C588" s="1">
        <f t="shared" si="36"/>
        <v>11</v>
      </c>
      <c r="D588" s="1">
        <f>COUNTIF(Transactions[CustomerID],"="&amp;A588)</f>
        <v>1</v>
      </c>
      <c r="E588" s="9">
        <f>IF(_xlfn.MAXIFS(Transactions[Transaction Amount], Transactions[CustomerID],A588)/'Customer Profiles'!$M$10&lt;=10,_xlfn.MAXIFS(Transactions[Transaction Amount], Transactions[CustomerID],A588)/'Customer Profiles'!$M$10,10)</f>
        <v>0.12908024943469737</v>
      </c>
      <c r="F588" s="1">
        <f t="shared" si="37"/>
        <v>10</v>
      </c>
      <c r="G588" s="1">
        <f t="shared" si="38"/>
        <v>0.2</v>
      </c>
      <c r="H588" s="1">
        <f t="shared" si="39"/>
        <v>1</v>
      </c>
    </row>
    <row r="589" spans="1:8">
      <c r="A589" s="1">
        <v>534</v>
      </c>
      <c r="B589" s="8">
        <f>_xlfn.MAXIFS(Transactions[Transaction Date], Transactions[CustomerID],A589)</f>
        <v>42758</v>
      </c>
      <c r="C589" s="1">
        <f t="shared" si="36"/>
        <v>1</v>
      </c>
      <c r="D589" s="1">
        <f>COUNTIF(Transactions[CustomerID],"="&amp;A589)</f>
        <v>1</v>
      </c>
      <c r="E589" s="9">
        <f>IF(_xlfn.MAXIFS(Transactions[Transaction Amount], Transactions[CustomerID],A589)/'Customer Profiles'!$M$10&lt;=10,_xlfn.MAXIFS(Transactions[Transaction Amount], Transactions[CustomerID],A589)/'Customer Profiles'!$M$10,10)</f>
        <v>0.69206606898754319</v>
      </c>
      <c r="F589" s="1">
        <f t="shared" si="37"/>
        <v>1</v>
      </c>
      <c r="G589" s="1">
        <f t="shared" si="38"/>
        <v>0.2</v>
      </c>
      <c r="H589" s="1">
        <f t="shared" si="39"/>
        <v>1</v>
      </c>
    </row>
    <row r="590" spans="1:8">
      <c r="A590" s="1">
        <v>384</v>
      </c>
      <c r="B590" s="8">
        <f>_xlfn.MAXIFS(Transactions[Transaction Date], Transactions[CustomerID],A590)</f>
        <v>42964</v>
      </c>
      <c r="C590" s="1">
        <f t="shared" si="36"/>
        <v>6</v>
      </c>
      <c r="D590" s="1">
        <f>COUNTIF(Transactions[CustomerID],"="&amp;A590)</f>
        <v>1</v>
      </c>
      <c r="E590" s="9">
        <f>IF(_xlfn.MAXIFS(Transactions[Transaction Amount], Transactions[CustomerID],A590)/'Customer Profiles'!$M$10&lt;=10,_xlfn.MAXIFS(Transactions[Transaction Amount], Transactions[CustomerID],A590)/'Customer Profiles'!$M$10,10)</f>
        <v>0.36604803091725596</v>
      </c>
      <c r="F590" s="1">
        <f t="shared" si="37"/>
        <v>6</v>
      </c>
      <c r="G590" s="1">
        <f t="shared" si="38"/>
        <v>0.2</v>
      </c>
      <c r="H590" s="1">
        <f t="shared" si="39"/>
        <v>1</v>
      </c>
    </row>
    <row r="591" spans="1:8">
      <c r="A591" s="1">
        <v>561</v>
      </c>
      <c r="B591" s="8">
        <f>_xlfn.MAXIFS(Transactions[Transaction Date], Transactions[CustomerID],A591)</f>
        <v>42886</v>
      </c>
      <c r="C591" s="1">
        <f t="shared" si="36"/>
        <v>9</v>
      </c>
      <c r="D591" s="1">
        <f>COUNTIF(Transactions[CustomerID],"="&amp;A591)</f>
        <v>1</v>
      </c>
      <c r="E591" s="9">
        <f>IF(_xlfn.MAXIFS(Transactions[Transaction Amount], Transactions[CustomerID],A591)/'Customer Profiles'!$M$10&lt;=10,_xlfn.MAXIFS(Transactions[Transaction Amount], Transactions[CustomerID],A591)/'Customer Profiles'!$M$10,10)</f>
        <v>0.70465310010794147</v>
      </c>
      <c r="F591" s="1">
        <f t="shared" si="37"/>
        <v>9</v>
      </c>
      <c r="G591" s="1">
        <f t="shared" si="38"/>
        <v>0.2</v>
      </c>
      <c r="H591" s="1">
        <f t="shared" si="39"/>
        <v>1</v>
      </c>
    </row>
    <row r="592" spans="1:8">
      <c r="A592" s="1">
        <v>511</v>
      </c>
      <c r="B592" s="8">
        <f>_xlfn.MAXIFS(Transactions[Transaction Date], Transactions[CustomerID],A592)</f>
        <v>42879</v>
      </c>
      <c r="C592" s="1">
        <f t="shared" si="36"/>
        <v>9</v>
      </c>
      <c r="D592" s="1">
        <f>COUNTIF(Transactions[CustomerID],"="&amp;A592)</f>
        <v>1</v>
      </c>
      <c r="E592" s="9">
        <f>IF(_xlfn.MAXIFS(Transactions[Transaction Amount], Transactions[CustomerID],A592)/'Customer Profiles'!$M$10&lt;=10,_xlfn.MAXIFS(Transactions[Transaction Amount], Transactions[CustomerID],A592)/'Customer Profiles'!$M$10,10)</f>
        <v>1.1563071988804774</v>
      </c>
      <c r="F592" s="1">
        <f t="shared" si="37"/>
        <v>9</v>
      </c>
      <c r="G592" s="1">
        <f t="shared" si="38"/>
        <v>0.2</v>
      </c>
      <c r="H592" s="1">
        <f t="shared" si="39"/>
        <v>1</v>
      </c>
    </row>
    <row r="593" spans="1:8">
      <c r="A593" s="1">
        <v>518</v>
      </c>
      <c r="B593" s="8">
        <f>_xlfn.MAXIFS(Transactions[Transaction Date], Transactions[CustomerID],A593)</f>
        <v>43014</v>
      </c>
      <c r="C593" s="1">
        <f t="shared" si="36"/>
        <v>4</v>
      </c>
      <c r="D593" s="1">
        <f>COUNTIF(Transactions[CustomerID],"="&amp;A593)</f>
        <v>1</v>
      </c>
      <c r="E593" s="9">
        <f>IF(_xlfn.MAXIFS(Transactions[Transaction Amount], Transactions[CustomerID],A593)/'Customer Profiles'!$M$10&lt;=10,_xlfn.MAXIFS(Transactions[Transaction Amount], Transactions[CustomerID],A593)/'Customer Profiles'!$M$10,10)</f>
        <v>2.7876305832458743</v>
      </c>
      <c r="F593" s="1">
        <f t="shared" si="37"/>
        <v>4</v>
      </c>
      <c r="G593" s="1">
        <f t="shared" si="38"/>
        <v>0.2</v>
      </c>
      <c r="H593" s="1">
        <f t="shared" si="39"/>
        <v>1</v>
      </c>
    </row>
    <row r="594" spans="1:8">
      <c r="A594" s="1">
        <v>465</v>
      </c>
      <c r="B594" s="8">
        <f>_xlfn.MAXIFS(Transactions[Transaction Date], Transactions[CustomerID],A594)</f>
        <v>42961</v>
      </c>
      <c r="C594" s="1">
        <f t="shared" si="36"/>
        <v>6</v>
      </c>
      <c r="D594" s="1">
        <f>COUNTIF(Transactions[CustomerID],"="&amp;A594)</f>
        <v>1</v>
      </c>
      <c r="E594" s="9">
        <f>IF(_xlfn.MAXIFS(Transactions[Transaction Amount], Transactions[CustomerID],A594)/'Customer Profiles'!$M$10&lt;=10,_xlfn.MAXIFS(Transactions[Transaction Amount], Transactions[CustomerID],A594)/'Customer Profiles'!$M$10,10)</f>
        <v>0.6908042229282052</v>
      </c>
      <c r="F594" s="1">
        <f t="shared" si="37"/>
        <v>6</v>
      </c>
      <c r="G594" s="1">
        <f t="shared" si="38"/>
        <v>0.2</v>
      </c>
      <c r="H594" s="1">
        <f t="shared" si="39"/>
        <v>1</v>
      </c>
    </row>
    <row r="595" spans="1:8">
      <c r="A595" s="1">
        <v>352</v>
      </c>
      <c r="B595" s="8">
        <f>_xlfn.MAXIFS(Transactions[Transaction Date], Transactions[CustomerID],A595)</f>
        <v>42926</v>
      </c>
      <c r="C595" s="1">
        <f t="shared" si="36"/>
        <v>7</v>
      </c>
      <c r="D595" s="1">
        <f>COUNTIF(Transactions[CustomerID],"="&amp;A595)</f>
        <v>1</v>
      </c>
      <c r="E595" s="9">
        <f>IF(_xlfn.MAXIFS(Transactions[Transaction Amount], Transactions[CustomerID],A595)/'Customer Profiles'!$M$10&lt;=10,_xlfn.MAXIFS(Transactions[Transaction Amount], Transactions[CustomerID],A595)/'Customer Profiles'!$M$10,10)</f>
        <v>0.84207793853556845</v>
      </c>
      <c r="F595" s="1">
        <f t="shared" si="37"/>
        <v>7</v>
      </c>
      <c r="G595" s="1">
        <f t="shared" si="38"/>
        <v>0.2</v>
      </c>
      <c r="H595" s="1">
        <f t="shared" si="39"/>
        <v>1</v>
      </c>
    </row>
    <row r="596" spans="1:8">
      <c r="A596" s="1">
        <v>279</v>
      </c>
      <c r="B596" s="8">
        <f>_xlfn.MAXIFS(Transactions[Transaction Date], Transactions[CustomerID],A596)</f>
        <v>42988</v>
      </c>
      <c r="C596" s="1">
        <f t="shared" si="36"/>
        <v>5</v>
      </c>
      <c r="D596" s="1">
        <f>COUNTIF(Transactions[CustomerID],"="&amp;A596)</f>
        <v>1</v>
      </c>
      <c r="E596" s="9">
        <f>IF(_xlfn.MAXIFS(Transactions[Transaction Amount], Transactions[CustomerID],A596)/'Customer Profiles'!$M$10&lt;=10,_xlfn.MAXIFS(Transactions[Transaction Amount], Transactions[CustomerID],A596)/'Customer Profiles'!$M$10,10)</f>
        <v>0.56668140181734583</v>
      </c>
      <c r="F596" s="1">
        <f t="shared" si="37"/>
        <v>5</v>
      </c>
      <c r="G596" s="1">
        <f t="shared" si="38"/>
        <v>0.2</v>
      </c>
      <c r="H596" s="1">
        <f t="shared" si="39"/>
        <v>1</v>
      </c>
    </row>
    <row r="597" spans="1:8">
      <c r="A597" s="1">
        <v>297</v>
      </c>
      <c r="B597" s="8">
        <f>_xlfn.MAXIFS(Transactions[Transaction Date], Transactions[CustomerID],A597)</f>
        <v>42979</v>
      </c>
      <c r="C597" s="1">
        <f t="shared" si="36"/>
        <v>6</v>
      </c>
      <c r="D597" s="1">
        <f>COUNTIF(Transactions[CustomerID],"="&amp;A597)</f>
        <v>1</v>
      </c>
      <c r="E597" s="9">
        <f>IF(_xlfn.MAXIFS(Transactions[Transaction Amount], Transactions[CustomerID],A597)/'Customer Profiles'!$M$10&lt;=10,_xlfn.MAXIFS(Transactions[Transaction Amount], Transactions[CustomerID],A597)/'Customer Profiles'!$M$10,10)</f>
        <v>0.11485134695100717</v>
      </c>
      <c r="F597" s="1">
        <f t="shared" si="37"/>
        <v>6</v>
      </c>
      <c r="G597" s="1">
        <f t="shared" si="38"/>
        <v>0.2</v>
      </c>
      <c r="H597" s="1">
        <f t="shared" si="39"/>
        <v>1</v>
      </c>
    </row>
    <row r="598" spans="1:8">
      <c r="A598" s="1">
        <v>382</v>
      </c>
      <c r="B598" s="8">
        <f>_xlfn.MAXIFS(Transactions[Transaction Date], Transactions[CustomerID],A598)</f>
        <v>43400</v>
      </c>
      <c r="C598" s="1">
        <f t="shared" si="36"/>
        <v>4</v>
      </c>
      <c r="D598" s="1">
        <f>COUNTIF(Transactions[CustomerID],"="&amp;A598)</f>
        <v>1</v>
      </c>
      <c r="E598" s="9">
        <f>IF(_xlfn.MAXIFS(Transactions[Transaction Amount], Transactions[CustomerID],A598)/'Customer Profiles'!$M$10&lt;=10,_xlfn.MAXIFS(Transactions[Transaction Amount], Transactions[CustomerID],A598)/'Customer Profiles'!$M$10,10)</f>
        <v>6.036713385199622E-2</v>
      </c>
      <c r="F598" s="1">
        <f t="shared" si="37"/>
        <v>4</v>
      </c>
      <c r="G598" s="1">
        <f t="shared" si="38"/>
        <v>0.2</v>
      </c>
      <c r="H598" s="1">
        <f t="shared" si="39"/>
        <v>1</v>
      </c>
    </row>
    <row r="599" spans="1:8">
      <c r="A599" s="1">
        <v>491</v>
      </c>
      <c r="B599" s="8">
        <f>_xlfn.MAXIFS(Transactions[Transaction Date], Transactions[CustomerID],A599)</f>
        <v>42996</v>
      </c>
      <c r="C599" s="1">
        <f t="shared" si="36"/>
        <v>5</v>
      </c>
      <c r="D599" s="1">
        <f>COUNTIF(Transactions[CustomerID],"="&amp;A599)</f>
        <v>1</v>
      </c>
      <c r="E599" s="9">
        <f>IF(_xlfn.MAXIFS(Transactions[Transaction Amount], Transactions[CustomerID],A599)/'Customer Profiles'!$M$10&lt;=10,_xlfn.MAXIFS(Transactions[Transaction Amount], Transactions[CustomerID],A599)/'Customer Profiles'!$M$10,10)</f>
        <v>0.60944399693361018</v>
      </c>
      <c r="F599" s="1">
        <f t="shared" si="37"/>
        <v>5</v>
      </c>
      <c r="G599" s="1">
        <f t="shared" si="38"/>
        <v>0.2</v>
      </c>
      <c r="H599" s="1">
        <f t="shared" si="39"/>
        <v>1</v>
      </c>
    </row>
    <row r="600" spans="1:8">
      <c r="A600" s="1">
        <v>565</v>
      </c>
      <c r="B600" s="8">
        <f>_xlfn.MAXIFS(Transactions[Transaction Date], Transactions[CustomerID],A600)</f>
        <v>43308</v>
      </c>
      <c r="C600" s="1">
        <f t="shared" si="36"/>
        <v>7</v>
      </c>
      <c r="D600" s="1">
        <f>COUNTIF(Transactions[CustomerID],"="&amp;A600)</f>
        <v>1</v>
      </c>
      <c r="E600" s="9">
        <f>IF(_xlfn.MAXIFS(Transactions[Transaction Amount], Transactions[CustomerID],A600)/'Customer Profiles'!$M$10&lt;=10,_xlfn.MAXIFS(Transactions[Transaction Amount], Transactions[CustomerID],A600)/'Customer Profiles'!$M$10,10)</f>
        <v>4.2907683032903945</v>
      </c>
      <c r="F600" s="1">
        <f t="shared" si="37"/>
        <v>7</v>
      </c>
      <c r="G600" s="1">
        <f t="shared" si="38"/>
        <v>0.2</v>
      </c>
      <c r="H600" s="1">
        <f t="shared" si="39"/>
        <v>1</v>
      </c>
    </row>
    <row r="601" spans="1:8">
      <c r="A601" s="1">
        <v>268</v>
      </c>
      <c r="B601" s="8">
        <f>_xlfn.MAXIFS(Transactions[Transaction Date], Transactions[CustomerID],A601)</f>
        <v>43057</v>
      </c>
      <c r="C601" s="1">
        <f t="shared" si="36"/>
        <v>3</v>
      </c>
      <c r="D601" s="1">
        <f>COUNTIF(Transactions[CustomerID],"="&amp;A601)</f>
        <v>1</v>
      </c>
      <c r="E601" s="9">
        <f>IF(_xlfn.MAXIFS(Transactions[Transaction Amount], Transactions[CustomerID],A601)/'Customer Profiles'!$M$10&lt;=10,_xlfn.MAXIFS(Transactions[Transaction Amount], Transactions[CustomerID],A601)/'Customer Profiles'!$M$10,10)</f>
        <v>7.8775852533584503E-2</v>
      </c>
      <c r="F601" s="1">
        <f t="shared" si="37"/>
        <v>3</v>
      </c>
      <c r="G601" s="1">
        <f t="shared" si="38"/>
        <v>0.2</v>
      </c>
      <c r="H601" s="1">
        <f t="shared" si="39"/>
        <v>1</v>
      </c>
    </row>
    <row r="602" spans="1:8">
      <c r="A602" s="1">
        <v>11</v>
      </c>
      <c r="B602" s="8">
        <f>_xlfn.MAXIFS(Transactions[Transaction Date], Transactions[CustomerID],A602)</f>
        <v>43232</v>
      </c>
      <c r="C602" s="1">
        <f t="shared" si="36"/>
        <v>9</v>
      </c>
      <c r="D602" s="1">
        <f>COUNTIF(Transactions[CustomerID],"="&amp;A602)</f>
        <v>1</v>
      </c>
      <c r="E602" s="9">
        <f>IF(_xlfn.MAXIFS(Transactions[Transaction Amount], Transactions[CustomerID],A602)/'Customer Profiles'!$M$10&lt;=10,_xlfn.MAXIFS(Transactions[Transaction Amount], Transactions[CustomerID],A602)/'Customer Profiles'!$M$10,10)</f>
        <v>0.48205063311635066</v>
      </c>
      <c r="F602" s="1">
        <f t="shared" si="37"/>
        <v>9</v>
      </c>
      <c r="G602" s="1">
        <f t="shared" si="38"/>
        <v>0.2</v>
      </c>
      <c r="H602" s="1">
        <f t="shared" si="39"/>
        <v>1</v>
      </c>
    </row>
    <row r="603" spans="1:8">
      <c r="A603" s="1">
        <v>205</v>
      </c>
      <c r="B603" s="8">
        <f>_xlfn.MAXIFS(Transactions[Transaction Date], Transactions[CustomerID],A603)</f>
        <v>43143</v>
      </c>
      <c r="C603" s="1">
        <f t="shared" si="36"/>
        <v>1</v>
      </c>
      <c r="D603" s="1">
        <f>COUNTIF(Transactions[CustomerID],"="&amp;A603)</f>
        <v>1</v>
      </c>
      <c r="E603" s="9">
        <f>IF(_xlfn.MAXIFS(Transactions[Transaction Amount], Transactions[CustomerID],A603)/'Customer Profiles'!$M$10&lt;=10,_xlfn.MAXIFS(Transactions[Transaction Amount], Transactions[CustomerID],A603)/'Customer Profiles'!$M$10,10)</f>
        <v>1.6669564043208873</v>
      </c>
      <c r="F603" s="1">
        <f t="shared" si="37"/>
        <v>1</v>
      </c>
      <c r="G603" s="1">
        <f t="shared" si="38"/>
        <v>0.2</v>
      </c>
      <c r="H603" s="1">
        <f t="shared" si="39"/>
        <v>1</v>
      </c>
    </row>
    <row r="604" spans="1:8">
      <c r="A604" s="1">
        <v>196</v>
      </c>
      <c r="B604" s="8">
        <f>_xlfn.MAXIFS(Transactions[Transaction Date], Transactions[CustomerID],A604)</f>
        <v>43039</v>
      </c>
      <c r="C604" s="1">
        <f t="shared" si="36"/>
        <v>4</v>
      </c>
      <c r="D604" s="1">
        <f>COUNTIF(Transactions[CustomerID],"="&amp;A604)</f>
        <v>1</v>
      </c>
      <c r="E604" s="9">
        <f>IF(_xlfn.MAXIFS(Transactions[Transaction Amount], Transactions[CustomerID],A604)/'Customer Profiles'!$M$10&lt;=10,_xlfn.MAXIFS(Transactions[Transaction Amount], Transactions[CustomerID],A604)/'Customer Profiles'!$M$10,10)</f>
        <v>0.97757344846968564</v>
      </c>
      <c r="F604" s="1">
        <f t="shared" si="37"/>
        <v>4</v>
      </c>
      <c r="G604" s="1">
        <f t="shared" si="38"/>
        <v>0.2</v>
      </c>
      <c r="H604" s="1">
        <f t="shared" si="39"/>
        <v>1</v>
      </c>
    </row>
    <row r="605" spans="1:8">
      <c r="A605" s="1">
        <v>496</v>
      </c>
      <c r="B605" s="8">
        <f>_xlfn.MAXIFS(Transactions[Transaction Date], Transactions[CustomerID],A605)</f>
        <v>43193</v>
      </c>
      <c r="C605" s="1">
        <f t="shared" si="36"/>
        <v>10</v>
      </c>
      <c r="D605" s="1">
        <f>COUNTIF(Transactions[CustomerID],"="&amp;A605)</f>
        <v>1</v>
      </c>
      <c r="E605" s="9">
        <f>IF(_xlfn.MAXIFS(Transactions[Transaction Amount], Transactions[CustomerID],A605)/'Customer Profiles'!$M$10&lt;=10,_xlfn.MAXIFS(Transactions[Transaction Amount], Transactions[CustomerID],A605)/'Customer Profiles'!$M$10,10)</f>
        <v>0.34113133032962945</v>
      </c>
      <c r="F605" s="1">
        <f t="shared" si="37"/>
        <v>10</v>
      </c>
      <c r="G605" s="1">
        <f t="shared" si="38"/>
        <v>0.2</v>
      </c>
      <c r="H605" s="1">
        <f t="shared" si="39"/>
        <v>1</v>
      </c>
    </row>
  </sheetData>
  <mergeCells count="5">
    <mergeCell ref="J12:N12"/>
    <mergeCell ref="A1:J1"/>
    <mergeCell ref="A2:J2"/>
    <mergeCell ref="A3:J3"/>
    <mergeCell ref="A4:J4"/>
  </mergeCells>
  <conditionalFormatting sqref="H6:H605">
    <cfRule type="expression" dxfId="12" priority="1">
      <formula>H6&gt;$M$17</formula>
    </cfRule>
    <cfRule type="expression" dxfId="11" priority="2">
      <formula>H6&gt;$M$16</formula>
    </cfRule>
    <cfRule type="expression" dxfId="10" priority="3">
      <formula>H6&gt;$M$15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2019-06-12T14:21:32Z</dcterms:modified>
</cp:coreProperties>
</file>